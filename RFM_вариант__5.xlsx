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secret\"/>
    </mc:Choice>
  </mc:AlternateContent>
  <xr:revisionPtr revIDLastSave="0" documentId="13_ncr:1_{701C6090-B199-4D2F-940C-2748A9363358}" xr6:coauthVersionLast="47" xr6:coauthVersionMax="47" xr10:uidLastSave="{00000000-0000-0000-0000-000000000000}"/>
  <bookViews>
    <workbookView xWindow="-96" yWindow="-96" windowWidth="18192" windowHeight="11472" activeTab="3" xr2:uid="{00000000-000D-0000-FFFF-FFFF00000000}"/>
  </bookViews>
  <sheets>
    <sheet name="Sheet1" sheetId="1" r:id="rId1"/>
    <sheet name="Лист1" sheetId="2" r:id="rId2"/>
    <sheet name="Лист2" sheetId="3" r:id="rId3"/>
    <sheet name="Лист3" sheetId="4" r:id="rId4"/>
  </sheet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L4" i="4" l="1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M3" i="4"/>
  <c r="N3" i="4"/>
  <c r="L3" i="4"/>
  <c r="J4" i="4"/>
  <c r="J5" i="4"/>
  <c r="J6" i="4"/>
  <c r="J7" i="4"/>
  <c r="J8" i="4"/>
  <c r="J3" i="4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" i="3"/>
  <c r="M27" i="3"/>
  <c r="G3" i="3"/>
  <c r="G4" i="3"/>
  <c r="G5" i="3"/>
  <c r="M26" i="3" s="1"/>
  <c r="G6" i="3"/>
  <c r="M2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" i="3"/>
  <c r="M10" i="3"/>
  <c r="M18" i="3"/>
  <c r="F3" i="3"/>
  <c r="F4" i="3"/>
  <c r="F5" i="3"/>
  <c r="F6" i="3"/>
  <c r="M17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" i="3"/>
  <c r="E3" i="3"/>
  <c r="E4" i="3"/>
  <c r="E5" i="3"/>
  <c r="E6" i="3"/>
  <c r="M8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" i="3"/>
  <c r="M24" i="3"/>
  <c r="M15" i="3"/>
  <c r="M9" i="3"/>
  <c r="M5" i="3"/>
  <c r="K26" i="3"/>
  <c r="K25" i="3"/>
  <c r="K21" i="3"/>
  <c r="K22" i="3" s="1"/>
  <c r="K23" i="3" s="1"/>
  <c r="K20" i="3"/>
  <c r="K12" i="3"/>
  <c r="K13" i="3" s="1"/>
  <c r="K14" i="3" s="1"/>
  <c r="K11" i="3"/>
  <c r="K2" i="3"/>
  <c r="K3" i="3" s="1"/>
  <c r="K4" i="3" s="1"/>
  <c r="K1" i="3"/>
  <c r="K6" i="3" s="1"/>
  <c r="K7" i="3" s="1"/>
  <c r="K8" i="3" s="1"/>
  <c r="K9" i="3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2" i="1"/>
  <c r="H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2" i="1"/>
  <c r="M16" i="3" l="1"/>
  <c r="M6" i="3"/>
  <c r="M7" i="3"/>
</calcChain>
</file>

<file path=xl/sharedStrings.xml><?xml version="1.0" encoding="utf-8"?>
<sst xmlns="http://schemas.openxmlformats.org/spreadsheetml/2006/main" count="8186" uniqueCount="1237">
  <si>
    <t>ClientID</t>
  </si>
  <si>
    <t>date</t>
  </si>
  <si>
    <t>Category</t>
  </si>
  <si>
    <t>Sale_amount</t>
  </si>
  <si>
    <t>2023-03-16</t>
  </si>
  <si>
    <t>Макияж</t>
  </si>
  <si>
    <t>2022-01-30</t>
  </si>
  <si>
    <t>Для дома</t>
  </si>
  <si>
    <t>2020-08-24</t>
  </si>
  <si>
    <t>2022-02-05</t>
  </si>
  <si>
    <t>Уход</t>
  </si>
  <si>
    <t>2022-12-28</t>
  </si>
  <si>
    <t>2023-03-25</t>
  </si>
  <si>
    <t>Уход за волосами</t>
  </si>
  <si>
    <t>2022-09-28</t>
  </si>
  <si>
    <t>2021-01-16</t>
  </si>
  <si>
    <t>2021-09-26</t>
  </si>
  <si>
    <t>2021-02-24</t>
  </si>
  <si>
    <t>2023-02-25</t>
  </si>
  <si>
    <t>2022-06-27</t>
  </si>
  <si>
    <t>2021-08-15</t>
  </si>
  <si>
    <t>2022-01-02</t>
  </si>
  <si>
    <t>2021-12-30</t>
  </si>
  <si>
    <t>2021-05-21</t>
  </si>
  <si>
    <t>2021-11-27</t>
  </si>
  <si>
    <t>2023-02-19</t>
  </si>
  <si>
    <t>Одежда и аксессуары</t>
  </si>
  <si>
    <t>2021-09-12</t>
  </si>
  <si>
    <t>2021-06-13</t>
  </si>
  <si>
    <t>2021-12-06</t>
  </si>
  <si>
    <t>2023-01-28</t>
  </si>
  <si>
    <t>2019-12-15</t>
  </si>
  <si>
    <t>2021-11-16</t>
  </si>
  <si>
    <t>2020-07-01</t>
  </si>
  <si>
    <t>2023-01-08</t>
  </si>
  <si>
    <t>2020-08-10</t>
  </si>
  <si>
    <t>2022-09-04</t>
  </si>
  <si>
    <t>2022-04-12</t>
  </si>
  <si>
    <t>2021-12-11</t>
  </si>
  <si>
    <t>2021-03-30</t>
  </si>
  <si>
    <t>2023-03-05</t>
  </si>
  <si>
    <t>2021-05-30</t>
  </si>
  <si>
    <t>2018-09-10</t>
  </si>
  <si>
    <t>2021-12-15</t>
  </si>
  <si>
    <t>2022-11-02</t>
  </si>
  <si>
    <t>2021-05-15</t>
  </si>
  <si>
    <t>Детский мир</t>
  </si>
  <si>
    <t>2022-01-27</t>
  </si>
  <si>
    <t>2022-09-13</t>
  </si>
  <si>
    <t>2020-10-30</t>
  </si>
  <si>
    <t>Хоз.товары/бытовая химия</t>
  </si>
  <si>
    <t>2021-04-24</t>
  </si>
  <si>
    <t>2022-12-01</t>
  </si>
  <si>
    <t>2022-11-01</t>
  </si>
  <si>
    <t>2023-01-17</t>
  </si>
  <si>
    <t>2023-03-19</t>
  </si>
  <si>
    <t>2021-12-12</t>
  </si>
  <si>
    <t>2020-07-09</t>
  </si>
  <si>
    <t>2021-07-04</t>
  </si>
  <si>
    <t>2020-02-21</t>
  </si>
  <si>
    <t>2021-05-19</t>
  </si>
  <si>
    <t>2022-11-29</t>
  </si>
  <si>
    <t>2021-06-02</t>
  </si>
  <si>
    <t>2023-03-20</t>
  </si>
  <si>
    <t>2021-04-01</t>
  </si>
  <si>
    <t>2021-12-28</t>
  </si>
  <si>
    <t>2022-08-16</t>
  </si>
  <si>
    <t>2023-03-02</t>
  </si>
  <si>
    <t>2023-02-01</t>
  </si>
  <si>
    <t>2019-11-09</t>
  </si>
  <si>
    <t>2022-10-16</t>
  </si>
  <si>
    <t>2020-06-08</t>
  </si>
  <si>
    <t>2020-05-10</t>
  </si>
  <si>
    <t>2020-12-23</t>
  </si>
  <si>
    <t>2020-11-22</t>
  </si>
  <si>
    <t>2023-04-06</t>
  </si>
  <si>
    <t>2020-06-12</t>
  </si>
  <si>
    <t>2021-06-28</t>
  </si>
  <si>
    <t>2021-06-16</t>
  </si>
  <si>
    <t>2021-02-22</t>
  </si>
  <si>
    <t>2022-03-01</t>
  </si>
  <si>
    <t>2020-09-12</t>
  </si>
  <si>
    <t>2021-01-29</t>
  </si>
  <si>
    <t>2022-08-20</t>
  </si>
  <si>
    <t>2021-02-03</t>
  </si>
  <si>
    <t>2022-10-17</t>
  </si>
  <si>
    <t>2021-03-08</t>
  </si>
  <si>
    <t>2022-06-15</t>
  </si>
  <si>
    <t>2022-12-03</t>
  </si>
  <si>
    <t>2023-01-24</t>
  </si>
  <si>
    <t>2022-12-04</t>
  </si>
  <si>
    <t>2022-09-27</t>
  </si>
  <si>
    <t>2021-10-14</t>
  </si>
  <si>
    <t>2020-06-24</t>
  </si>
  <si>
    <t>2022-02-08</t>
  </si>
  <si>
    <t>2021-04-03</t>
  </si>
  <si>
    <t>2021-12-02</t>
  </si>
  <si>
    <t>2021-09-05</t>
  </si>
  <si>
    <t>2020-06-01</t>
  </si>
  <si>
    <t>2022-07-22</t>
  </si>
  <si>
    <t>2022-12-14</t>
  </si>
  <si>
    <t>2021-03-15</t>
  </si>
  <si>
    <t>2022-12-18</t>
  </si>
  <si>
    <t>2020-09-24</t>
  </si>
  <si>
    <t>2021-04-18</t>
  </si>
  <si>
    <t>2023-03-04</t>
  </si>
  <si>
    <t>2023-03-21</t>
  </si>
  <si>
    <t>2023-04-03</t>
  </si>
  <si>
    <t>2022-12-09</t>
  </si>
  <si>
    <t>2019-05-21</t>
  </si>
  <si>
    <t>2021-01-14</t>
  </si>
  <si>
    <t>2021-04-07</t>
  </si>
  <si>
    <t>2022-10-01</t>
  </si>
  <si>
    <t>2020-02-09</t>
  </si>
  <si>
    <t>2019-09-04</t>
  </si>
  <si>
    <t>2022-01-19</t>
  </si>
  <si>
    <t>2022-11-12</t>
  </si>
  <si>
    <t>2020-10-18</t>
  </si>
  <si>
    <t>2019-10-19</t>
  </si>
  <si>
    <t>2022-08-19</t>
  </si>
  <si>
    <t>2021-07-09</t>
  </si>
  <si>
    <t>2022-08-08</t>
  </si>
  <si>
    <t>2023-03-09</t>
  </si>
  <si>
    <t>2020-01-31</t>
  </si>
  <si>
    <t>2021-06-23</t>
  </si>
  <si>
    <t>2021-04-30</t>
  </si>
  <si>
    <t>2020-01-03</t>
  </si>
  <si>
    <t>2019-12-25</t>
  </si>
  <si>
    <t>2019-09-11</t>
  </si>
  <si>
    <t>2022-10-20</t>
  </si>
  <si>
    <t>2022-03-07</t>
  </si>
  <si>
    <t>2021-12-29</t>
  </si>
  <si>
    <t>2021-05-29</t>
  </si>
  <si>
    <t>2023-01-18</t>
  </si>
  <si>
    <t>2021-04-26</t>
  </si>
  <si>
    <t>2021-10-12</t>
  </si>
  <si>
    <t>2023-01-29</t>
  </si>
  <si>
    <t>2021-04-08</t>
  </si>
  <si>
    <t>2021-05-04</t>
  </si>
  <si>
    <t>2020-10-21</t>
  </si>
  <si>
    <t>2021-06-11</t>
  </si>
  <si>
    <t>2019-08-29</t>
  </si>
  <si>
    <t>2021-03-17</t>
  </si>
  <si>
    <t>2021-12-22</t>
  </si>
  <si>
    <t>2022-03-16</t>
  </si>
  <si>
    <t>2022-04-11</t>
  </si>
  <si>
    <t>2020-08-29</t>
  </si>
  <si>
    <t>2022-02-07</t>
  </si>
  <si>
    <t>2020-06-23</t>
  </si>
  <si>
    <t>2020-03-15</t>
  </si>
  <si>
    <t>2021-03-03</t>
  </si>
  <si>
    <t>2023-01-26</t>
  </si>
  <si>
    <t>2021-03-01</t>
  </si>
  <si>
    <t>2021-05-11</t>
  </si>
  <si>
    <t>2022-11-19</t>
  </si>
  <si>
    <t>2020-09-07</t>
  </si>
  <si>
    <t>2022-12-08</t>
  </si>
  <si>
    <t>2021-09-28</t>
  </si>
  <si>
    <t>2021-08-10</t>
  </si>
  <si>
    <t>2022-07-20</t>
  </si>
  <si>
    <t>2022-06-11</t>
  </si>
  <si>
    <t>2021-09-11</t>
  </si>
  <si>
    <t>2021-12-07</t>
  </si>
  <si>
    <t>2019-10-07</t>
  </si>
  <si>
    <t>2021-05-08</t>
  </si>
  <si>
    <t>2021-11-13</t>
  </si>
  <si>
    <t>2020-03-05</t>
  </si>
  <si>
    <t>2020-10-14</t>
  </si>
  <si>
    <t>2020-02-03</t>
  </si>
  <si>
    <t>2021-04-05</t>
  </si>
  <si>
    <t>2022-02-23</t>
  </si>
  <si>
    <t>2021-09-18</t>
  </si>
  <si>
    <t>2020-05-28</t>
  </si>
  <si>
    <t>2022-08-01</t>
  </si>
  <si>
    <t>2020-06-26</t>
  </si>
  <si>
    <t>2021-02-14</t>
  </si>
  <si>
    <t>2022-07-31</t>
  </si>
  <si>
    <t>2022-03-13</t>
  </si>
  <si>
    <t>2023-02-27</t>
  </si>
  <si>
    <t>2023-03-06</t>
  </si>
  <si>
    <t>2022-05-15</t>
  </si>
  <si>
    <t>2023-03-15</t>
  </si>
  <si>
    <t>2021-12-16</t>
  </si>
  <si>
    <t>2019-04-28</t>
  </si>
  <si>
    <t>2020-11-17</t>
  </si>
  <si>
    <t>2021-12-21</t>
  </si>
  <si>
    <t>2022-02-13</t>
  </si>
  <si>
    <t>2020-11-21</t>
  </si>
  <si>
    <t>2019-11-21</t>
  </si>
  <si>
    <t>2022-09-26</t>
  </si>
  <si>
    <t>2022-09-14</t>
  </si>
  <si>
    <t>2021-12-26</t>
  </si>
  <si>
    <t>2020-11-13</t>
  </si>
  <si>
    <t>2022-01-14</t>
  </si>
  <si>
    <t>2023-03-03</t>
  </si>
  <si>
    <t>2022-03-20</t>
  </si>
  <si>
    <t>2022-07-17</t>
  </si>
  <si>
    <t>2023-03-18</t>
  </si>
  <si>
    <t>2020-11-14</t>
  </si>
  <si>
    <t>2020-09-21</t>
  </si>
  <si>
    <t>2022-06-08</t>
  </si>
  <si>
    <t>2022-06-03</t>
  </si>
  <si>
    <t>2021-11-20</t>
  </si>
  <si>
    <t>2022-11-10</t>
  </si>
  <si>
    <t>2022-10-15</t>
  </si>
  <si>
    <t>2019-08-22</t>
  </si>
  <si>
    <t>2023-02-13</t>
  </si>
  <si>
    <t>2019-11-04</t>
  </si>
  <si>
    <t>2022-03-10</t>
  </si>
  <si>
    <t>2023-01-14</t>
  </si>
  <si>
    <t>2020-09-08</t>
  </si>
  <si>
    <t>2021-11-19</t>
  </si>
  <si>
    <t>2020-03-25</t>
  </si>
  <si>
    <t>2022-08-27</t>
  </si>
  <si>
    <t>2022-09-17</t>
  </si>
  <si>
    <t>2020-08-25</t>
  </si>
  <si>
    <t>2020-07-15</t>
  </si>
  <si>
    <t>2021-02-12</t>
  </si>
  <si>
    <t>2021-08-11</t>
  </si>
  <si>
    <t>2022-10-30</t>
  </si>
  <si>
    <t>2020-02-25</t>
  </si>
  <si>
    <t>2020-11-26</t>
  </si>
  <si>
    <t>2023-03-31</t>
  </si>
  <si>
    <t>2022-03-03</t>
  </si>
  <si>
    <t>2021-09-21</t>
  </si>
  <si>
    <t>2019-12-31</t>
  </si>
  <si>
    <t>2022-02-21</t>
  </si>
  <si>
    <t>2023-03-22</t>
  </si>
  <si>
    <t>2020-11-10</t>
  </si>
  <si>
    <t>2023-02-03</t>
  </si>
  <si>
    <t>2021-02-25</t>
  </si>
  <si>
    <t>2021-07-06</t>
  </si>
  <si>
    <t>2022-07-03</t>
  </si>
  <si>
    <t>2020-03-24</t>
  </si>
  <si>
    <t>2022-07-24</t>
  </si>
  <si>
    <t>2021-02-02</t>
  </si>
  <si>
    <t>2021-07-16</t>
  </si>
  <si>
    <t>2020-06-28</t>
  </si>
  <si>
    <t>2022-03-02</t>
  </si>
  <si>
    <t>2021-09-10</t>
  </si>
  <si>
    <t>2022-04-27</t>
  </si>
  <si>
    <t>2020-01-04</t>
  </si>
  <si>
    <t>2023-01-12</t>
  </si>
  <si>
    <t>2019-12-26</t>
  </si>
  <si>
    <t>2022-02-03</t>
  </si>
  <si>
    <t>2022-07-06</t>
  </si>
  <si>
    <t>2021-06-01</t>
  </si>
  <si>
    <t>2023-01-21</t>
  </si>
  <si>
    <t>2021-11-18</t>
  </si>
  <si>
    <t>2021-06-14</t>
  </si>
  <si>
    <t>2022-07-30</t>
  </si>
  <si>
    <t>2022-10-29</t>
  </si>
  <si>
    <t>2021-07-12</t>
  </si>
  <si>
    <t>2021-06-29</t>
  </si>
  <si>
    <t>2021-10-09</t>
  </si>
  <si>
    <t>2021-10-19</t>
  </si>
  <si>
    <t>2017-06-24</t>
  </si>
  <si>
    <t>2022-03-06</t>
  </si>
  <si>
    <t>2020-10-17</t>
  </si>
  <si>
    <t>2021-12-25</t>
  </si>
  <si>
    <t>2021-01-23</t>
  </si>
  <si>
    <t>2022-12-15</t>
  </si>
  <si>
    <t>2021-05-27</t>
  </si>
  <si>
    <t>2021-12-19</t>
  </si>
  <si>
    <t>2020-01-29</t>
  </si>
  <si>
    <t>2021-04-12</t>
  </si>
  <si>
    <t>2021-05-02</t>
  </si>
  <si>
    <t>2021-06-15</t>
  </si>
  <si>
    <t>2022-02-28</t>
  </si>
  <si>
    <t>2020-10-31</t>
  </si>
  <si>
    <t>2023-02-26</t>
  </si>
  <si>
    <t>2023-02-05</t>
  </si>
  <si>
    <t>2022-04-30</t>
  </si>
  <si>
    <t>2020-05-19</t>
  </si>
  <si>
    <t>2023-04-10</t>
  </si>
  <si>
    <t>2022-12-27</t>
  </si>
  <si>
    <t>2021-03-26</t>
  </si>
  <si>
    <t>2022-11-06</t>
  </si>
  <si>
    <t>2021-01-26</t>
  </si>
  <si>
    <t>2023-01-23</t>
  </si>
  <si>
    <t>2022-02-01</t>
  </si>
  <si>
    <t>2022-09-29</t>
  </si>
  <si>
    <t>2021-12-27</t>
  </si>
  <si>
    <t>2022-01-25</t>
  </si>
  <si>
    <t>2020-03-13</t>
  </si>
  <si>
    <t>2021-09-29</t>
  </si>
  <si>
    <t>2022-07-13</t>
  </si>
  <si>
    <t>2023-02-24</t>
  </si>
  <si>
    <t>2020-04-30</t>
  </si>
  <si>
    <t>2022-12-10</t>
  </si>
  <si>
    <t>2022-03-19</t>
  </si>
  <si>
    <t>2020-11-09</t>
  </si>
  <si>
    <t>2022-11-05</t>
  </si>
  <si>
    <t>2022-02-06</t>
  </si>
  <si>
    <t>2023-03-23</t>
  </si>
  <si>
    <t>2021-06-22</t>
  </si>
  <si>
    <t>2023-01-19</t>
  </si>
  <si>
    <t>2022-07-01</t>
  </si>
  <si>
    <t>2022-05-01</t>
  </si>
  <si>
    <t>2020-04-17</t>
  </si>
  <si>
    <t>2021-02-18</t>
  </si>
  <si>
    <t>2022-06-22</t>
  </si>
  <si>
    <t>2023-03-12</t>
  </si>
  <si>
    <t>2020-07-27</t>
  </si>
  <si>
    <t>2020-12-09</t>
  </si>
  <si>
    <t>2022-06-01</t>
  </si>
  <si>
    <t>2022-10-21</t>
  </si>
  <si>
    <t>2022-02-24</t>
  </si>
  <si>
    <t>2020-05-20</t>
  </si>
  <si>
    <t>2022-10-08</t>
  </si>
  <si>
    <t>2021-08-19</t>
  </si>
  <si>
    <t>2020-08-13</t>
  </si>
  <si>
    <t>2020-02-20</t>
  </si>
  <si>
    <t>2022-11-24</t>
  </si>
  <si>
    <t>2022-05-06</t>
  </si>
  <si>
    <t>2022-04-18</t>
  </si>
  <si>
    <t>2020-04-25</t>
  </si>
  <si>
    <t>2022-02-09</t>
  </si>
  <si>
    <t>2020-05-02</t>
  </si>
  <si>
    <t>2020-03-22</t>
  </si>
  <si>
    <t>2021-12-03</t>
  </si>
  <si>
    <t>2022-08-25</t>
  </si>
  <si>
    <t>2019-11-18</t>
  </si>
  <si>
    <t>2022-12-19</t>
  </si>
  <si>
    <t>2021-08-13</t>
  </si>
  <si>
    <t>2020-11-08</t>
  </si>
  <si>
    <t>2021-02-21</t>
  </si>
  <si>
    <t>2022-03-08</t>
  </si>
  <si>
    <t>2022-09-30</t>
  </si>
  <si>
    <t>2020-03-08</t>
  </si>
  <si>
    <t>2021-03-27</t>
  </si>
  <si>
    <t>2021-09-04</t>
  </si>
  <si>
    <t>2018-02-03</t>
  </si>
  <si>
    <t>2022-01-01</t>
  </si>
  <si>
    <t>2022-12-20</t>
  </si>
  <si>
    <t>2022-05-09</t>
  </si>
  <si>
    <t>2022-10-09</t>
  </si>
  <si>
    <t>2020-09-15</t>
  </si>
  <si>
    <t>2020-01-23</t>
  </si>
  <si>
    <t>2022-04-16</t>
  </si>
  <si>
    <t>2023-03-17</t>
  </si>
  <si>
    <t>2021-06-07</t>
  </si>
  <si>
    <t>2022-10-27</t>
  </si>
  <si>
    <t>2021-04-11</t>
  </si>
  <si>
    <t>2021-04-22</t>
  </si>
  <si>
    <t>2022-09-05</t>
  </si>
  <si>
    <t>2020-12-27</t>
  </si>
  <si>
    <t>2022-10-23</t>
  </si>
  <si>
    <t>2020-07-29</t>
  </si>
  <si>
    <t>2021-11-02</t>
  </si>
  <si>
    <t>2022-06-04</t>
  </si>
  <si>
    <t>2022-01-05</t>
  </si>
  <si>
    <t>2022-05-24</t>
  </si>
  <si>
    <t>2021-09-16</t>
  </si>
  <si>
    <t>2022-12-30</t>
  </si>
  <si>
    <t>2021-05-14</t>
  </si>
  <si>
    <t>2021-01-25</t>
  </si>
  <si>
    <t>2022-11-27</t>
  </si>
  <si>
    <t>2020-10-02</t>
  </si>
  <si>
    <t>2022-09-20</t>
  </si>
  <si>
    <t>2023-03-10</t>
  </si>
  <si>
    <t>2021-08-30</t>
  </si>
  <si>
    <t>2020-11-29</t>
  </si>
  <si>
    <t>2021-09-15</t>
  </si>
  <si>
    <t>2022-04-17</t>
  </si>
  <si>
    <t>2022-12-23</t>
  </si>
  <si>
    <t>2022-07-04</t>
  </si>
  <si>
    <t>2020-12-19</t>
  </si>
  <si>
    <t>2022-09-08</t>
  </si>
  <si>
    <t>2019-06-18</t>
  </si>
  <si>
    <t>2020-06-27</t>
  </si>
  <si>
    <t>2020-04-14</t>
  </si>
  <si>
    <t>2020-12-30</t>
  </si>
  <si>
    <t>2020-07-11</t>
  </si>
  <si>
    <t>2022-02-18</t>
  </si>
  <si>
    <t>2022-11-30</t>
  </si>
  <si>
    <t>2023-04-02</t>
  </si>
  <si>
    <t>2021-03-12</t>
  </si>
  <si>
    <t>2021-10-03</t>
  </si>
  <si>
    <t>2023-04-08</t>
  </si>
  <si>
    <t>2021-06-25</t>
  </si>
  <si>
    <t>2022-04-06</t>
  </si>
  <si>
    <t>2022-07-07</t>
  </si>
  <si>
    <t>2020-09-13</t>
  </si>
  <si>
    <t>2021-03-31</t>
  </si>
  <si>
    <t>2022-07-23</t>
  </si>
  <si>
    <t>2021-05-13</t>
  </si>
  <si>
    <t>2020-12-08</t>
  </si>
  <si>
    <t>2020-02-23</t>
  </si>
  <si>
    <t>2020-08-11</t>
  </si>
  <si>
    <t>2022-11-20</t>
  </si>
  <si>
    <t>2019-08-27</t>
  </si>
  <si>
    <t>2023-03-28</t>
  </si>
  <si>
    <t>2020-05-25</t>
  </si>
  <si>
    <t>2022-09-15</t>
  </si>
  <si>
    <t>2023-01-16</t>
  </si>
  <si>
    <t>2020-12-14</t>
  </si>
  <si>
    <t>2020-01-24</t>
  </si>
  <si>
    <t>2020-03-14</t>
  </si>
  <si>
    <t>2022-06-21</t>
  </si>
  <si>
    <t>2022-04-24</t>
  </si>
  <si>
    <t>2022-05-10</t>
  </si>
  <si>
    <t>2020-04-07</t>
  </si>
  <si>
    <t>2023-02-18</t>
  </si>
  <si>
    <t>2023-01-13</t>
  </si>
  <si>
    <t>2020-06-06</t>
  </si>
  <si>
    <t>2021-08-07</t>
  </si>
  <si>
    <t>2022-05-11</t>
  </si>
  <si>
    <t>2021-11-22</t>
  </si>
  <si>
    <t>2021-10-20</t>
  </si>
  <si>
    <t>2021-11-01</t>
  </si>
  <si>
    <t>2022-03-05</t>
  </si>
  <si>
    <t>2020-03-26</t>
  </si>
  <si>
    <t>2021-08-25</t>
  </si>
  <si>
    <t>2021-12-24</t>
  </si>
  <si>
    <t>2021-01-22</t>
  </si>
  <si>
    <t>2019-11-03</t>
  </si>
  <si>
    <t>2021-03-23</t>
  </si>
  <si>
    <t>2021-04-15</t>
  </si>
  <si>
    <t>2022-05-25</t>
  </si>
  <si>
    <t>2018-10-10</t>
  </si>
  <si>
    <t>2021-11-12</t>
  </si>
  <si>
    <t>2023-02-10</t>
  </si>
  <si>
    <t>2022-03-22</t>
  </si>
  <si>
    <t>2020-08-05</t>
  </si>
  <si>
    <t>2020-09-22</t>
  </si>
  <si>
    <t>2020-08-30</t>
  </si>
  <si>
    <t>2021-12-13</t>
  </si>
  <si>
    <t>2019-12-28</t>
  </si>
  <si>
    <t>2022-01-10</t>
  </si>
  <si>
    <t>2021-04-16</t>
  </si>
  <si>
    <t>2019-10-23</t>
  </si>
  <si>
    <t>2022-08-04</t>
  </si>
  <si>
    <t>2020-12-16</t>
  </si>
  <si>
    <t>2021-01-30</t>
  </si>
  <si>
    <t>2021-09-20</t>
  </si>
  <si>
    <t>2020-03-11</t>
  </si>
  <si>
    <t>2022-04-07</t>
  </si>
  <si>
    <t>2022-08-10</t>
  </si>
  <si>
    <t>2020-02-29</t>
  </si>
  <si>
    <t>2020-09-09</t>
  </si>
  <si>
    <t>2020-06-10</t>
  </si>
  <si>
    <t>2020-01-28</t>
  </si>
  <si>
    <t>2023-04-05</t>
  </si>
  <si>
    <t>2022-02-14</t>
  </si>
  <si>
    <t>2020-08-27</t>
  </si>
  <si>
    <t>2018-02-18</t>
  </si>
  <si>
    <t>2022-05-28</t>
  </si>
  <si>
    <t>2021-11-06</t>
  </si>
  <si>
    <t>2022-02-16</t>
  </si>
  <si>
    <t>2022-04-10</t>
  </si>
  <si>
    <t>2022-12-06</t>
  </si>
  <si>
    <t>2020-11-28</t>
  </si>
  <si>
    <t>2019-10-10</t>
  </si>
  <si>
    <t>2022-06-28</t>
  </si>
  <si>
    <t>2022-11-14</t>
  </si>
  <si>
    <t>2021-08-20</t>
  </si>
  <si>
    <t>2020-01-30</t>
  </si>
  <si>
    <t>2022-10-04</t>
  </si>
  <si>
    <t>2020-02-15</t>
  </si>
  <si>
    <t>2022-04-20</t>
  </si>
  <si>
    <t>2021-09-02</t>
  </si>
  <si>
    <t>2021-12-04</t>
  </si>
  <si>
    <t>2019-08-06</t>
  </si>
  <si>
    <t>2020-05-03</t>
  </si>
  <si>
    <t>2022-12-22</t>
  </si>
  <si>
    <t>2022-03-04</t>
  </si>
  <si>
    <t>2021-01-08</t>
  </si>
  <si>
    <t>2021-04-06</t>
  </si>
  <si>
    <t>2019-12-19</t>
  </si>
  <si>
    <t>2022-12-12</t>
  </si>
  <si>
    <t>2019-05-30</t>
  </si>
  <si>
    <t>2022-07-27</t>
  </si>
  <si>
    <t>2022-11-28</t>
  </si>
  <si>
    <t>2022-08-12</t>
  </si>
  <si>
    <t>2022-10-13</t>
  </si>
  <si>
    <t>2020-09-25</t>
  </si>
  <si>
    <t>2022-04-29</t>
  </si>
  <si>
    <t>2023-01-10</t>
  </si>
  <si>
    <t>2021-07-22</t>
  </si>
  <si>
    <t>2023-02-22</t>
  </si>
  <si>
    <t>2021-04-29</t>
  </si>
  <si>
    <t>2022-04-15</t>
  </si>
  <si>
    <t>2019-10-29</t>
  </si>
  <si>
    <t>2021-05-10</t>
  </si>
  <si>
    <t>2020-06-14</t>
  </si>
  <si>
    <t>2022-09-24</t>
  </si>
  <si>
    <t>2021-07-11</t>
  </si>
  <si>
    <t>2022-08-29</t>
  </si>
  <si>
    <t>2020-12-05</t>
  </si>
  <si>
    <t>2020-11-24</t>
  </si>
  <si>
    <t>2020-01-02</t>
  </si>
  <si>
    <t>2022-05-29</t>
  </si>
  <si>
    <t>2019-10-09</t>
  </si>
  <si>
    <t>2022-11-26</t>
  </si>
  <si>
    <t>2021-05-07</t>
  </si>
  <si>
    <t>2023-02-11</t>
  </si>
  <si>
    <t>2022-04-25</t>
  </si>
  <si>
    <t>2020-03-23</t>
  </si>
  <si>
    <t>2020-10-05</t>
  </si>
  <si>
    <t>2019-11-12</t>
  </si>
  <si>
    <t>2019-12-20</t>
  </si>
  <si>
    <t>2020-11-27</t>
  </si>
  <si>
    <t>2021-10-11</t>
  </si>
  <si>
    <t>2020-01-14</t>
  </si>
  <si>
    <t>2021-12-18</t>
  </si>
  <si>
    <t>2020-10-19</t>
  </si>
  <si>
    <t>2022-01-20</t>
  </si>
  <si>
    <t>2022-11-21</t>
  </si>
  <si>
    <t>2017-07-31</t>
  </si>
  <si>
    <t>Парфюмерия</t>
  </si>
  <si>
    <t>2022-01-16</t>
  </si>
  <si>
    <t>2022-10-05</t>
  </si>
  <si>
    <t>2021-09-13</t>
  </si>
  <si>
    <t>2020-01-13</t>
  </si>
  <si>
    <t>2021-11-21</t>
  </si>
  <si>
    <t>2022-04-14</t>
  </si>
  <si>
    <t>2020-07-03</t>
  </si>
  <si>
    <t>2022-08-28</t>
  </si>
  <si>
    <t>2022-01-26</t>
  </si>
  <si>
    <t>2021-08-04</t>
  </si>
  <si>
    <t>2021-12-20</t>
  </si>
  <si>
    <t>2022-09-11</t>
  </si>
  <si>
    <t>2020-03-03</t>
  </si>
  <si>
    <t>2020-01-22</t>
  </si>
  <si>
    <t>2021-10-06</t>
  </si>
  <si>
    <t>2021-04-13</t>
  </si>
  <si>
    <t>2022-03-23</t>
  </si>
  <si>
    <t>2022-07-19</t>
  </si>
  <si>
    <t>2023-02-23</t>
  </si>
  <si>
    <t>2021-11-09</t>
  </si>
  <si>
    <t>2023-04-12</t>
  </si>
  <si>
    <t>2021-11-24</t>
  </si>
  <si>
    <t>2022-12-29</t>
  </si>
  <si>
    <t>2019-10-05</t>
  </si>
  <si>
    <t>2021-03-20</t>
  </si>
  <si>
    <t>2022-06-26</t>
  </si>
  <si>
    <t>2022-02-25</t>
  </si>
  <si>
    <t>2022-05-31</t>
  </si>
  <si>
    <t>2021-04-19</t>
  </si>
  <si>
    <t>2021-08-28</t>
  </si>
  <si>
    <t>2022-01-06</t>
  </si>
  <si>
    <t>2020-08-23</t>
  </si>
  <si>
    <t>2023-03-13</t>
  </si>
  <si>
    <t>2021-01-21</t>
  </si>
  <si>
    <t>2021-08-03</t>
  </si>
  <si>
    <t>2022-04-28</t>
  </si>
  <si>
    <t>2022-02-26</t>
  </si>
  <si>
    <t>2022-08-05</t>
  </si>
  <si>
    <t>2022-12-17</t>
  </si>
  <si>
    <t>2022-07-18</t>
  </si>
  <si>
    <t>2021-02-20</t>
  </si>
  <si>
    <t>2019-10-21</t>
  </si>
  <si>
    <t>2022-01-17</t>
  </si>
  <si>
    <t>2022-07-08</t>
  </si>
  <si>
    <t>2021-03-28</t>
  </si>
  <si>
    <t>2021-05-01</t>
  </si>
  <si>
    <t>2021-03-05</t>
  </si>
  <si>
    <t>2021-03-29</t>
  </si>
  <si>
    <t>2020-10-29</t>
  </si>
  <si>
    <t>2023-02-28</t>
  </si>
  <si>
    <t>2021-04-10</t>
  </si>
  <si>
    <t>2020-08-09</t>
  </si>
  <si>
    <t>2019-12-17</t>
  </si>
  <si>
    <t>2022-07-11</t>
  </si>
  <si>
    <t>2019-11-14</t>
  </si>
  <si>
    <t>2023-02-08</t>
  </si>
  <si>
    <t>2019-11-02</t>
  </si>
  <si>
    <t>2021-10-05</t>
  </si>
  <si>
    <t>2021-03-18</t>
  </si>
  <si>
    <t>2021-10-21</t>
  </si>
  <si>
    <t>2022-06-06</t>
  </si>
  <si>
    <t>2021-10-10</t>
  </si>
  <si>
    <t>2021-09-03</t>
  </si>
  <si>
    <t>2019-09-28</t>
  </si>
  <si>
    <t>2021-04-21</t>
  </si>
  <si>
    <t>2022-05-08</t>
  </si>
  <si>
    <t>2023-02-20</t>
  </si>
  <si>
    <t>2022-01-29</t>
  </si>
  <si>
    <t>2019-11-22</t>
  </si>
  <si>
    <t>2021-07-27</t>
  </si>
  <si>
    <t>2022-07-28</t>
  </si>
  <si>
    <t>2022-12-21</t>
  </si>
  <si>
    <t>2021-10-07</t>
  </si>
  <si>
    <t>2022-09-21</t>
  </si>
  <si>
    <t>2022-10-26</t>
  </si>
  <si>
    <t>2016-04-07</t>
  </si>
  <si>
    <t>2022-06-17</t>
  </si>
  <si>
    <t>2019-12-23</t>
  </si>
  <si>
    <t>2020-10-01</t>
  </si>
  <si>
    <t>2021-07-21</t>
  </si>
  <si>
    <t>2021-07-10</t>
  </si>
  <si>
    <t>2022-03-12</t>
  </si>
  <si>
    <t>2021-10-31</t>
  </si>
  <si>
    <t>2022-03-18</t>
  </si>
  <si>
    <t>2023-02-12</t>
  </si>
  <si>
    <t>2021-11-29</t>
  </si>
  <si>
    <t>2020-08-17</t>
  </si>
  <si>
    <t>2023-01-05</t>
  </si>
  <si>
    <t>2022-07-12</t>
  </si>
  <si>
    <t>2019-11-23</t>
  </si>
  <si>
    <t>2022-10-19</t>
  </si>
  <si>
    <t>2020-12-28</t>
  </si>
  <si>
    <t>2019-03-08</t>
  </si>
  <si>
    <t>2018-10-16</t>
  </si>
  <si>
    <t>2021-12-01</t>
  </si>
  <si>
    <t>2020-07-25</t>
  </si>
  <si>
    <t>2022-01-15</t>
  </si>
  <si>
    <t>2022-10-11</t>
  </si>
  <si>
    <t>2021-08-21</t>
  </si>
  <si>
    <t>2021-10-15</t>
  </si>
  <si>
    <t>2021-06-12</t>
  </si>
  <si>
    <t>2022-01-08</t>
  </si>
  <si>
    <t>2022-05-13</t>
  </si>
  <si>
    <t>2020-01-06</t>
  </si>
  <si>
    <t>2020-08-08</t>
  </si>
  <si>
    <t>2021-03-16</t>
  </si>
  <si>
    <t>2022-01-13</t>
  </si>
  <si>
    <t>2022-12-16</t>
  </si>
  <si>
    <t>2020-05-06</t>
  </si>
  <si>
    <t>2021-08-17</t>
  </si>
  <si>
    <t>2022-11-23</t>
  </si>
  <si>
    <t>2021-08-12</t>
  </si>
  <si>
    <t>2021-02-26</t>
  </si>
  <si>
    <t>2022-11-18</t>
  </si>
  <si>
    <t>2021-10-26</t>
  </si>
  <si>
    <t>2019-10-18</t>
  </si>
  <si>
    <t>2022-09-06</t>
  </si>
  <si>
    <t>2020-10-27</t>
  </si>
  <si>
    <t>2022-09-25</t>
  </si>
  <si>
    <t>2021-08-27</t>
  </si>
  <si>
    <t>2021-03-09</t>
  </si>
  <si>
    <t>2022-01-28</t>
  </si>
  <si>
    <t>2019-05-11</t>
  </si>
  <si>
    <t>2022-03-25</t>
  </si>
  <si>
    <t>2023-04-04</t>
  </si>
  <si>
    <t>2022-04-02</t>
  </si>
  <si>
    <t>2022-11-07</t>
  </si>
  <si>
    <t>2020-12-26</t>
  </si>
  <si>
    <t>2021-10-25</t>
  </si>
  <si>
    <t>2020-07-24</t>
  </si>
  <si>
    <t>2022-03-14</t>
  </si>
  <si>
    <t>2022-05-22</t>
  </si>
  <si>
    <t>2022-09-01</t>
  </si>
  <si>
    <t>2022-09-10</t>
  </si>
  <si>
    <t>2022-12-02</t>
  </si>
  <si>
    <t>2021-12-05</t>
  </si>
  <si>
    <t>2022-12-25</t>
  </si>
  <si>
    <t>2019-12-11</t>
  </si>
  <si>
    <t>2021-07-14</t>
  </si>
  <si>
    <t>2022-08-26</t>
  </si>
  <si>
    <t>2022-12-26</t>
  </si>
  <si>
    <t>2021-05-20</t>
  </si>
  <si>
    <t>2020-01-16</t>
  </si>
  <si>
    <t>2020-10-06</t>
  </si>
  <si>
    <t>2020-07-17</t>
  </si>
  <si>
    <t>2021-08-24</t>
  </si>
  <si>
    <t>2022-01-31</t>
  </si>
  <si>
    <t>2020-10-08</t>
  </si>
  <si>
    <t>2022-02-04</t>
  </si>
  <si>
    <t>2020-01-11</t>
  </si>
  <si>
    <t>2020-02-27</t>
  </si>
  <si>
    <t>2021-11-23</t>
  </si>
  <si>
    <t>2021-02-27</t>
  </si>
  <si>
    <t>2021-06-20</t>
  </si>
  <si>
    <t>2020-06-15</t>
  </si>
  <si>
    <t>2022-11-22</t>
  </si>
  <si>
    <t>2020-01-07</t>
  </si>
  <si>
    <t>2018-11-18</t>
  </si>
  <si>
    <t>2021-08-31</t>
  </si>
  <si>
    <t>2021-01-15</t>
  </si>
  <si>
    <t>2022-06-07</t>
  </si>
  <si>
    <t>2020-03-07</t>
  </si>
  <si>
    <t>2020-11-06</t>
  </si>
  <si>
    <t>2020-08-07</t>
  </si>
  <si>
    <t>2020-07-21</t>
  </si>
  <si>
    <t>2023-03-11</t>
  </si>
  <si>
    <t>2023-02-02</t>
  </si>
  <si>
    <t>2022-06-19</t>
  </si>
  <si>
    <t>2019-09-30</t>
  </si>
  <si>
    <t>2021-07-15</t>
  </si>
  <si>
    <t>2020-05-15</t>
  </si>
  <si>
    <t>2019-10-12</t>
  </si>
  <si>
    <t>2022-04-01</t>
  </si>
  <si>
    <t>2022-01-24</t>
  </si>
  <si>
    <t>2021-01-04</t>
  </si>
  <si>
    <t>2021-07-25</t>
  </si>
  <si>
    <t>2019-08-31</t>
  </si>
  <si>
    <t>2021-08-26</t>
  </si>
  <si>
    <t>2016-05-16</t>
  </si>
  <si>
    <t>2020-01-08</t>
  </si>
  <si>
    <t>2019-06-04</t>
  </si>
  <si>
    <t>2021-05-06</t>
  </si>
  <si>
    <t>2022-03-09</t>
  </si>
  <si>
    <t>2019-12-14</t>
  </si>
  <si>
    <t>2021-10-24</t>
  </si>
  <si>
    <t>2020-10-25</t>
  </si>
  <si>
    <t>2022-01-23</t>
  </si>
  <si>
    <t>2021-12-08</t>
  </si>
  <si>
    <t>2020-12-06</t>
  </si>
  <si>
    <t>2022-05-02</t>
  </si>
  <si>
    <t>2022-07-05</t>
  </si>
  <si>
    <t>2022-06-09</t>
  </si>
  <si>
    <t>2023-01-04</t>
  </si>
  <si>
    <t>2020-01-18</t>
  </si>
  <si>
    <t>2023-02-14</t>
  </si>
  <si>
    <t>2022-03-26</t>
  </si>
  <si>
    <t>2021-03-10</t>
  </si>
  <si>
    <t>2022-09-18</t>
  </si>
  <si>
    <t>2020-06-04</t>
  </si>
  <si>
    <t>2021-01-02</t>
  </si>
  <si>
    <t>2021-10-29</t>
  </si>
  <si>
    <t>2021-10-01</t>
  </si>
  <si>
    <t>2021-02-19</t>
  </si>
  <si>
    <t>2023-01-09</t>
  </si>
  <si>
    <t>2019-12-27</t>
  </si>
  <si>
    <t>2023-03-24</t>
  </si>
  <si>
    <t>2022-08-14</t>
  </si>
  <si>
    <t>2021-01-05</t>
  </si>
  <si>
    <t>2020-08-02</t>
  </si>
  <si>
    <t>2021-10-02</t>
  </si>
  <si>
    <t>2022-11-11</t>
  </si>
  <si>
    <t>2016-05-11</t>
  </si>
  <si>
    <t>2021-09-24</t>
  </si>
  <si>
    <t>2018-10-30</t>
  </si>
  <si>
    <t>2022-01-21</t>
  </si>
  <si>
    <t>2023-03-26</t>
  </si>
  <si>
    <t>2019-08-30</t>
  </si>
  <si>
    <t>2018-06-04</t>
  </si>
  <si>
    <t>2021-02-01</t>
  </si>
  <si>
    <t>2022-03-27</t>
  </si>
  <si>
    <t>2021-04-14</t>
  </si>
  <si>
    <t>2020-11-01</t>
  </si>
  <si>
    <t>2020-11-03</t>
  </si>
  <si>
    <t>2022-01-04</t>
  </si>
  <si>
    <t>2022-05-26</t>
  </si>
  <si>
    <t>2022-05-21</t>
  </si>
  <si>
    <t>2022-06-30</t>
  </si>
  <si>
    <t>2021-07-13</t>
  </si>
  <si>
    <t>2021-07-18</t>
  </si>
  <si>
    <t>2019-11-10</t>
  </si>
  <si>
    <t>2020-08-03</t>
  </si>
  <si>
    <t>2022-06-25</t>
  </si>
  <si>
    <t>2022-07-29</t>
  </si>
  <si>
    <t>2023-02-21</t>
  </si>
  <si>
    <t>2020-08-31</t>
  </si>
  <si>
    <t>2022-05-30</t>
  </si>
  <si>
    <t>2021-01-10</t>
  </si>
  <si>
    <t>2021-09-23</t>
  </si>
  <si>
    <t>2021-11-04</t>
  </si>
  <si>
    <t>2021-05-05</t>
  </si>
  <si>
    <t>2020-06-13</t>
  </si>
  <si>
    <t>2022-03-11</t>
  </si>
  <si>
    <t>2020-01-17</t>
  </si>
  <si>
    <t>2020-09-05</t>
  </si>
  <si>
    <t>2022-05-20</t>
  </si>
  <si>
    <t>2020-11-16</t>
  </si>
  <si>
    <t>2022-04-26</t>
  </si>
  <si>
    <t>2022-08-30</t>
  </si>
  <si>
    <t>2021-12-17</t>
  </si>
  <si>
    <t>2019-12-30</t>
  </si>
  <si>
    <t>2020-06-17</t>
  </si>
  <si>
    <t>2021-07-08</t>
  </si>
  <si>
    <t>2022-06-29</t>
  </si>
  <si>
    <t>2019-12-22</t>
  </si>
  <si>
    <t>2021-10-04</t>
  </si>
  <si>
    <t>2023-01-27</t>
  </si>
  <si>
    <t>2020-05-11</t>
  </si>
  <si>
    <t>2021-10-08</t>
  </si>
  <si>
    <t>2021-11-10</t>
  </si>
  <si>
    <t>2020-06-05</t>
  </si>
  <si>
    <t>2022-07-25</t>
  </si>
  <si>
    <t>2020-02-16</t>
  </si>
  <si>
    <t>2020-02-28</t>
  </si>
  <si>
    <t>2021-11-14</t>
  </si>
  <si>
    <t>2021-06-27</t>
  </si>
  <si>
    <t>2020-09-03</t>
  </si>
  <si>
    <t>2019-12-29</t>
  </si>
  <si>
    <t>2021-08-05</t>
  </si>
  <si>
    <t>2020-03-06</t>
  </si>
  <si>
    <t>2022-03-30</t>
  </si>
  <si>
    <t>2021-05-26</t>
  </si>
  <si>
    <t>2021-03-11</t>
  </si>
  <si>
    <t>2023-03-01</t>
  </si>
  <si>
    <t>2023-04-01</t>
  </si>
  <si>
    <t>2023-02-17</t>
  </si>
  <si>
    <t>2021-10-16</t>
  </si>
  <si>
    <t>2022-02-02</t>
  </si>
  <si>
    <t>2018-06-13</t>
  </si>
  <si>
    <t>2021-06-19</t>
  </si>
  <si>
    <t>2020-03-19</t>
  </si>
  <si>
    <t>2023-03-30</t>
  </si>
  <si>
    <t>2021-05-09</t>
  </si>
  <si>
    <t>2020-10-11</t>
  </si>
  <si>
    <t>2022-12-31</t>
  </si>
  <si>
    <t>2022-05-17</t>
  </si>
  <si>
    <t>2020-09-26</t>
  </si>
  <si>
    <t>2021-08-29</t>
  </si>
  <si>
    <t>2022-02-12</t>
  </si>
  <si>
    <t>2021-12-09</t>
  </si>
  <si>
    <t>2020-09-14</t>
  </si>
  <si>
    <t>2018-02-27</t>
  </si>
  <si>
    <t>2022-08-15</t>
  </si>
  <si>
    <t>2016-12-21</t>
  </si>
  <si>
    <t>2021-04-20</t>
  </si>
  <si>
    <t>2022-11-03</t>
  </si>
  <si>
    <t>2021-12-10</t>
  </si>
  <si>
    <t>2023-01-01</t>
  </si>
  <si>
    <t>2020-05-27</t>
  </si>
  <si>
    <t>2019-10-26</t>
  </si>
  <si>
    <t>2020-07-02</t>
  </si>
  <si>
    <t>2020-09-30</t>
  </si>
  <si>
    <t>2016-08-06</t>
  </si>
  <si>
    <t>2021-09-22</t>
  </si>
  <si>
    <t>2022-11-08</t>
  </si>
  <si>
    <t>2022-05-19</t>
  </si>
  <si>
    <t>2019-11-27</t>
  </si>
  <si>
    <t>2020-02-10</t>
  </si>
  <si>
    <t>2018-01-25</t>
  </si>
  <si>
    <t>2022-04-08</t>
  </si>
  <si>
    <t>2019-07-12</t>
  </si>
  <si>
    <t>2020-12-21</t>
  </si>
  <si>
    <t>2020-10-16</t>
  </si>
  <si>
    <t>2021-11-25</t>
  </si>
  <si>
    <t>2021-10-13</t>
  </si>
  <si>
    <t>2022-02-27</t>
  </si>
  <si>
    <t>2020-01-09</t>
  </si>
  <si>
    <t>2020-05-09</t>
  </si>
  <si>
    <t>2023-01-02</t>
  </si>
  <si>
    <t>2021-08-23</t>
  </si>
  <si>
    <t>2022-05-04</t>
  </si>
  <si>
    <t>2019-06-17</t>
  </si>
  <si>
    <t>2023-01-03</t>
  </si>
  <si>
    <t>2022-10-31</t>
  </si>
  <si>
    <t>2023-04-07</t>
  </si>
  <si>
    <t>2022-10-10</t>
  </si>
  <si>
    <t>2020-01-21</t>
  </si>
  <si>
    <t>2021-05-24</t>
  </si>
  <si>
    <t>2016-12-10</t>
  </si>
  <si>
    <t>2022-11-17</t>
  </si>
  <si>
    <t>2021-06-03</t>
  </si>
  <si>
    <t>2021-02-04</t>
  </si>
  <si>
    <t>2020-05-30</t>
  </si>
  <si>
    <t>2022-07-16</t>
  </si>
  <si>
    <t>2020-06-09</t>
  </si>
  <si>
    <t>2022-02-10</t>
  </si>
  <si>
    <t>2021-08-02</t>
  </si>
  <si>
    <t>2020-12-25</t>
  </si>
  <si>
    <t>2021-09-25</t>
  </si>
  <si>
    <t>2022-10-22</t>
  </si>
  <si>
    <t>2021-08-14</t>
  </si>
  <si>
    <t>2020-02-12</t>
  </si>
  <si>
    <t>2019-11-20</t>
  </si>
  <si>
    <t>2022-04-13</t>
  </si>
  <si>
    <t>2021-04-27</t>
  </si>
  <si>
    <t>2022-09-03</t>
  </si>
  <si>
    <t>2019-07-18</t>
  </si>
  <si>
    <t>2020-11-15</t>
  </si>
  <si>
    <t>2022-06-02</t>
  </si>
  <si>
    <t>2022-11-09</t>
  </si>
  <si>
    <t>2020-03-09</t>
  </si>
  <si>
    <t>2022-05-05</t>
  </si>
  <si>
    <t>2021-07-17</t>
  </si>
  <si>
    <t>2022-11-16</t>
  </si>
  <si>
    <t>2021-07-24</t>
  </si>
  <si>
    <t>2020-06-29</t>
  </si>
  <si>
    <t>2022-10-28</t>
  </si>
  <si>
    <t>2021-08-09</t>
  </si>
  <si>
    <t>2017-06-28</t>
  </si>
  <si>
    <t>2023-02-16</t>
  </si>
  <si>
    <t>2020-08-19</t>
  </si>
  <si>
    <t>2021-10-23</t>
  </si>
  <si>
    <t>2020-01-15</t>
  </si>
  <si>
    <t>2020-10-23</t>
  </si>
  <si>
    <t>2023-02-04</t>
  </si>
  <si>
    <t>2021-10-17</t>
  </si>
  <si>
    <t>2022-01-12</t>
  </si>
  <si>
    <t>2022-08-23</t>
  </si>
  <si>
    <t>2022-11-15</t>
  </si>
  <si>
    <t>2020-04-29</t>
  </si>
  <si>
    <t>2021-08-22</t>
  </si>
  <si>
    <t>2019-05-23</t>
  </si>
  <si>
    <t>2023-01-15</t>
  </si>
  <si>
    <t>2017-03-24</t>
  </si>
  <si>
    <t>2023-02-09</t>
  </si>
  <si>
    <t>2019-11-25</t>
  </si>
  <si>
    <t>2022-02-22</t>
  </si>
  <si>
    <t>2022-10-12</t>
  </si>
  <si>
    <t>2020-02-06</t>
  </si>
  <si>
    <t>2021-09-14</t>
  </si>
  <si>
    <t>2019-10-17</t>
  </si>
  <si>
    <t>2021-02-08</t>
  </si>
  <si>
    <t>2019-09-10</t>
  </si>
  <si>
    <t>2021-02-16</t>
  </si>
  <si>
    <t>2021-01-18</t>
  </si>
  <si>
    <t>2023-03-14</t>
  </si>
  <si>
    <t>2020-04-23</t>
  </si>
  <si>
    <t>2020-10-28</t>
  </si>
  <si>
    <t>2021-01-12</t>
  </si>
  <si>
    <t>2019-08-16</t>
  </si>
  <si>
    <t>2021-05-28</t>
  </si>
  <si>
    <t>2020-02-01</t>
  </si>
  <si>
    <t>2022-06-18</t>
  </si>
  <si>
    <t>2020-03-04</t>
  </si>
  <si>
    <t>2019-10-13</t>
  </si>
  <si>
    <t>2021-10-22</t>
  </si>
  <si>
    <t>2022-02-11</t>
  </si>
  <si>
    <t>2022-08-24</t>
  </si>
  <si>
    <t>2019-12-07</t>
  </si>
  <si>
    <t>2021-10-27</t>
  </si>
  <si>
    <t>2022-10-24</t>
  </si>
  <si>
    <t>2020-07-18</t>
  </si>
  <si>
    <t>2021-11-30</t>
  </si>
  <si>
    <t>2021-02-06</t>
  </si>
  <si>
    <t>2021-11-05</t>
  </si>
  <si>
    <t>2019-10-28</t>
  </si>
  <si>
    <t>2020-12-11</t>
  </si>
  <si>
    <t>2019-11-28</t>
  </si>
  <si>
    <t>2021-11-15</t>
  </si>
  <si>
    <t>2016-03-03</t>
  </si>
  <si>
    <t>2020-07-31</t>
  </si>
  <si>
    <t>2020-12-07</t>
  </si>
  <si>
    <t>2021-01-20</t>
  </si>
  <si>
    <t>2022-08-09</t>
  </si>
  <si>
    <t>2022-04-19</t>
  </si>
  <si>
    <t>2020-12-20</t>
  </si>
  <si>
    <t>2020-05-17</t>
  </si>
  <si>
    <t>2022-08-02</t>
  </si>
  <si>
    <t>2020-02-07</t>
  </si>
  <si>
    <t>2018-11-12</t>
  </si>
  <si>
    <t>2022-05-07</t>
  </si>
  <si>
    <t>2021-06-09</t>
  </si>
  <si>
    <t>2022-09-02</t>
  </si>
  <si>
    <t>2017-02-05</t>
  </si>
  <si>
    <t>2019-12-03</t>
  </si>
  <si>
    <t>2020-05-31</t>
  </si>
  <si>
    <t>2020-03-27</t>
  </si>
  <si>
    <t>2023-01-22</t>
  </si>
  <si>
    <t>2021-10-30</t>
  </si>
  <si>
    <t>2022-07-26</t>
  </si>
  <si>
    <t>2022-08-03</t>
  </si>
  <si>
    <t>2020-02-04</t>
  </si>
  <si>
    <t>2023-03-07</t>
  </si>
  <si>
    <t>2021-01-13</t>
  </si>
  <si>
    <t>2020-11-05</t>
  </si>
  <si>
    <t>2020-07-07</t>
  </si>
  <si>
    <t>2020-10-10</t>
  </si>
  <si>
    <t>2023-04-09</t>
  </si>
  <si>
    <t>2020-04-28</t>
  </si>
  <si>
    <t>2020-03-17</t>
  </si>
  <si>
    <t>2020-03-01</t>
  </si>
  <si>
    <t>2020-04-16</t>
  </si>
  <si>
    <t>2021-07-23</t>
  </si>
  <si>
    <t>2022-01-18</t>
  </si>
  <si>
    <t>2022-06-05</t>
  </si>
  <si>
    <t>2022-09-07</t>
  </si>
  <si>
    <t>2021-03-21</t>
  </si>
  <si>
    <t>2019-10-01</t>
  </si>
  <si>
    <t>2022-07-14</t>
  </si>
  <si>
    <t>2022-05-16</t>
  </si>
  <si>
    <t>2019-12-12</t>
  </si>
  <si>
    <t>2020-12-29</t>
  </si>
  <si>
    <t>2022-10-14</t>
  </si>
  <si>
    <t>2020-07-23</t>
  </si>
  <si>
    <t>2021-08-06</t>
  </si>
  <si>
    <t>2022-08-31</t>
  </si>
  <si>
    <t>2022-12-24</t>
  </si>
  <si>
    <t>2021-05-18</t>
  </si>
  <si>
    <t>2020-12-18</t>
  </si>
  <si>
    <t>2021-04-17</t>
  </si>
  <si>
    <t>2021-01-24</t>
  </si>
  <si>
    <t>2020-08-18</t>
  </si>
  <si>
    <t>2020-12-10</t>
  </si>
  <si>
    <t>2020-09-04</t>
  </si>
  <si>
    <t>2022-01-22</t>
  </si>
  <si>
    <t>2022-01-09</t>
  </si>
  <si>
    <t>2021-04-25</t>
  </si>
  <si>
    <t>2022-09-22</t>
  </si>
  <si>
    <t>2016-11-04</t>
  </si>
  <si>
    <t>2021-02-10</t>
  </si>
  <si>
    <t>2021-08-01</t>
  </si>
  <si>
    <t>2019-09-09</t>
  </si>
  <si>
    <t>2020-09-20</t>
  </si>
  <si>
    <t>2020-12-04</t>
  </si>
  <si>
    <t>2021-08-08</t>
  </si>
  <si>
    <t>2020-09-23</t>
  </si>
  <si>
    <t>2019-12-13</t>
  </si>
  <si>
    <t>2019-12-24</t>
  </si>
  <si>
    <t>2021-06-21</t>
  </si>
  <si>
    <t>2022-02-20</t>
  </si>
  <si>
    <t>2021-06-10</t>
  </si>
  <si>
    <t>2020-04-20</t>
  </si>
  <si>
    <t>2021-02-28</t>
  </si>
  <si>
    <t>2022-05-27</t>
  </si>
  <si>
    <t>2020-04-18</t>
  </si>
  <si>
    <t>2020-04-12</t>
  </si>
  <si>
    <t>2020-11-25</t>
  </si>
  <si>
    <t>2019-12-18</t>
  </si>
  <si>
    <t>2022-08-06</t>
  </si>
  <si>
    <t>2021-06-24</t>
  </si>
  <si>
    <t>2020-11-18</t>
  </si>
  <si>
    <t>2020-11-02</t>
  </si>
  <si>
    <t>2019-10-24</t>
  </si>
  <si>
    <t>2022-04-21</t>
  </si>
  <si>
    <t>2022-06-16</t>
  </si>
  <si>
    <t>2019-06-12</t>
  </si>
  <si>
    <t>2021-05-23</t>
  </si>
  <si>
    <t>2021-06-30</t>
  </si>
  <si>
    <t>2023-02-06</t>
  </si>
  <si>
    <t>2022-08-22</t>
  </si>
  <si>
    <t>2017-05-22</t>
  </si>
  <si>
    <t>2019-12-02</t>
  </si>
  <si>
    <t>2019-10-25</t>
  </si>
  <si>
    <t>2021-01-27</t>
  </si>
  <si>
    <t>2020-01-19</t>
  </si>
  <si>
    <t>2021-09-01</t>
  </si>
  <si>
    <t>2020-10-03</t>
  </si>
  <si>
    <t>2020-11-30</t>
  </si>
  <si>
    <t>2022-08-13</t>
  </si>
  <si>
    <t>2020-08-22</t>
  </si>
  <si>
    <t>2020-08-21</t>
  </si>
  <si>
    <t>2020-06-18</t>
  </si>
  <si>
    <t>2022-09-12</t>
  </si>
  <si>
    <t>2019-09-20</t>
  </si>
  <si>
    <t>2022-12-13</t>
  </si>
  <si>
    <t>2021-05-22</t>
  </si>
  <si>
    <t>2021-05-12</t>
  </si>
  <si>
    <t>2020-09-10</t>
  </si>
  <si>
    <t>2021-08-16</t>
  </si>
  <si>
    <t>2021-06-04</t>
  </si>
  <si>
    <t>2022-08-21</t>
  </si>
  <si>
    <t>2019-12-09</t>
  </si>
  <si>
    <t>2019-11-16</t>
  </si>
  <si>
    <t>2020-03-02</t>
  </si>
  <si>
    <t>2021-01-31</t>
  </si>
  <si>
    <t>2020-04-21</t>
  </si>
  <si>
    <t>2022-06-24</t>
  </si>
  <si>
    <t>2019-07-05</t>
  </si>
  <si>
    <t>2022-06-12</t>
  </si>
  <si>
    <t>2019-05-29</t>
  </si>
  <si>
    <t>2020-04-13</t>
  </si>
  <si>
    <t>2022-08-07</t>
  </si>
  <si>
    <t>2020-12-17</t>
  </si>
  <si>
    <t>2023-04-13</t>
  </si>
  <si>
    <t>2019-10-30</t>
  </si>
  <si>
    <t>2022-09-23</t>
  </si>
  <si>
    <t>2019-12-05</t>
  </si>
  <si>
    <t>2019-08-25</t>
  </si>
  <si>
    <t>2021-06-17</t>
  </si>
  <si>
    <t>2021-03-04</t>
  </si>
  <si>
    <t>2022-06-14</t>
  </si>
  <si>
    <t>2019-04-16</t>
  </si>
  <si>
    <t>2020-02-17</t>
  </si>
  <si>
    <t>2021-02-17</t>
  </si>
  <si>
    <t>2020-10-15</t>
  </si>
  <si>
    <t>2021-07-31</t>
  </si>
  <si>
    <t>2021-07-29</t>
  </si>
  <si>
    <t>2019-06-30</t>
  </si>
  <si>
    <t>2020-02-18</t>
  </si>
  <si>
    <t>2022-06-23</t>
  </si>
  <si>
    <t>2022-06-20</t>
  </si>
  <si>
    <t>2022-04-03</t>
  </si>
  <si>
    <t>2020-02-02</t>
  </si>
  <si>
    <t>2021-01-06</t>
  </si>
  <si>
    <t>2020-08-26</t>
  </si>
  <si>
    <t>2021-02-15</t>
  </si>
  <si>
    <t>2020-12-22</t>
  </si>
  <si>
    <t>2017-04-12</t>
  </si>
  <si>
    <t>2022-10-25</t>
  </si>
  <si>
    <t>2021-12-14</t>
  </si>
  <si>
    <t>2022-11-04</t>
  </si>
  <si>
    <t>2021-04-02</t>
  </si>
  <si>
    <t>2021-01-07</t>
  </si>
  <si>
    <t>2022-10-18</t>
  </si>
  <si>
    <t>2023-01-06</t>
  </si>
  <si>
    <t>2021-03-06</t>
  </si>
  <si>
    <t>2021-01-11</t>
  </si>
  <si>
    <t>2021-07-01</t>
  </si>
  <si>
    <t>2022-08-11</t>
  </si>
  <si>
    <t>2021-12-31</t>
  </si>
  <si>
    <t>2022-09-19</t>
  </si>
  <si>
    <t>2022-01-11</t>
  </si>
  <si>
    <t>2022-09-09</t>
  </si>
  <si>
    <t>2020-11-04</t>
  </si>
  <si>
    <t>2022-05-23</t>
  </si>
  <si>
    <t>2020-05-04</t>
  </si>
  <si>
    <t>2020-09-17</t>
  </si>
  <si>
    <t>2019-11-24</t>
  </si>
  <si>
    <t>2023-01-25</t>
  </si>
  <si>
    <t>2022-04-22</t>
  </si>
  <si>
    <t>2019-04-21</t>
  </si>
  <si>
    <t>2021-02-23</t>
  </si>
  <si>
    <t>2020-05-07</t>
  </si>
  <si>
    <t>2023-03-08</t>
  </si>
  <si>
    <t>2020-08-16</t>
  </si>
  <si>
    <t>2022-04-23</t>
  </si>
  <si>
    <t>2018-02-12</t>
  </si>
  <si>
    <t>2023-01-20</t>
  </si>
  <si>
    <t>2021-03-14</t>
  </si>
  <si>
    <t>2023-01-07</t>
  </si>
  <si>
    <t>2019-10-11</t>
  </si>
  <si>
    <t>2020-08-15</t>
  </si>
  <si>
    <t>2023-01-31</t>
  </si>
  <si>
    <t>2020-10-22</t>
  </si>
  <si>
    <t>2020-04-01</t>
  </si>
  <si>
    <t>2019-11-30</t>
  </si>
  <si>
    <t>2021-02-09</t>
  </si>
  <si>
    <t>2022-09-16</t>
  </si>
  <si>
    <t>2019-01-07</t>
  </si>
  <si>
    <t>2020-06-20</t>
  </si>
  <si>
    <t>2022-08-17</t>
  </si>
  <si>
    <t>2021-11-07</t>
  </si>
  <si>
    <t>2021-11-08</t>
  </si>
  <si>
    <t>2020-06-11</t>
  </si>
  <si>
    <t>2021-11-28</t>
  </si>
  <si>
    <t>2020-09-01</t>
  </si>
  <si>
    <t>2019-12-01</t>
  </si>
  <si>
    <t>2019-07-10</t>
  </si>
  <si>
    <t>2023-04-11</t>
  </si>
  <si>
    <t>2022-08-18</t>
  </si>
  <si>
    <t>2021-05-03</t>
  </si>
  <si>
    <t>2022-11-13</t>
  </si>
  <si>
    <t>2022-10-06</t>
  </si>
  <si>
    <t>2022-06-10</t>
  </si>
  <si>
    <t>2017-07-05</t>
  </si>
  <si>
    <t>2020-11-12</t>
  </si>
  <si>
    <t>2018-11-21</t>
  </si>
  <si>
    <t>2020-07-04</t>
  </si>
  <si>
    <t>2020-11-07</t>
  </si>
  <si>
    <t>2019-09-25</t>
  </si>
  <si>
    <t>2022-05-12</t>
  </si>
  <si>
    <t>2021-06-18</t>
  </si>
  <si>
    <t>2019-06-15</t>
  </si>
  <si>
    <t>2019-10-16</t>
  </si>
  <si>
    <t>2019-07-27</t>
  </si>
  <si>
    <t>2022-07-10</t>
  </si>
  <si>
    <t>2022-07-02</t>
  </si>
  <si>
    <t>2019-06-22</t>
  </si>
  <si>
    <t>2022-01-07</t>
  </si>
  <si>
    <t>2020-07-30</t>
  </si>
  <si>
    <t>2022-07-09</t>
  </si>
  <si>
    <t>2021-06-08</t>
  </si>
  <si>
    <t>2019-11-11</t>
  </si>
  <si>
    <t>2021-03-02</t>
  </si>
  <si>
    <t>2016-09-19</t>
  </si>
  <si>
    <t>2020-02-05</t>
  </si>
  <si>
    <t>2023-02-07</t>
  </si>
  <si>
    <t>2020-07-26</t>
  </si>
  <si>
    <t>2022-11-25</t>
  </si>
  <si>
    <t>2020-04-27</t>
  </si>
  <si>
    <t>2019-11-07</t>
  </si>
  <si>
    <t>2020-07-19</t>
  </si>
  <si>
    <t>2019-11-19</t>
  </si>
  <si>
    <t>2018-05-12</t>
  </si>
  <si>
    <t>2021-07-03</t>
  </si>
  <si>
    <t>2021-03-07</t>
  </si>
  <si>
    <t>2022-04-09</t>
  </si>
  <si>
    <t>2022-12-05</t>
  </si>
  <si>
    <t>2022-02-15</t>
  </si>
  <si>
    <t>2022-10-02</t>
  </si>
  <si>
    <t>2022-02-19</t>
  </si>
  <si>
    <t>2021-02-13</t>
  </si>
  <si>
    <t>2020-09-27</t>
  </si>
  <si>
    <t>2020-05-21</t>
  </si>
  <si>
    <t>2021-02-07</t>
  </si>
  <si>
    <t>2021-08-18</t>
  </si>
  <si>
    <t>2016-06-28</t>
  </si>
  <si>
    <t>2019-12-08</t>
  </si>
  <si>
    <t>2021-04-09</t>
  </si>
  <si>
    <t>2021-07-28</t>
  </si>
  <si>
    <t>2020-08-01</t>
  </si>
  <si>
    <t>2021-11-26</t>
  </si>
  <si>
    <t>2016-06-17</t>
  </si>
  <si>
    <t>2020-01-27</t>
  </si>
  <si>
    <t>2020-01-25</t>
  </si>
  <si>
    <t>2021-04-28</t>
  </si>
  <si>
    <t>2020-01-20</t>
  </si>
  <si>
    <t>2021-12-23</t>
  </si>
  <si>
    <t>2020-03-21</t>
  </si>
  <si>
    <t>2019-10-03</t>
  </si>
  <si>
    <t>2019-11-05</t>
  </si>
  <si>
    <t>2020-07-10</t>
  </si>
  <si>
    <t>2020-10-26</t>
  </si>
  <si>
    <t>2018-10-24</t>
  </si>
  <si>
    <t>2020-07-08</t>
  </si>
  <si>
    <t>2022-05-18</t>
  </si>
  <si>
    <t>2020-03-12</t>
  </si>
  <si>
    <t>2020-07-13</t>
  </si>
  <si>
    <t>2020-12-31</t>
  </si>
  <si>
    <t>2020-02-13</t>
  </si>
  <si>
    <t>2020-05-05</t>
  </si>
  <si>
    <t>2023-01-30</t>
  </si>
  <si>
    <t>2020-09-11</t>
  </si>
  <si>
    <t>2023-03-27</t>
  </si>
  <si>
    <t>2020-06-21</t>
  </si>
  <si>
    <t>2017-09-10</t>
  </si>
  <si>
    <t>2020-05-01</t>
  </si>
  <si>
    <t>2019-01-10</t>
  </si>
  <si>
    <t>2019-11-29</t>
  </si>
  <si>
    <t>2020-07-06</t>
  </si>
  <si>
    <t>2020-12-24</t>
  </si>
  <si>
    <t>2019-09-15</t>
  </si>
  <si>
    <t>2020-09-18</t>
  </si>
  <si>
    <t>2022-04-04</t>
  </si>
  <si>
    <t>2022-06-13</t>
  </si>
  <si>
    <t>2021-09-19</t>
  </si>
  <si>
    <t>дата</t>
  </si>
  <si>
    <t>дни</t>
  </si>
  <si>
    <t>Названия строк</t>
  </si>
  <si>
    <t>Общий итог</t>
  </si>
  <si>
    <t>R*</t>
  </si>
  <si>
    <t>F*</t>
  </si>
  <si>
    <t>M*</t>
  </si>
  <si>
    <t>R</t>
  </si>
  <si>
    <t>F</t>
  </si>
  <si>
    <t>M</t>
  </si>
  <si>
    <t>RFM</t>
  </si>
  <si>
    <t>min</t>
  </si>
  <si>
    <t>max</t>
  </si>
  <si>
    <t>L</t>
  </si>
  <si>
    <t>L/5</t>
  </si>
  <si>
    <t>A</t>
  </si>
  <si>
    <t>B</t>
  </si>
  <si>
    <t>C</t>
  </si>
  <si>
    <t>D</t>
  </si>
  <si>
    <t>L/3</t>
  </si>
  <si>
    <t>Count</t>
  </si>
  <si>
    <t>RF</t>
  </si>
  <si>
    <t>Новички</t>
  </si>
  <si>
    <t>Перспективные</t>
  </si>
  <si>
    <t>Лояльные</t>
  </si>
  <si>
    <t>В зона риска</t>
  </si>
  <si>
    <t>В зона потери</t>
  </si>
  <si>
    <t>Дрейфующие</t>
  </si>
  <si>
    <t>Спящие</t>
  </si>
  <si>
    <t>Тип</t>
  </si>
  <si>
    <t>деньги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</si>
</sst>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66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FFFFCC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164" fontId="0" fillId="5" borderId="0" xfId="0" applyNumberFormat="1" applyFill="1"/>
    <xf numFmtId="164" fontId="0" fillId="5" borderId="1" xfId="0" applyNumberFormat="1" applyFill="1" applyBorder="1"/>
    <xf numFmtId="0" fontId="2" fillId="6" borderId="3" xfId="0" applyFont="1" applyFill="1" applyBorder="1"/>
    <xf numFmtId="0" fontId="2" fillId="7" borderId="3" xfId="0" applyFont="1" applyFill="1" applyBorder="1"/>
    <xf numFmtId="0" fontId="2" fillId="8" borderId="3" xfId="0" applyFont="1" applyFill="1" applyBorder="1"/>
    <xf numFmtId="0" fontId="0" fillId="0" borderId="1" xfId="0" applyBorder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6.533803819446" createdVersion="8" refreshedVersion="8" minRefreshableVersion="3" recordCount="3000" xr:uid="{8603D4ED-EE9D-45D4-B03E-68DEC8E55175}">
  <cacheSource type="worksheet">
    <worksheetSource ref="A1:F3001" sheet="Sheet1"/>
  </cacheSource>
  <cacheFields count="6">
    <cacheField name="ClientID" numFmtId="0">
      <sharedItems containsSemiMixedTypes="0" containsString="0" containsNumber="1" containsInteger="1" minValue="2816901033034348" maxValue="1.8443997980654549E+19" count="2116">
        <n v="1.820327599306591E+19"/>
        <n v="7.1895242910988739E+18"/>
        <n v="4.3544470910002161E+18"/>
        <n v="3.0717687172480732E+18"/>
        <n v="6.3309673559597763E+18"/>
        <n v="1.2672251890430099E+19"/>
        <n v="1.7784724407515521E+19"/>
        <n v="1.0208256641071489E+19"/>
        <n v="2.6685497503073772E+18"/>
        <n v="1.736292643533686E+19"/>
        <n v="5.9912185336162427E+18"/>
        <n v="5.306007669942868E+18"/>
        <n v="6.2331944931402336E+16"/>
        <n v="1.334954948546442E+19"/>
        <n v="8.6074183131094415E+18"/>
        <n v="3.6529955794416147E+17"/>
        <n v="9.3420725521030205E+18"/>
        <n v="1.6500053159019121E+19"/>
        <n v="6.3662245030475868E+18"/>
        <n v="1.495961101144532E+19"/>
        <n v="1.670911701449976E+19"/>
        <n v="1.0796066666527969E+19"/>
        <n v="5.6918524632912978E+18"/>
        <n v="1.4262226225398641E+19"/>
        <n v="1.83139076252951E+19"/>
        <n v="3.911655942259586E+18"/>
        <n v="2.344110911434175E+18"/>
        <n v="1.1816606548421321E+19"/>
        <n v="2.7738114444906752E+18"/>
        <n v="5.7520093369095059E+17"/>
        <n v="6.8786533844441723E+18"/>
        <n v="5.7976081621662054E+18"/>
        <n v="1.751723558495684E+19"/>
        <n v="1.430480357151803E+19"/>
        <n v="5.3973038049061745E+18"/>
        <n v="1.421415178824958E+19"/>
        <n v="1.2685288237024381E+19"/>
        <n v="6.1294857726784379E+18"/>
        <n v="5.3732341107030211E+18"/>
        <n v="1.676357141237368E+19"/>
        <n v="1.6777193568567321E+19"/>
        <n v="1.240325528226262E+19"/>
        <n v="2.0771841791762591E+18"/>
        <n v="4.1851863206250301E+18"/>
        <n v="1.28627772289622E+19"/>
        <n v="1.5840800185098491E+18"/>
        <n v="1.5574239814710999E+19"/>
        <n v="7.2076794550135798E+18"/>
        <n v="1.1886913938454659E+19"/>
        <n v="1.7064670473445911E+19"/>
        <n v="1.802287598892639E+19"/>
        <n v="5.2922210755784581E+18"/>
        <n v="5.6058152256816343E+18"/>
        <n v="8.1026168591445023E+18"/>
        <n v="5.880092382884011E+18"/>
        <n v="1.8290896633043259E+19"/>
        <n v="4.3136611516126039E+18"/>
        <n v="4.7412492185996429E+17"/>
        <n v="1.169476368133078E+19"/>
        <n v="7.1585107620074312E+18"/>
        <n v="1.036004001663831E+19"/>
        <n v="2.845766777001474E+18"/>
        <n v="2.8791522318330199E+18"/>
        <n v="1.3917480670769701E+19"/>
        <n v="1.591836987103461E+19"/>
        <n v="1.8064953439810699E+19"/>
        <n v="1.34213405262877E+19"/>
        <n v="2.4913460905217208E+18"/>
        <n v="3.3061567698177551E+18"/>
        <n v="1.679598666735361E+19"/>
        <n v="1.1031905768337531E+19"/>
        <n v="1.5813384205698601E+19"/>
        <n v="7.7097380129693888E+17"/>
        <n v="5.8340963873294909E+18"/>
        <n v="4.196813306737175E+18"/>
        <n v="1.5926796688468109E+19"/>
        <n v="1.8435006646178829E+17"/>
        <n v="1.363333817944542E+19"/>
        <n v="1.5103585447139899E+19"/>
        <n v="1.1550104643117511E+19"/>
        <n v="8.4525285881887816E+18"/>
        <n v="1.6808117805538869E+19"/>
        <n v="5.7910861182605609E+18"/>
        <n v="1.071092417031841E+19"/>
        <n v="1.481483603206348E+19"/>
        <n v="2.5412988130793498E+18"/>
        <n v="1.825626145972831E+19"/>
        <n v="9.1212184918702653E+18"/>
        <n v="1.510372968522557E+19"/>
        <n v="1.479679806587535E+19"/>
        <n v="3.6793056153410719E+18"/>
        <n v="1.1243664569943089E+19"/>
        <n v="4.7892406125369027E+18"/>
        <n v="1.234620301174427E+19"/>
        <n v="1.010084852275994E+19"/>
        <n v="1.6798863010277089E+19"/>
        <n v="8.8209216732971704E+18"/>
        <n v="5.0200884906810337E+18"/>
        <n v="6.1484501004097894E+18"/>
        <n v="7.2768294671938744E+18"/>
        <n v="1.828978405457094E+19"/>
        <n v="1.499652581721549E+19"/>
        <n v="1.608732702164681E+18"/>
        <n v="4.5992564956347039E+18"/>
        <n v="6.3481624462595748E+18"/>
        <n v="1.3933325988243599E+19"/>
        <n v="6.084764153214294E+18"/>
        <n v="1.769683217212792E+19"/>
        <n v="1.1655005617193689E+19"/>
        <n v="9.2786993871629066E+18"/>
        <n v="8.615932288906793E+18"/>
        <n v="4.9450563649617633E+18"/>
        <n v="8.0400317019907297E+18"/>
        <n v="1.3968261657304629E+19"/>
        <n v="4.5328982199816069E+18"/>
        <n v="2.04599369723842E+18"/>
        <n v="1.6598048745780359E+19"/>
        <n v="5.7314394643560571E+18"/>
        <n v="1.455987265867716E+19"/>
        <n v="8.012821087019391E+18"/>
        <n v="1.476654758115046E+19"/>
        <n v="7.5960602852994256E+16"/>
        <n v="8.3220998613881928E+18"/>
        <n v="1.2530939074231751E+19"/>
        <n v="1.9526037705138371E+18"/>
        <n v="1.005152142697114E+18"/>
        <n v="1.750162701425094E+19"/>
        <n v="1.168101444233914E+19"/>
        <n v="4.8202440816167782E+18"/>
        <n v="9.771607642693548E+18"/>
        <n v="1.7830572075161309E+19"/>
        <n v="5.5407192610282045E+18"/>
        <n v="2.225462902853954E+18"/>
        <n v="1.764911761322428E+19"/>
        <n v="1.145588362923189E+19"/>
        <n v="7.078790832576682E+18"/>
        <n v="2.6721041171314299E+18"/>
        <n v="4.7931904598988749E+18"/>
        <n v="5.8340753107297587E+18"/>
        <n v="1.1886972157497281E+19"/>
        <n v="1.1748387589311001E+19"/>
        <n v="1.160766389248658E+19"/>
        <n v="1.8137111385135651E+19"/>
        <n v="2.9736787866978289E+18"/>
        <n v="9.6122222484694364E+18"/>
        <n v="5.9243940192343204E+18"/>
        <n v="8.4915234036773478E+18"/>
        <n v="1.1774399960171579E+18"/>
        <n v="1.525234002805547E+19"/>
        <n v="4.3931228336396959E+18"/>
        <n v="2.0142520458862761E+18"/>
        <n v="1.0541013610742131E+19"/>
        <n v="3.350444082874046E+18"/>
        <n v="2.186524740627071E+18"/>
        <n v="8.8673048398511145E+18"/>
        <n v="1.9971065681587571E+18"/>
        <n v="2.8651927368076319E+18"/>
        <n v="1.4691213133281549E+18"/>
        <n v="5.0481806929191342E+18"/>
        <n v="6.8081673511501599E+18"/>
        <n v="9.6321694814680187E+18"/>
        <n v="1.3124075437308191E+19"/>
        <n v="6.31703434655326E+18"/>
        <n v="1.3705793649912039E+19"/>
        <n v="6.6437018081170381E+17"/>
        <n v="5.062924551433218E+18"/>
        <n v="7.3495204148405125E+18"/>
        <n v="1.300146662164583E+19"/>
        <n v="1.049243531480115E+19"/>
        <n v="1.3593324848231891E+19"/>
        <n v="1.733656592255062E+19"/>
        <n v="3.8623480902649252E+18"/>
        <n v="1.24462809513251E+19"/>
        <n v="1.000893489261431E+19"/>
        <n v="1.9199465908224901E+18"/>
        <n v="4.850517775836585E+18"/>
        <n v="1.099903876814099E+19"/>
        <n v="1.115799380323557E+19"/>
        <n v="1.023189554626777E+18"/>
        <n v="9.5591234173917E+18"/>
        <n v="1.122980992366614E+18"/>
        <n v="3.9926169556438211E+18"/>
        <n v="3.2454530566074941E+18"/>
        <n v="8.7716318777703711E+18"/>
        <n v="1.7584192800198799E+19"/>
        <n v="9.1869005501774121E+18"/>
        <n v="2.2219326285600251E+18"/>
        <n v="6.0965140272997366E+18"/>
        <n v="4.9500099252429445E+18"/>
        <n v="1.195913589439642E+19"/>
        <n v="3.8820816954258478E+18"/>
        <n v="1.7273082300137501E+19"/>
        <n v="1.0162945802526751E+19"/>
        <n v="5.2552553803214479E+18"/>
        <n v="1.1466666695778251E+19"/>
        <n v="1.046303413898793E+18"/>
        <n v="1.6955885148495741E+19"/>
        <n v="6.0436031502157281E+18"/>
        <n v="8.1668287347197952E+18"/>
        <n v="1.7714807636284101E+19"/>
        <n v="7.0951104832175278E+18"/>
        <n v="4.9679677734774938E+18"/>
        <n v="1.100379652071211E+18"/>
        <n v="3.9325204183798779E+18"/>
        <n v="1.629324704820073E+18"/>
        <n v="5.3744616220022743E+18"/>
        <n v="1.718629974621432E+19"/>
        <n v="1.747375696233046E+19"/>
        <n v="5.8066164037275054E+18"/>
        <n v="9.1291267439478784E+18"/>
        <n v="1.147967475040103E+19"/>
        <n v="7.9294584105126963E+18"/>
        <n v="6.0502654778610524E+18"/>
        <n v="1.3114024756188649E+19"/>
        <n v="5.4059398132815749E+18"/>
        <n v="8.9006622298564833E+18"/>
        <n v="1.000332499578177E+18"/>
        <n v="1.9146529279689521E+18"/>
        <n v="5.9294889023276319E+18"/>
        <n v="1.3496035708042889E+19"/>
        <n v="2.8877773766432451E+18"/>
        <n v="1.193444999446759E+19"/>
        <n v="1.1521822572636701E+19"/>
        <n v="8.3774731282470246E+18"/>
        <n v="1.7101959863354759E+19"/>
        <n v="5.1197851135200154E+18"/>
        <n v="1.564261451565621E+19"/>
        <n v="8.2940122123659622E+18"/>
        <n v="1.646635473202792E+19"/>
        <n v="8.6886831850354483E+18"/>
        <n v="1.756406149997612E+19"/>
        <n v="9.5516477578069279E+18"/>
        <n v="1.336821147565943E+19"/>
        <n v="1.26918699747578E+19"/>
        <n v="6.667778297334103E+18"/>
        <n v="1.162597696295221E+18"/>
        <n v="1.2418058850637941E+19"/>
        <n v="3.0310206824360947E+17"/>
        <n v="1.602840828731018E+19"/>
        <n v="6.3787399135739679E+18"/>
        <n v="1.126781882181503E+19"/>
        <n v="1.0124995188450449E+19"/>
        <n v="3.0502653338408781E+18"/>
        <n v="1.6835746633637411E+19"/>
        <n v="1.7849563115073061E+19"/>
        <n v="7.2497447867208612E+18"/>
        <n v="3.2151136791418732E+18"/>
        <n v="4.212623568848788E+18"/>
        <n v="1.761906681546685E+19"/>
        <n v="1.305184232615619E+19"/>
        <n v="1.391907373968365E+19"/>
        <n v="1.7855228102245231E+19"/>
        <n v="3.8104946415188419E+18"/>
        <n v="1.991966278736863E+17"/>
        <n v="9.3126309696455844E+18"/>
        <n v="6.155040696454528E+18"/>
        <n v="1.1067767840657379E+19"/>
        <n v="6.2774505286284667E+18"/>
        <n v="1.0732763130336319E+19"/>
        <n v="5.8825871455281633E+18"/>
        <n v="1.837888610150903E+19"/>
        <n v="5.160656493172777E+18"/>
        <n v="1.7496776803139271E+19"/>
        <n v="4.3463733059550648E+18"/>
        <n v="1.0304751137086179E+19"/>
        <n v="1.243022858022132E+18"/>
        <n v="5.210992950617346E+18"/>
        <n v="1.49593763185252E+19"/>
        <n v="1.092949294617218E+19"/>
        <n v="3.8718698369645599E+18"/>
        <n v="1.3594245574007099E+19"/>
        <n v="8.471699444273963E+18"/>
        <n v="1.3063865385494589E+18"/>
        <n v="1.4209261969873701E+19"/>
        <n v="7.4798904250766193E+18"/>
        <n v="9.283264815651498E+18"/>
        <n v="8.4680920074105743E+18"/>
        <n v="1.2730106014305079E+19"/>
        <n v="1.5241763823784481E+19"/>
        <n v="1.2736719268360391E+19"/>
        <n v="5.7556105243482644E+18"/>
        <n v="8.765305006201388E+18"/>
        <n v="4.7450770801101681E+18"/>
        <n v="1.1868077272663519E+19"/>
        <n v="1.196519488682964E+19"/>
        <n v="6.5695404423805542E+18"/>
        <n v="1.65655313105826E+19"/>
        <n v="8.6609747857146327E+18"/>
        <n v="9.3114124448562811E+18"/>
        <n v="9.4805907407423304E+18"/>
        <n v="1.3779324209772151E+19"/>
        <n v="3.0045239399906529E+18"/>
        <n v="4.1118846582469458E+18"/>
        <n v="8.8409319117374515E+18"/>
        <n v="1.7412463055458251E+19"/>
        <n v="1.040412174818116E+19"/>
        <n v="3.0219644670991872E+18"/>
        <n v="1.8440167898002801E+19"/>
        <n v="1.7951873441832131E+19"/>
        <n v="6.2355655699120046E+18"/>
        <n v="1.6644801055629181E+19"/>
        <n v="1.5308735232356551E+19"/>
        <n v="1.052882320833083E+19"/>
        <n v="1.0144809785486309E+19"/>
        <n v="1.6094244417354549E+19"/>
        <n v="4.2728264437008538E+18"/>
        <n v="1.3754657606156081E+18"/>
        <n v="7.8543839468531302E+18"/>
        <n v="3.8730926034270961E+18"/>
        <n v="3.2743342909548442E+18"/>
        <n v="1.363557571381281E+19"/>
        <n v="6.6130664491283999E+18"/>
        <n v="9.9997063924467917E+17"/>
        <n v="3.8062534945437491E+18"/>
        <n v="1.8150622644532199E+19"/>
        <n v="1.464810874174613E+18"/>
        <n v="1.496928590559763E+19"/>
        <n v="4.7894399729084293E+18"/>
        <n v="1.099566546605065E+19"/>
        <n v="1.273884389844678E+19"/>
        <n v="4.701188881007828E+18"/>
        <n v="1.61628271192128E+19"/>
        <n v="2.4027411443830999E+18"/>
        <n v="7.2351100005471386E+18"/>
        <n v="4.8366144911632036E+18"/>
        <n v="1.4375762660099E+19"/>
        <n v="2.7772083311998751E+18"/>
        <n v="6.1981796903171369E+18"/>
        <n v="3.0395197140953411E+18"/>
        <n v="1.6828427059661771E+19"/>
        <n v="6.9191498533146655E+18"/>
        <n v="1.3560338767012139E+19"/>
        <n v="8.7568087296080701E+18"/>
        <n v="7.3910230911994184E+18"/>
        <n v="1.9768590323039109E+18"/>
        <n v="1.7553228398623441E+19"/>
        <n v="3.291601169534828E+18"/>
        <n v="8.2387452162546698E+18"/>
        <n v="1.1170997202852631E+19"/>
        <n v="4.1979686203009562E+18"/>
        <n v="1.034546681665433E+19"/>
        <n v="1.486762239790227E+19"/>
        <n v="1.2491910575003779E+19"/>
        <n v="1.5776470081554911E+18"/>
        <n v="1.2852288836830581E+19"/>
        <n v="3.389320589001964E+18"/>
        <n v="1.069659610045831E+19"/>
        <n v="1.4416220990461239E+19"/>
        <n v="1.2095133762377641E+18"/>
        <n v="8.0436897055711142E+17"/>
        <n v="1.44972330194276E+19"/>
        <n v="7.9655924195363287E+18"/>
        <n v="1.1883551131589671E+19"/>
        <n v="4.8769984664423875E+18"/>
        <n v="5.7659891873700403E+18"/>
        <n v="2.6866862189319229E+18"/>
        <n v="8.4018263479148943E+18"/>
        <n v="1.753867985580528E+19"/>
        <n v="3.3239069988387597E+17"/>
        <n v="1.606085863376258E+19"/>
        <n v="1.472802365632863E+19"/>
        <n v="1.0637602183882199E+19"/>
        <n v="1.01315417837344E+18"/>
        <n v="5.8527438191363031E+18"/>
        <n v="6.5643654175855411E+18"/>
        <n v="8.8812564427983503E+18"/>
        <n v="6.975653972301268E+18"/>
        <n v="1.3784682813159739E+19"/>
        <n v="1.1491400822540571E+19"/>
        <n v="1.0554479503926821E+19"/>
        <n v="1.023326339046786E+19"/>
        <n v="1.298848756181147E+19"/>
        <n v="1.0205499400559471E+19"/>
        <n v="4.5593323890435702E+18"/>
        <n v="9.7965584736728637E+18"/>
        <n v="1.0432509521820989E+19"/>
        <n v="1.9730730410505751E+18"/>
        <n v="6.5677631329683415E+18"/>
        <n v="5.8332898819975539E+17"/>
        <n v="1.589363081237684E+19"/>
        <n v="1.584062040801715E+19"/>
        <n v="1.7876883666677039E+19"/>
        <n v="1.5299920061904511E+19"/>
        <n v="3.674025689273685E+18"/>
        <n v="1.215655521005091E+19"/>
        <n v="1.6082214315427379E+19"/>
        <n v="4.200684856420906E+18"/>
        <n v="6.0930507342067261E+18"/>
        <n v="1.386814484181495E+19"/>
        <n v="3.4752083850087532E+18"/>
        <n v="3.7695374929120262E+17"/>
        <n v="1.3715123392936371E+18"/>
        <n v="5.5103799152353352E+18"/>
        <n v="6.11687229500642E+18"/>
        <n v="1.6648248093142911E+19"/>
        <n v="1.765545775684148E+19"/>
        <n v="9.3721715798642401E+18"/>
        <n v="1.2388158799828779E+19"/>
        <n v="5.2949354389902428E+18"/>
        <n v="1.189350777522923E+18"/>
        <n v="6.7894057374757151E+18"/>
        <n v="1.24032174026972E+19"/>
        <n v="5.6429876351709235E+18"/>
        <n v="1.1294433590603149E+19"/>
        <n v="1.0208362165942811E+19"/>
        <n v="1.4069268783842439E+19"/>
        <n v="3.585305683131863E+18"/>
        <n v="1.269263325481158E+19"/>
        <n v="1.256053743708636E+19"/>
        <n v="9.9043953447114916E+18"/>
        <n v="4.7695004862084803E+18"/>
        <n v="6.3632607311316357E+18"/>
        <n v="5.2409836785042022E+17"/>
        <n v="5.1068414271306322E+18"/>
        <n v="4.9000438688418744E+18"/>
        <n v="2.000810273900578E+18"/>
        <n v="4.8320004813216389E+18"/>
        <n v="2.3383858770138522E+18"/>
        <n v="4.0056088428659872E+17"/>
        <n v="4.8461358195959821E+17"/>
        <n v="1.3615365342194739E+19"/>
        <n v="5.6384367051789804E+18"/>
        <n v="2.6558718654448399E+18"/>
        <n v="1.6642459519053869E+19"/>
        <n v="4.4418718641919068E+18"/>
        <n v="1.6429661775723479E+19"/>
        <n v="8.9683304329081651E+18"/>
        <n v="2.564259622408022E+18"/>
        <n v="1.3315643414881509E+19"/>
        <n v="5.4003993865011261E+18"/>
        <n v="7.2000367338064968E+18"/>
        <n v="1.351714894414312E+19"/>
        <n v="1.4316968399317361E+19"/>
        <n v="8.4465724405097103E+18"/>
        <n v="1.3482468725153029E+18"/>
        <n v="1.3143191489421359E+19"/>
        <n v="7.5299440716685742E+18"/>
        <n v="1.2480650001792049E+19"/>
        <n v="1.5765648282367701E+19"/>
        <n v="1.547472592135144E+19"/>
        <n v="1.1207670893265261E+19"/>
        <n v="1.0981158295790479E+19"/>
        <n v="1.0338236646254201E+19"/>
        <n v="1.2754514533698959E+19"/>
        <n v="1.0442949896467859E+19"/>
        <n v="1.1132565473107669E+19"/>
        <n v="1.179509387340972E+17"/>
        <n v="1.3371768346152149E+19"/>
        <n v="1.178645923819018E+19"/>
        <n v="4.971188874099796E+18"/>
        <n v="8.9323290244367526E+17"/>
        <n v="1.0914199203292729E+19"/>
        <n v="1.4311714084248011E+19"/>
        <n v="5.1151533040191508E+18"/>
        <n v="6.4691629409427087E+18"/>
        <n v="1.542473145981388E+19"/>
        <n v="1.5126885222376651E+19"/>
        <n v="7.3044169029944924E+18"/>
        <n v="1.427428106630083E+19"/>
        <n v="1.4167725370541911E+18"/>
        <n v="1.064432394007756E+19"/>
        <n v="1.411496331180091E+19"/>
        <n v="1.2590142741476041E+19"/>
        <n v="1.02172950625995E+19"/>
        <n v="3.4990096452295839E+18"/>
        <n v="7.4503376825986447E+18"/>
        <n v="2.9446560957322291E+18"/>
        <n v="2.510202513728401E+17"/>
        <n v="1.1303649973130521E+19"/>
        <n v="1.6286136303727159E+19"/>
        <n v="1.5103322672922581E+19"/>
        <n v="5.1485119209302528E+18"/>
        <n v="1.7016907167677581E+18"/>
        <n v="2.6861049038826102E+18"/>
        <n v="3.7951345674892979E+18"/>
        <n v="2.6757948269741338E+18"/>
        <n v="1.161247205855633E+19"/>
        <n v="1.041325585662787E+19"/>
        <n v="2.0004746253358771E+18"/>
        <n v="2.1445875065722711E+18"/>
        <n v="1.3153809842568221E+19"/>
        <n v="1.3108019832869581E+19"/>
        <n v="5.8245192961811661E+18"/>
        <n v="1.4126825949175851E+19"/>
        <n v="1.2061853660397591E+19"/>
        <n v="8.8021057141217864E+18"/>
        <n v="1.609852388043197E+19"/>
        <n v="1.457219832459044E+19"/>
        <n v="1.2695739661829241E+19"/>
        <n v="1.0918317965913139E+19"/>
        <n v="3.0216912176067718E+17"/>
        <n v="1.7972254181524779E+19"/>
        <n v="6.3366569435153132E+18"/>
        <n v="1.0101712164839559E+19"/>
        <n v="1.416306776741248E+19"/>
        <n v="1.1523051514952149E+19"/>
        <n v="6.3308097158382285E+18"/>
        <n v="2.6449074443805271E+18"/>
        <n v="4.6209190320835246E+18"/>
        <n v="7.530252964857858E+18"/>
        <n v="4.5624078666477901E+18"/>
        <n v="1.73052055947601E+19"/>
        <n v="1.211195581225029E+19"/>
        <n v="7.8620508395246733E+17"/>
        <n v="6.9147518516432422E+17"/>
        <n v="5.6974482217642691E+18"/>
        <n v="1.4456830229592809E+19"/>
        <n v="4.6112523702828739E+18"/>
        <n v="1.4430650406078761E+19"/>
        <n v="1.7195823753244791E+19"/>
        <n v="1.1892397586174779E+19"/>
        <n v="6.2599499234929787E+18"/>
        <n v="1.2061880677718579E+19"/>
        <n v="1.928598308475934E+18"/>
        <n v="1.706372138256819E+19"/>
        <n v="4.2881579349642619E+18"/>
        <n v="3.8822343132996511E+18"/>
        <n v="6.3035102497799158E+18"/>
        <n v="9.8270771362328934E+17"/>
        <n v="1.154366778486877E+19"/>
        <n v="1.5813885059110459E+19"/>
        <n v="4.3842148892131758E+18"/>
        <n v="9.0073211666938911E+18"/>
        <n v="2.5539692136129722E+17"/>
        <n v="4.094269431837227E+18"/>
        <n v="1.510216515945837E+19"/>
        <n v="1.675574844922743E+19"/>
        <n v="1.4292414189915501E+19"/>
        <n v="1.824466406295605E+18"/>
        <n v="1.4281018237799711E+19"/>
        <n v="1.4427428116042281E+18"/>
        <n v="1.4503463643584E+19"/>
        <n v="1.6502892064455491E+18"/>
        <n v="1.536672420053701E+19"/>
        <n v="1.360719435373294E+19"/>
        <n v="1.7451978901407271E+19"/>
        <n v="6.2213589487169055E+18"/>
        <n v="1.4358514523277611E+19"/>
        <n v="1.7263309530364119E+19"/>
        <n v="3.599136762635753E+17"/>
        <n v="1.142685925263751E+19"/>
        <n v="1.4510001291487109E+19"/>
        <n v="8.3761788875651021E+18"/>
        <n v="9.2781126943122145E+18"/>
        <n v="7.3761653183158497E+18"/>
        <n v="5.7983901334204365E+18"/>
        <n v="1.498780301633416E+19"/>
        <n v="1.4124490964674601E+19"/>
        <n v="7.5659730072132506E+18"/>
        <n v="1.690305298798652E+19"/>
        <n v="8.1715804350956923E+18"/>
        <n v="1.0033077588166869E+19"/>
        <n v="9.6644451978526269E+18"/>
        <n v="1.25975856000808E+19"/>
        <n v="2.3287859527018061E+18"/>
        <n v="1.3812641732678619E+19"/>
        <n v="1.0094740595714761E+19"/>
        <n v="1.436989293562307E+19"/>
        <n v="1.3198046627891401E+19"/>
        <n v="1.681618764775117E+19"/>
        <n v="2.3946474641006162E+18"/>
        <n v="1.8095816446598441E+19"/>
        <n v="1.14714685135289E+19"/>
        <n v="4.4937326221003612E+18"/>
        <n v="1.4861461294758699E+19"/>
        <n v="1.714029759982669E+19"/>
        <n v="1.728308851418914E+19"/>
        <n v="1.468306835061665E+19"/>
        <n v="2.8520025775292242E+18"/>
        <n v="8.934561437004929E+18"/>
        <n v="1.2805386747322821E+19"/>
        <n v="1.3007881861818691E+18"/>
        <n v="1.37766412219519E+19"/>
        <n v="1.494118160307739E+19"/>
        <n v="5.9513242594965381E+18"/>
        <n v="4.8396436690101975E+18"/>
        <n v="9.5486237307164324E+18"/>
        <n v="3.91791813032032E+18"/>
        <n v="7.8829897884774124E+18"/>
        <n v="9.2042145550697564E+18"/>
        <n v="1.482147953417866E+18"/>
        <n v="9.7042332944123105E+18"/>
        <n v="1.3197254341847869E+19"/>
        <n v="1.5935314464390359E+18"/>
        <n v="1.673274317856599E+19"/>
        <n v="2.4494809714764979E+18"/>
        <n v="3.2482827640987121E+18"/>
        <n v="1.776693575630839E+18"/>
        <n v="5.9432810329175511E+18"/>
        <n v="8.0737938358047109E+18"/>
        <n v="5.1490237090920947E+17"/>
        <n v="4.7001543663819756E+18"/>
        <n v="1.633488305632271E+19"/>
        <n v="1.4521807807988369E+19"/>
        <n v="9.6483656327770194E+18"/>
        <n v="1.677269360641493E+19"/>
        <n v="9.946256903831636E+18"/>
        <n v="9.6234067619688038E+18"/>
        <n v="1.6629909964198941E+19"/>
        <n v="1.302438137576739E+19"/>
        <n v="9.2940510925032448E+18"/>
        <n v="1.832646097835544E+19"/>
        <n v="3.5379622459849021E+18"/>
        <n v="1.247375959022874E+19"/>
        <n v="3.263288518696343E+18"/>
        <n v="3.0632376063521802E+18"/>
        <n v="8.0070065705883238E+18"/>
        <n v="1.816587074405564E+19"/>
        <n v="4.5794481710770079E+18"/>
        <n v="8.0393233094696724E+18"/>
        <n v="3.3311643714163379E+18"/>
        <n v="1.4310111291417111E+19"/>
        <n v="6.8089722655245609E+18"/>
        <n v="1.248812592215986E+19"/>
        <n v="1.2563713193918501E+19"/>
        <n v="1.790383277032789E+19"/>
        <n v="7.2450631337090017E+18"/>
        <n v="1.7976821978033129E+19"/>
        <n v="1.1286749485820361E+19"/>
        <n v="5.5885706773209549E+18"/>
        <n v="5.5847640147339397E+18"/>
        <n v="1.2716608980920001E+19"/>
        <n v="3.6054619238879939E+18"/>
        <n v="1.02390262991266E+19"/>
        <n v="5.6099104682635295E+18"/>
        <n v="4.9043793651502182E+18"/>
        <n v="2.6856549616065859E+18"/>
        <n v="8.3047703636024269E+18"/>
        <n v="1.5299554968771371E+19"/>
        <n v="4.9488081381740602E+17"/>
        <n v="7.5940743852725688E+18"/>
        <n v="3.5949493402033961E+18"/>
        <n v="1.429900781615487E+19"/>
        <n v="4.6298459976987689E+18"/>
        <n v="4.7695134222513848E+18"/>
        <n v="9.0093056768248351E+18"/>
        <n v="5.6822075481277911E+18"/>
        <n v="1.698759223686554E+19"/>
        <n v="1.3041268512318099E+19"/>
        <n v="9.0474318240599982E+18"/>
        <n v="1.8380950668525359E+19"/>
        <n v="1.586258091061504E+19"/>
        <n v="4.20500913241359E+18"/>
        <n v="6.5158383350411981E+18"/>
        <n v="8.5845141960176026E+18"/>
        <n v="9.7256486500598088E+18"/>
        <n v="4.7913437573787628E+18"/>
        <n v="3.755355309603927E+18"/>
        <n v="1.0360110391397169E+19"/>
        <n v="1.591305381159808E+19"/>
        <n v="5.3920489679229184E+18"/>
        <n v="5.7023836737131592E+18"/>
        <n v="6.5876540869802783E+18"/>
        <n v="6.4811992783555676E+18"/>
        <n v="8.084749895325399E+18"/>
        <n v="1.58983942898392E+19"/>
        <n v="1.677129202633119E+18"/>
        <n v="1.0985004871977071E+19"/>
        <n v="9.4676140967001108E+18"/>
        <n v="9.968207945847255E+18"/>
        <n v="1.267152939092461E+19"/>
        <n v="1.6530110765076251E+19"/>
        <n v="1.7144049074298481E+19"/>
        <n v="1.299057148355362E+19"/>
        <n v="1.291041474171733E+19"/>
        <n v="1.2023383622054459E+19"/>
        <n v="4.5106534982823552E+18"/>
        <n v="1.218487979043211E+18"/>
        <n v="1.3281688634325961E+19"/>
        <n v="9.4455062286359388E+18"/>
        <n v="4.5296498561153311E+18"/>
        <n v="1.3044049217928221E+19"/>
        <n v="1.549160635335436E+18"/>
        <n v="1.1178009049025339E+19"/>
        <n v="1.5067970773666001E+19"/>
        <n v="1.2242322411880839E+19"/>
        <n v="2.9797603071166321E+18"/>
        <n v="1.042579710060724E+19"/>
        <n v="8.1566095224349348E+18"/>
        <n v="1.0986192490940271E+19"/>
        <n v="8.5679421323235338E+18"/>
        <n v="1.276386496350713E+19"/>
        <n v="1.821993513028534E+18"/>
        <n v="1.5767204741208119E+19"/>
        <n v="2.7658005217164191E+18"/>
        <n v="4.9767555645308058E+18"/>
        <n v="9.4514269476234404E+18"/>
        <n v="3.722614482804054E+18"/>
        <n v="1.1738439999794471E+19"/>
        <n v="8.8705274734315756E+18"/>
        <n v="6.9166335837545892E+18"/>
        <n v="6.749289830386561E+18"/>
        <n v="1.2557420658904809E+19"/>
        <n v="3.0587753631777741E+18"/>
        <n v="8.9186426008950723E+18"/>
        <n v="1.7208461186914601E+19"/>
        <n v="9.7783392705113784E+18"/>
        <n v="1.81502859460929E+19"/>
        <n v="1.196782103337771E+18"/>
        <n v="1.1126621026109131E+19"/>
        <n v="1.6133138332866609E+19"/>
        <n v="1.4379473002426651E+19"/>
        <n v="1.0142052197562481E+19"/>
        <n v="1.6661811925703371E+19"/>
        <n v="1.691837402705929E+19"/>
        <n v="8.9467332712201267E+18"/>
        <n v="4.5603436120477619E+18"/>
        <n v="1.262209318827511E+19"/>
        <n v="8.4895610788208896E+18"/>
        <n v="5.4249199035225917E+18"/>
        <n v="4.8328095164550554E+18"/>
        <n v="7.4929015261092721E+18"/>
        <n v="8.9215529394304563E+18"/>
        <n v="1.3250399522734999E+18"/>
        <n v="1.430055800755106E+19"/>
        <n v="1.6299932316121301E+19"/>
        <n v="9.6642641141780828E+18"/>
        <n v="7.7311230077990822E+17"/>
        <n v="1.866418006074549E+18"/>
        <n v="1.640554827617833E+19"/>
        <n v="1.281723145494827E+19"/>
        <n v="1.529271156526071E+19"/>
        <n v="1.0133316379391859E+17"/>
        <n v="2.1656688335916831E+18"/>
        <n v="1.996183669249889E+18"/>
        <n v="6.2701828360759163E+18"/>
        <n v="1.686344105198377E+19"/>
        <n v="2.3249921401549619E+18"/>
        <n v="1.3429650595165749E+19"/>
        <n v="1.5981399699913851E+19"/>
        <n v="1.710465129836398E+19"/>
        <n v="1.1544241182249429E+19"/>
        <n v="1.24468035397837E+19"/>
        <n v="9.0129078086439793E+18"/>
        <n v="1.1385402060610189E+19"/>
        <n v="1.5670996990043869E+19"/>
        <n v="4.8279716963090606E+18"/>
        <n v="8.8435373430543657E+18"/>
        <n v="3.2625381701961421E+18"/>
        <n v="3.1122270540513478E+17"/>
        <n v="1.742902964721654E+19"/>
        <n v="1.239974817970707E+19"/>
        <n v="1.2844486894458751E+19"/>
        <n v="8.7935106791523226E+18"/>
        <n v="4.3270255639258972E+18"/>
        <n v="1.574274455372594E+19"/>
        <n v="3.2594632490669732E+18"/>
        <n v="1.367570441445676E+19"/>
        <n v="1.1574956872702231E+19"/>
        <n v="4.8639728879807365E+18"/>
        <n v="1.143367781385737E+19"/>
        <n v="7.7811236904721183E+18"/>
        <n v="1.484930902900709E+19"/>
        <n v="1.1747066878444419E+19"/>
        <n v="1.669571824780218E+19"/>
        <n v="1.0536985698884211E+19"/>
        <n v="3.9275450521629261E+18"/>
        <n v="1.301594127393486E+19"/>
        <n v="8.9832999901843036E+18"/>
        <n v="1.4605535743231601E+19"/>
        <n v="9.6724537078458496E+17"/>
        <n v="4.574168725778793E+18"/>
        <n v="5.4967923404373617E+18"/>
        <n v="1.2302739047481971E+19"/>
        <n v="8.4999954768623831E+18"/>
        <n v="1.3005240302932129E+18"/>
        <n v="1.2438126385230721E+19"/>
        <n v="7.5261506837205473E+18"/>
        <n v="9.8353873328945715E+17"/>
        <n v="9.1327467820469637E+18"/>
        <n v="6.7667673536150569E+18"/>
        <n v="5.881433254715179E+18"/>
        <n v="9.4208041421171077E+18"/>
        <n v="1.622757487147571E+19"/>
        <n v="9.2092839124872847E+18"/>
        <n v="1.2405799779277251E+19"/>
        <n v="1.169399923837425E+19"/>
        <n v="1.7955982481916549E+19"/>
        <n v="1.7433041954975681E+19"/>
        <n v="1.7701496478709729E+19"/>
        <n v="1.7935006761815679E+19"/>
        <n v="1.0786140050935439E+18"/>
        <n v="7.4680932947525184E+17"/>
        <n v="4.6234128565641308E+18"/>
        <n v="6.1368107832507228E+18"/>
        <n v="8.8687396167415603E+18"/>
        <n v="1.310069109594565E+19"/>
        <n v="1.7493471554403781E+19"/>
        <n v="9.8187111120081879E+18"/>
        <n v="1.4248678608133429E+19"/>
        <n v="1.4723412379073901E+19"/>
        <n v="1.104004682932333E+19"/>
        <n v="6.8320949424856115E+18"/>
        <n v="4.2434207068438789E+18"/>
        <n v="1.3703114569611069E+19"/>
        <n v="8.2988321104194744E+18"/>
        <n v="1.323533584187331E+19"/>
        <n v="1.31032362952053E+19"/>
        <n v="7.9496410067358515E+18"/>
        <n v="1.125281831084453E+17"/>
        <n v="5.4414353538628083E+17"/>
        <n v="1.2121490274912891E+18"/>
        <n v="9.6345036687614505E+18"/>
        <n v="2.5383376278167301E+18"/>
        <n v="4.3920295187112781E+18"/>
        <n v="1.541616255913045E+19"/>
        <n v="1.2135474904153309E+19"/>
        <n v="1.657858051704909E+19"/>
        <n v="1.057129571162514E+19"/>
        <n v="5.0554200549703558E+17"/>
        <n v="1.4172466943649589E+19"/>
        <n v="9.8054516504646656E+18"/>
        <n v="1.448205111638603E+19"/>
        <n v="6.7389753197457009E+18"/>
        <n v="1.218819727349224E+19"/>
        <n v="1.507061326898792E+19"/>
        <n v="3.8213474236409672E+18"/>
        <n v="1.1084907403611501E+19"/>
        <n v="4.9669611351398246E+18"/>
        <n v="1.039255605560328E+19"/>
        <n v="1.7470780820454431E+19"/>
        <n v="2.5758306272859781E+18"/>
        <n v="2.208368745871883E+18"/>
        <n v="1.270633193809956E+19"/>
        <n v="1.006248546800275E+19"/>
        <n v="1.460620150996985E+19"/>
        <n v="1.0890539801545841E+19"/>
        <n v="1.6892110945713719E+19"/>
        <n v="6.1389040048259338E+18"/>
        <n v="1.665388646333131E+19"/>
        <n v="1.321291921617748E+19"/>
        <n v="5.4480656603369421E+18"/>
        <n v="5.0802846933944412E+18"/>
        <n v="1.495837480485929E+19"/>
        <n v="1.552707870825926E+19"/>
        <n v="6.8680169767252644E+18"/>
        <n v="1.0464603795510839E+19"/>
        <n v="1.16581003153309E+19"/>
        <n v="6.8623891938470922E+18"/>
        <n v="4.8679583041495921E+18"/>
        <n v="6.7868190596382003E+18"/>
        <n v="6.0699786435620608E+18"/>
        <n v="1.017263899543826E+19"/>
        <n v="3.5856296985564948E+18"/>
        <n v="1.76949978522245E+19"/>
        <n v="4.5250344827868918E+18"/>
        <n v="1.1493028239600341E+19"/>
        <n v="9.5406745447199293E+18"/>
        <n v="1.695130641619191E+18"/>
        <n v="5.8046519740638956E+18"/>
        <n v="1.755281943127748E+19"/>
        <n v="1.723221723891175E+19"/>
        <n v="1.175758375020364E+19"/>
        <n v="1.740972210083438E+19"/>
        <n v="1.7751398782340669E+19"/>
        <n v="7.7522488485274096E+16"/>
        <n v="9.6222725376012984E+18"/>
        <n v="1.7515581725118851E+18"/>
        <n v="1.050741933674392E+19"/>
        <n v="8.9188782512294784E+17"/>
        <n v="3.1814770390967332E+18"/>
        <n v="3.496079894106553E+17"/>
        <n v="9.1642390959083305E+18"/>
        <n v="7.30518996156783E+18"/>
        <n v="1.2738442788213809E+19"/>
        <n v="1.165017654819591E+19"/>
        <n v="5.9528414625950733E+17"/>
        <n v="1.758266025071504E+19"/>
        <n v="1.2278171695575269E+19"/>
        <n v="1.5129134836081629E+17"/>
        <n v="4.0511141420952192E+18"/>
        <n v="1.1864184727117269E+19"/>
        <n v="2.9959445171180252E+18"/>
        <n v="9.5853742423765955E+18"/>
        <n v="1.0762135343377629E+19"/>
        <n v="5.6825257000827535E+18"/>
        <n v="5.0702927783924183E+18"/>
        <n v="7.1727134401660109E+18"/>
        <n v="1.748010131203328E+19"/>
        <n v="1.388435877609139E+19"/>
        <n v="1.602625952599124E+19"/>
        <n v="1.787517190708941E+19"/>
        <n v="1.1982221732938629E+19"/>
        <n v="1.510285871969826E+19"/>
        <n v="1.753170147042397E+19"/>
        <n v="2.0274978980772051E+17"/>
        <n v="3.0220258818479959E+18"/>
        <n v="4.197425612844927E+18"/>
        <n v="1.1267827626651091E+19"/>
        <n v="2.1009748977262459E+18"/>
        <n v="1.4979851670315909E+19"/>
        <n v="4.0215809108254679E+18"/>
        <n v="4.6570495975165635E+18"/>
        <n v="1.854419958740415E+18"/>
        <n v="2.9901190696250619E+18"/>
        <n v="7.658255809365472E+16"/>
        <n v="1.158674241786845E+19"/>
        <n v="9.3674319387431567E+18"/>
        <n v="9.7780975587307356E+18"/>
        <n v="5.497031036325631E+18"/>
        <n v="4.0074036940112302E+18"/>
        <n v="1.5436359272742521E+19"/>
        <n v="1.345861267394763E+19"/>
        <n v="1.2539100529691179E+19"/>
        <n v="1.5301579014397999E+19"/>
        <n v="1.1528292962030739E+19"/>
        <n v="1.6915568040098779E+19"/>
        <n v="9.4799035867052339E+18"/>
        <n v="5.3060560523915049E+18"/>
        <n v="5.4207611659423212E+18"/>
        <n v="1.207683323886489E+19"/>
        <n v="9.0657906959959194E+18"/>
        <n v="9.3618116621725962E+18"/>
        <n v="9.7528196234259067E+18"/>
        <n v="7.9836248139405363E+18"/>
        <n v="1.2889165404705249E+19"/>
        <n v="1.1925262759840299E+19"/>
        <n v="1.496262353610864E+19"/>
        <n v="7.5917125380343245E+18"/>
        <n v="2.2861909734112389E+18"/>
        <n v="1.1459300322875841E+19"/>
        <n v="4.2232134497167789E+17"/>
        <n v="1.559033532799505E+19"/>
        <n v="1.488874848366293E+19"/>
        <n v="1.530112927941096E+19"/>
        <n v="1.799160600154973E+19"/>
        <n v="1.0219666372856611E+19"/>
        <n v="4.444326172685058E+18"/>
        <n v="9.3042969550292296E+18"/>
        <n v="1.1360906724565379E+19"/>
        <n v="1.579376496402424E+19"/>
        <n v="1.742464998586878E+19"/>
        <n v="1.784571887939184E+19"/>
        <n v="9.2989653906341827E+18"/>
        <n v="1.4961346208182901E+19"/>
        <n v="2.392089550787735E+18"/>
        <n v="1.2650068257878211E+19"/>
        <n v="9.7040377157444792E+18"/>
        <n v="4.1901479744037089E+18"/>
        <n v="5.1902422601240381E+18"/>
        <n v="1.402318776737922E+19"/>
        <n v="1.8443997980654549E+19"/>
        <n v="3.2887384232777748E+18"/>
        <n v="7.2685606215086868E+18"/>
        <n v="1.753490343112645E+19"/>
        <n v="1.0929560473596459E+19"/>
        <n v="4.1178339371491098E+18"/>
        <n v="1.3397401790747869E+19"/>
        <n v="6.4168281896961137E+18"/>
        <n v="1.6322377794537411E+19"/>
        <n v="6.7083114319589734E+18"/>
        <n v="3.2861226853835218E+18"/>
        <n v="3.2447675441447608E+18"/>
        <n v="5.5473400348587612E+18"/>
        <n v="3.3916304403181389E+18"/>
        <n v="3.1432583679414472E+18"/>
        <n v="1.5868202505216691E+18"/>
        <n v="9.8164444941960991E+18"/>
        <n v="1.5480586309256509E+19"/>
        <n v="2.2296974027298849E+18"/>
        <n v="1.743565250362839E+19"/>
        <n v="1.1186317702052059E+19"/>
        <n v="5.1788856754276485E+18"/>
        <n v="5.2340527379084902E+18"/>
        <n v="1.4121072702750349E+19"/>
        <n v="7.7153040180102728E+18"/>
        <n v="5.4651937541551749E+18"/>
        <n v="1.0394272471463299E+19"/>
        <n v="3.02857581497137E+18"/>
        <n v="7.1070444737870602E+18"/>
        <n v="2.558736456745999E+17"/>
        <n v="1.211089913460737E+19"/>
        <n v="6.2338335694389146E+18"/>
        <n v="1.843320053906817E+19"/>
        <n v="3.501801518888918E+18"/>
        <n v="1.276599846166323E+19"/>
        <n v="1.522627431602169E+19"/>
        <n v="7.6017591493459118E+18"/>
        <n v="1.19876887863512E+19"/>
        <n v="1.262989142060767E+19"/>
        <n v="6.5433186383751281E+18"/>
        <n v="8.0382032923282616E+18"/>
        <n v="1.669079002947565E+19"/>
        <n v="4.7105125673545073E+18"/>
        <n v="2.5432399269405757E+18"/>
        <n v="1.370179270940867E+19"/>
        <n v="9.3141173803419034E+18"/>
        <n v="1.721946926227517E+19"/>
        <n v="2.1735131626376141E+18"/>
        <n v="1.830235197192389E+19"/>
        <n v="1.735436323830385E+19"/>
        <n v="1.577062822882959E+19"/>
        <n v="1.5094994883823071E+18"/>
        <n v="1.709462589206537E+19"/>
        <n v="1.786116080626841E+19"/>
        <n v="2.0667225567736151E+18"/>
        <n v="1.08985227499706E+19"/>
        <n v="7.3046268671747768E+18"/>
        <n v="5.6919244987251599E+18"/>
        <n v="1.002818524851295E+19"/>
        <n v="1.010356609631957E+19"/>
        <n v="1.674723087147988E+18"/>
        <n v="2.8029851890586148E+18"/>
        <n v="1.5658292155628571E+19"/>
        <n v="1.22809657059362E+19"/>
        <n v="1.403440687456196E+19"/>
        <n v="4.9356075865298401E+18"/>
        <n v="1.082616171172949E+19"/>
        <n v="1.004436856264552E+19"/>
        <n v="1.287657497340611E+19"/>
        <n v="1.307591437459559E+19"/>
        <n v="5.8649699749280215E+18"/>
        <n v="1.8296913374114109E+19"/>
        <n v="5.1250685605554504E+18"/>
        <n v="3.7506769843068621E+18"/>
        <n v="6.7253496507708355E+18"/>
        <n v="1.5641110136120521E+19"/>
        <n v="1.8105990993554E+19"/>
        <n v="1.179369254274715E+19"/>
        <n v="9.052495294912939E+18"/>
        <n v="8.196912481423874E+18"/>
        <n v="1.389027299754768E+19"/>
        <n v="1.793701719582576E+19"/>
        <n v="2.842375249748479E+18"/>
        <n v="1.324897053317523E+19"/>
        <n v="1.0456691425489639E+19"/>
        <n v="7.136613630905943E+18"/>
        <n v="1.5032394334348169E+19"/>
        <n v="2.3568634158670162E+18"/>
        <n v="6.2994961456809595E+18"/>
        <n v="7.7545241007708902E+17"/>
        <n v="4.70051168024913E+18"/>
        <n v="3.3612971625853112E+18"/>
        <n v="1.5462610389332511E+19"/>
        <n v="3.7002484709028562E+18"/>
        <n v="8.3708087912053862E+18"/>
        <n v="1.541344756423315E+19"/>
        <n v="1.7193496902024231E+19"/>
        <n v="7.9385571810270147E+18"/>
        <n v="5.1195927289748562E+18"/>
        <n v="3.746593368969024E+18"/>
        <n v="1.502500369017592E+19"/>
        <n v="1.243201166146015E+19"/>
        <n v="3.2040072584547528E+18"/>
        <n v="3.3396038889079619E+18"/>
        <n v="6.5094737371796442E+17"/>
        <n v="7.6501057150357299E+18"/>
        <n v="9.6473097955478285E+17"/>
        <n v="1.7742685391402451E+19"/>
        <n v="2.9129142691757379E+18"/>
        <n v="5.9351186772047555E+18"/>
        <n v="1.2160854978433571E+19"/>
        <n v="1.6295251240126349E+19"/>
        <n v="1.5891010530776771E+19"/>
        <n v="5.7661049619039703E+18"/>
        <n v="4.8701968054532291E+18"/>
        <n v="6.2709077484598569E+18"/>
        <n v="4.7992098544701256E+18"/>
        <n v="1.508520758869896E+17"/>
        <n v="9.2220926223088968E+18"/>
        <n v="2.8202571640566118E+18"/>
        <n v="1.765727192276854E+19"/>
        <n v="4.2015316285946138E+18"/>
        <n v="1.8182398520451611E+19"/>
        <n v="1.313444682683271E+19"/>
        <n v="1.827375784926251E+19"/>
        <n v="1.229276804746035E+19"/>
        <n v="3.2544412848118932E+18"/>
        <n v="3.1044372114244818E+18"/>
        <n v="1.6377734152005571E+19"/>
        <n v="1.17134894204842E+19"/>
        <n v="5.5255863221200271E+18"/>
        <n v="1.5904387609983511E+19"/>
        <n v="6.1405135759450532E+18"/>
        <n v="2.85584285525694E+18"/>
        <n v="8.3484161509307187E+18"/>
        <n v="1.089144262980412E+18"/>
        <n v="7.7337721717866086E+18"/>
        <n v="5.8347292509330957E+17"/>
        <n v="1.0106165432899029E+19"/>
        <n v="1.0950746766661911E+19"/>
        <n v="1.1372774529424939E+19"/>
        <n v="2.5146266350727972E+18"/>
        <n v="2.6197504961558559E+18"/>
        <n v="1.6172224122890871E+19"/>
        <n v="1.461118260085745E+19"/>
        <n v="8.4862918808198564E+18"/>
        <n v="1.378013292667358E+19"/>
        <n v="9.101764833279017E+18"/>
        <n v="7.6067031389727324E+18"/>
        <n v="1.2598501340074549E+19"/>
        <n v="5.1745483234186783E+18"/>
        <n v="1.365703254207455E+19"/>
        <n v="9.8779459301162066E+18"/>
        <n v="8.6679631661829878E+18"/>
        <n v="1.1202250609199221E+19"/>
        <n v="1.711290526394442E+18"/>
        <n v="1.325729311291033E+19"/>
        <n v="7.5173770377600195E+18"/>
        <n v="1.8389639499405119E+19"/>
        <n v="8.8710352568516239E+18"/>
        <n v="4.3785163421245199E+18"/>
        <n v="5.3370243637905869E+18"/>
        <n v="1.562330477958519E+19"/>
        <n v="1.986980350882558E+18"/>
        <n v="1.025795227830743E+19"/>
        <n v="7.9106735790695045E+18"/>
        <n v="1.4525817385845809E+19"/>
        <n v="8.466503340618112E+17"/>
        <n v="1.6817203905142431E+18"/>
        <n v="1.614429735529943E+19"/>
        <n v="3.5051572052441559E+18"/>
        <n v="2.675483009273758E+16"/>
        <n v="1.269251105105741E+19"/>
        <n v="4.0567490631498502E+17"/>
        <n v="1.1955962298200941E+19"/>
        <n v="1.2036271954815109E+19"/>
        <n v="5.718961874495673E+17"/>
        <n v="1.584200674600909E+19"/>
        <n v="4.4002765809907272E+18"/>
        <n v="3.7705021680150861E+18"/>
        <n v="6.6806323183104154E+18"/>
        <n v="1.505177459298766E+19"/>
        <n v="4.2667909490277059E+18"/>
        <n v="5.6382876841213542E+18"/>
        <n v="3.1102893808012759E+18"/>
        <n v="1.603422478619186E+19"/>
        <n v="8.1866868172181187E+18"/>
        <n v="5.3561866016784497E+18"/>
        <n v="2.558484207246827E+18"/>
        <n v="1.2425575693366991E+19"/>
        <n v="1.238916070570668E+19"/>
        <n v="1.3614030583383269E+19"/>
        <n v="1.270326170498807E+19"/>
        <n v="1.2294883668211849E+19"/>
        <n v="1.4613603978610659E+19"/>
        <n v="1.1319362061343341E+19"/>
        <n v="3.480663857075008E+18"/>
        <n v="1.4806822993018491E+19"/>
        <n v="4.1447631003015081E+18"/>
        <n v="1.0390051833668731E+19"/>
        <n v="4.29177626358705E+18"/>
        <n v="5.4525141882851154E+18"/>
        <n v="1.7418151020740131E+19"/>
        <n v="6.1701038095527096E+18"/>
        <n v="7.0152092503222774E+18"/>
        <n v="8.864182973289599E+18"/>
        <n v="7.9630113413524603E+18"/>
        <n v="3.0682120085675418E+18"/>
        <n v="1.3195827660689961E+19"/>
        <n v="3.4691662447143552E+18"/>
        <n v="1.2356092702888061E+19"/>
        <n v="2.350766272328E+18"/>
        <n v="1.647551731788708E+19"/>
        <n v="4.0018623992861558E+18"/>
        <n v="1.80353009413986E+19"/>
        <n v="1.4545690347344841E+19"/>
        <n v="4.2618102748152248E+18"/>
        <n v="7.7927665970016543E+18"/>
        <n v="1.0248370963254919E+19"/>
        <n v="6.633261323295703E+18"/>
        <n v="1.650922240021025E+19"/>
        <n v="1.474417025059576E+19"/>
        <n v="3.0577265044639652E+18"/>
        <n v="3.3563322919753088E+18"/>
        <n v="1.4399118701500129E+19"/>
        <n v="1.262782042322577E+17"/>
        <n v="6.0647484128367104E+18"/>
        <n v="1.13681671892592E+18"/>
        <n v="6.1057971100813087E+18"/>
        <n v="1.2808864611926041E+19"/>
        <n v="1.706242839478902E+19"/>
        <n v="7.5196572512331551E+18"/>
        <n v="7.623556224936533E+18"/>
        <n v="9.4199328702490051E+18"/>
        <n v="9.0899097415313111E+18"/>
        <n v="1.266730028235143E+19"/>
        <n v="1.729483180093397E+18"/>
        <n v="1.640784717446102E+19"/>
        <n v="5.6630641825212416E+18"/>
        <n v="1.5564916972621199E+19"/>
        <n v="1.2350054782657731E+19"/>
        <n v="1.732389790384988E+19"/>
        <n v="7.0956688496924426E+18"/>
        <n v="1.5997309967392891E+19"/>
        <n v="1.64516283654221E+19"/>
        <n v="1.2818850421819841E+19"/>
        <n v="1.148626856843024E+19"/>
        <n v="8.0188609024188938E+18"/>
        <n v="1.152119540767922E+19"/>
        <n v="7.4412097813958564E+18"/>
        <n v="1.6742988234076729E+19"/>
        <n v="1.086420106069846E+19"/>
        <n v="1.4729740907852411E+19"/>
        <n v="8.8657964298209526E+18"/>
        <n v="1.479575150262513E+19"/>
        <n v="1.049400920101052E+19"/>
        <n v="1.28522957187927E+19"/>
        <n v="1.3286129435852599E+19"/>
        <n v="1.842367595461267E+19"/>
        <n v="6.4384708484770816E+17"/>
        <n v="2.5609919502683709E+18"/>
        <n v="8.9703828931595837E+18"/>
        <n v="1.822140064359714E+19"/>
        <n v="2.0614502803442918E+17"/>
        <n v="3.0412224008892979E+18"/>
        <n v="1.5017793853101789E+19"/>
        <n v="6.6553452039854715E+18"/>
        <n v="1.069061187023498E+19"/>
        <n v="7.1131906820418394E+17"/>
        <n v="1.1804135673327311E+19"/>
        <n v="1.0616930994602881E+19"/>
        <n v="2816901033034348"/>
        <n v="1.119319007137118E+19"/>
        <n v="1.048674536434862E+18"/>
        <n v="6.319029113315626E+18"/>
        <n v="5.048051833006036E+18"/>
        <n v="3.5334419115239562E+18"/>
        <n v="5.8580331839227464E+18"/>
        <n v="1.0364042101909621E+19"/>
        <n v="2.08047286874141E+18"/>
        <n v="1.733921156462797E+19"/>
        <n v="9.7425249189334835E+18"/>
        <n v="1.6172746630619489E+18"/>
        <n v="1.7913055859585129E+18"/>
        <n v="1.4935171356186991E+19"/>
        <n v="1.3834599210482901E+19"/>
        <n v="1.745068178098175E+18"/>
        <n v="1.637289501695036E+19"/>
        <n v="8.2150272856721132E+18"/>
        <n v="1.1684577053237201E+19"/>
        <n v="1.357094978375269E+19"/>
        <n v="9.9765413218044355E+18"/>
        <n v="8.0129491002368553E+18"/>
        <n v="4.2265606458392428E+18"/>
        <n v="9.9012415893607588E+18"/>
        <n v="8.6908928397613404E+18"/>
        <n v="5.8453089461778842E+18"/>
        <n v="1.1055199992902341E+19"/>
        <n v="6.5261375982636462E+18"/>
        <n v="9.8594125700887286E+18"/>
        <n v="8.5831141854623764E+18"/>
        <n v="9.9662904005672284E+18"/>
        <n v="9.7907267103041267E+17"/>
        <n v="1.131142693729382E+19"/>
        <n v="3.4405352088394808E+18"/>
        <n v="9.4126919788709043E+17"/>
        <n v="1.627222207656344E+19"/>
        <n v="1.724830351432611E+19"/>
        <n v="4.6670717563226644E+18"/>
        <n v="3.8028052198150661E+18"/>
        <n v="4.1401714480403871E+18"/>
        <n v="1.592196729020561E+19"/>
        <n v="5.7494670863138181E+18"/>
        <n v="1.114228487803357E+19"/>
        <n v="1.334069472886059E+19"/>
        <n v="1.094188770247988E+19"/>
        <n v="1.23873043178089E+19"/>
        <n v="1.6942746840926949E+19"/>
        <n v="1.1993843456880841E+19"/>
        <n v="6.8994182060755128E+18"/>
        <n v="3.3189942654190188E+18"/>
        <n v="3.5415691263301038E+18"/>
        <n v="5.1961716275844608E+18"/>
        <n v="1.479239400317328E+19"/>
        <n v="1.8069216572077091E+19"/>
        <n v="9.1256882912497848E+18"/>
        <n v="7.1104790862038682E+18"/>
        <n v="8.2552264909253601E+18"/>
        <n v="1.256304617985765E+19"/>
        <n v="4.6013205350899379E+17"/>
        <n v="1.5844455560597929E+18"/>
        <n v="2.5423728986190152E+18"/>
        <n v="1.463134652866695E+19"/>
        <n v="1.604934454293963E+19"/>
        <n v="6.3061077703786875E+18"/>
        <n v="8.1358042860853842E+18"/>
        <n v="7.7537419316894781E+18"/>
        <n v="6.5055564192307231E+18"/>
        <n v="1.164141837793793E+19"/>
        <n v="1.16270284136449E+19"/>
        <n v="4.2908079193108336E+16"/>
        <n v="3.723064905456257E+18"/>
        <n v="7.8213919786076019E+17"/>
        <n v="1.207189860297103E+19"/>
        <n v="1.3123330818423609E+19"/>
        <n v="1.346306073628568E+19"/>
        <n v="5.3784676578982953E+18"/>
        <n v="1.190775768037523E+19"/>
        <n v="1.627590938849545E+19"/>
        <n v="6.2343246215722609E+18"/>
        <n v="5.3711356378921155E+18"/>
        <n v="6.9649657700650465E+18"/>
        <n v="1.107480986434713E+19"/>
        <n v="6.88461090437325E+18"/>
        <n v="1.0033289922119229E+19"/>
        <n v="1.3203014623844721E+19"/>
        <n v="5.3366388308756603E+18"/>
        <n v="8.5938988973577247E+18"/>
        <n v="1.7614093725734171E+19"/>
        <n v="1.6854811492381499E+19"/>
        <n v="7.0952950250837617E+18"/>
        <n v="1.2743829300151161E+19"/>
        <n v="1.671170596198391E+19"/>
        <n v="5.8495625339273144E+18"/>
        <n v="1.6357872062173041E+19"/>
        <n v="1.6771555217699459E+19"/>
        <n v="1.6622913504659589E+19"/>
        <n v="6.4055489536641393E+18"/>
        <n v="1.4940908673437481E+19"/>
        <n v="1.482565375584491E+18"/>
        <n v="1.56524110507473E+19"/>
        <n v="6.2608471938323026E+18"/>
        <n v="3.4031196728040279E+18"/>
        <n v="1.7799815536532591E+19"/>
        <n v="1.412222505842285E+19"/>
        <n v="6.2799528260788367E+18"/>
        <n v="1.351887796399998E+19"/>
        <n v="9.0114498001082378E+18"/>
        <n v="6.1955041660847278E+18"/>
        <n v="1.5068632717000239E+19"/>
        <n v="7.2164494924781394E+18"/>
        <n v="1.5159195632122561E+19"/>
        <n v="1.3513454545011419E+19"/>
        <n v="1.546974436012781E+19"/>
        <n v="8.607613251301118E+18"/>
        <n v="1.7953314412259219E+19"/>
        <n v="4.2128249009435482E+17"/>
        <n v="1.438948701201042E+19"/>
        <n v="8.7623730887348511E+18"/>
        <n v="1.4508580946377179E+19"/>
        <n v="4.8196819098361508E+18"/>
        <n v="7.6079480927465441E+18"/>
        <n v="1.736830604946673E+19"/>
        <n v="1.7961524696104471E+19"/>
        <n v="1.634188583066522E+19"/>
        <n v="1.7729421144758659E+19"/>
        <n v="1.68054783561169E+19"/>
        <n v="7.1089337054576466E+18"/>
        <n v="7.2754115897695867E+18"/>
        <n v="1.216474359270146E+19"/>
        <n v="5.3702924294165412E+18"/>
        <n v="2.848642907880043E+18"/>
        <n v="1.6724399162421451E+19"/>
        <n v="1.8017309185027719E+19"/>
        <n v="9.6368420175897559E+18"/>
        <n v="1.244898343219859E+19"/>
        <n v="4.7122757145817979E+18"/>
        <n v="7.5308154489521398E+18"/>
        <n v="5.9076356762723389E+18"/>
        <n v="3.7565529610186588E+18"/>
        <n v="1.3397155537099141E+18"/>
        <n v="4.7908905203526687E+18"/>
        <n v="8.001179516476544E+18"/>
        <n v="1.16829863872798E+19"/>
        <n v="2.0872429199737951E+18"/>
        <n v="1.6006104658813891E+17"/>
        <n v="2.0325579625381089E+18"/>
        <n v="1.78681892567855E+19"/>
        <n v="6.1636865884116582E+18"/>
        <n v="9.6290341339779236E+18"/>
        <n v="1.064043722580318E+19"/>
        <n v="2.187960119635755E+18"/>
        <n v="2.8875629570672712E+18"/>
        <n v="1.4240848945748619E+19"/>
        <n v="7.2752396177443717E+18"/>
        <n v="4.159539491611084E+16"/>
        <n v="1.035827534613317E+19"/>
        <n v="4.8291584269761249E+18"/>
        <n v="1.569594972860074E+18"/>
        <n v="8.6671934304505836E+18"/>
        <n v="8.7283328542971044E+18"/>
        <n v="9.1649542126402294E+18"/>
        <n v="1.4175827160880599E+19"/>
        <n v="1.440147008569516E+19"/>
        <n v="1.8411369914734201E+19"/>
        <n v="1.815677024883312E+19"/>
        <n v="4.87798441317184E+18"/>
        <n v="9.0800793897535898E+18"/>
        <n v="3.6661285346706258E+18"/>
        <n v="1.7269617080025881E+19"/>
        <n v="4.7348287336815247E+18"/>
        <n v="1.76099964690646E+19"/>
        <n v="1.685469016719214E+19"/>
        <n v="9.166708935569963E+18"/>
        <n v="5.8660013562805678E+18"/>
        <n v="1.0359063996735889E+19"/>
        <n v="1.4494315031265849E+19"/>
        <n v="1.1866731439402271E+19"/>
        <n v="1.28650095445998E+19"/>
        <n v="1.098847880524816E+19"/>
        <n v="9.2837641945690317E+18"/>
        <n v="4.8261973668250235E+18"/>
        <n v="4.3439807576502672E+16"/>
        <n v="6.4922869165179116E+18"/>
        <n v="5.4624663585149143E+18"/>
        <n v="9.6386809581655101E+18"/>
        <n v="5.2428657608355123E+18"/>
        <n v="5.2033099489170362E+17"/>
        <n v="2.3691286549144228E+18"/>
        <n v="5.8273439590150308E+18"/>
        <n v="1.6352046609988569E+19"/>
        <n v="1.649638375785138E+19"/>
        <n v="5.364618019062016E+18"/>
        <n v="1.5276476970482409E+19"/>
        <n v="1.3632475813864321E+19"/>
        <n v="1.268867558013766E+19"/>
        <n v="1.766031630693997E+19"/>
        <n v="4.7091732041371331E+18"/>
        <n v="9.2043461364784036E+18"/>
        <n v="2.5753164287762079E+18"/>
        <n v="1.723492846644417E+18"/>
        <n v="8.1829330409292186E+18"/>
        <n v="7.3300644431566162E+18"/>
        <n v="7.75064530770462E+18"/>
        <n v="1.557734816688022E+18"/>
        <n v="1.6508999763208319E+19"/>
        <n v="1.629364327482625E+19"/>
        <n v="1.492838032545466E+19"/>
        <n v="1.484602512822185E+19"/>
        <n v="1.263360759711471E+19"/>
        <n v="3.9444617656284708E+18"/>
        <n v="1.529683543112498E+19"/>
        <n v="1.270745994120286E+19"/>
        <n v="1.765569553264256E+19"/>
        <n v="1.9144916142497669E+18"/>
        <n v="4.135258352010667E+18"/>
        <n v="9.530727924031914E+18"/>
        <n v="2.8870954126147809E+18"/>
        <n v="1.4504158525317599E+19"/>
        <n v="1.542291746567033E+19"/>
        <n v="1.14696528733557E+19"/>
        <n v="3.1471119326611548E+18"/>
        <n v="1.783469102070373E+19"/>
        <n v="1.5454653710179119E+19"/>
        <n v="3.3758106690651448E+18"/>
        <n v="1.6110035923754729E+19"/>
        <n v="1.7230858762118959E+19"/>
        <n v="8.8511970587505523E+17"/>
        <n v="4.3485892790521062E+17"/>
        <n v="1.8099632184957949E+18"/>
        <n v="2.170703312628712E+17"/>
        <n v="1.5326071374351911E+19"/>
        <n v="1.0445950144183841E+19"/>
        <n v="8.2788082138379418E+18"/>
        <n v="8.6023041983098921E+18"/>
        <n v="1.1460152469481581E+19"/>
        <n v="2.5502594470247168E+18"/>
        <n v="7.6447940778799524E+18"/>
        <n v="7.9924859963053251E+18"/>
        <n v="2.2735627226089562E+17"/>
        <n v="1.262800564840045E+19"/>
        <n v="2.0645718430713331E+18"/>
        <n v="3.0469260425050271E+18"/>
        <n v="2.6730237118069891E+17"/>
        <n v="1.75160168514449E+19"/>
        <n v="1.419073087257669E+19"/>
        <n v="1.7258647960044689E+19"/>
        <n v="8.3705728870820383E+18"/>
        <n v="1.5315655684016439E+19"/>
        <n v="1.4395855074982529E+19"/>
        <n v="1.050880082467677E+17"/>
        <n v="9.6017999578407936E+18"/>
        <n v="1.952823904576703E+18"/>
        <n v="8.4191455298429901E+18"/>
        <n v="1.757283772298506E+19"/>
        <n v="7.147156795242794E+18"/>
        <n v="4.4246172807612518E+18"/>
        <n v="5.6423374827702804E+18"/>
        <n v="9.2021705122622024E+18"/>
        <n v="6.1676260676265769E+18"/>
        <n v="1.5228050630350819E+19"/>
        <n v="6.5042221589072218E+17"/>
        <n v="1.0956343846870319E+19"/>
        <n v="1.7245230336518781E+19"/>
        <n v="9.9893236953326203E+18"/>
        <n v="1.265391923995298E+19"/>
        <n v="2.250597738026262E+18"/>
        <n v="1.326544154431404E+19"/>
        <n v="3.2028183476818959E+18"/>
        <n v="1.7563684205649531E+19"/>
        <n v="3.9149132213084621E+18"/>
        <n v="7.4140334679101583E+18"/>
        <n v="3.8212681910665052E+18"/>
        <n v="1.6170855760568191E+19"/>
        <n v="6.3777441576841124E+18"/>
        <n v="1.7534096007983391E+19"/>
        <n v="2.2082843403097999E+18"/>
        <n v="7.9386051659455212E+18"/>
        <n v="7.7831631543123999E+18"/>
        <n v="9.5319592315029478E+17"/>
        <n v="4.6672545530710835E+18"/>
        <n v="1.684783760662197E+19"/>
        <n v="6.679991526404095E+18"/>
        <n v="1.7106753465062531E+18"/>
        <n v="1.536988618300135E+19"/>
        <n v="1.146959185110059E+19"/>
        <n v="5.7005708962086676E+18"/>
        <n v="1.577234568859785E+19"/>
        <n v="5.8366539935574548E+18"/>
        <n v="1.640879485980501E+19"/>
        <n v="1.2488241262194881E+19"/>
        <n v="4.2380513788323712E+18"/>
        <n v="8.9076997654689088E+17"/>
        <n v="5.1767562768368189E+18"/>
        <n v="2.7912441794673299E+17"/>
        <n v="1.4031811648580569E+19"/>
        <n v="9.9205548463903089E+18"/>
        <n v="3.8030632454519009E+18"/>
        <n v="4.1927928262707988E+18"/>
        <n v="1.586779565632888E+19"/>
        <n v="1.726111980381961E+19"/>
        <n v="1.228500511889546E+19"/>
        <n v="1.815269932860136E+19"/>
        <n v="1.4951728837891899E+19"/>
        <n v="8.0305918599695565E+18"/>
        <n v="6.0967920813631478E+18"/>
        <n v="2.35868579751746E+18"/>
        <n v="1.3614360803170529E+19"/>
        <n v="1.0338627140176869E+19"/>
        <n v="6.215206063014871E+18"/>
        <n v="1.495907029826509E+19"/>
        <n v="7.9604283635286159E+18"/>
        <n v="1.1241629119637049E+19"/>
        <n v="3.8996603096353321E+18"/>
        <n v="1.485106620758382E+19"/>
        <n v="5.8446676842090926E+18"/>
        <n v="1.824794439040693E+19"/>
        <n v="8.8636156987287337E+18"/>
        <n v="1.2447460537077559E+19"/>
        <n v="4.936094153990783E+18"/>
        <n v="2.4867096858662651E+18"/>
        <n v="5.2579795737863025E+18"/>
        <n v="2.6284022932710202E+17"/>
        <n v="5.239570284531626E+18"/>
        <n v="1.600783233449292E+19"/>
        <n v="1.7578254558691111E+19"/>
        <n v="8.7981424033497037E+18"/>
        <n v="1.2231084717582371E+19"/>
        <n v="1.382011487606887E+19"/>
        <n v="3.7872091168844288E+18"/>
        <n v="8.4806805688854006E+18"/>
        <n v="3.03090006843757E+18"/>
        <n v="1.1721901524167759E+18"/>
        <n v="1.755766016541449E+19"/>
        <n v="1.58638210703E+19"/>
        <n v="1.4384908371794829E+19"/>
        <n v="1.6843239157042E+19"/>
        <n v="1.2110034943482069E+19"/>
        <n v="3.8856884712820838E+18"/>
        <n v="7.6043741143239148E+18"/>
        <n v="5.5746640187933563E+18"/>
        <n v="8.5477181507552604E+18"/>
        <n v="1.41654505370513E+19"/>
        <n v="1.4703058494907261E+19"/>
        <n v="7.6031945168167496E+18"/>
        <n v="3.3312355588157609E+18"/>
        <n v="1.301611376028535E+19"/>
        <n v="1.659447872300382E+19"/>
        <n v="1.39215048584352E+18"/>
        <n v="1.2922861665473069E+19"/>
        <n v="5.4120567348960328E+18"/>
        <n v="1.5404156029051601E+19"/>
        <n v="7.5205544625974272E+18"/>
        <n v="4.7497946326800097E+18"/>
        <n v="1.0510261592622371E+18"/>
        <n v="5.4108562764381123E+18"/>
        <n v="1.23702259131362E+19"/>
        <n v="5.5869190576617318E+18"/>
        <n v="1.365967540316247E+19"/>
        <n v="1.360218157738563E+19"/>
        <n v="1.4020845570534651E+18"/>
        <n v="1.7777396627559979E+19"/>
        <n v="1.594292530528237E+19"/>
        <n v="6.3829002099703767E+18"/>
        <n v="1.719510632926738E+19"/>
        <n v="1.8030433549853759E+19"/>
        <n v="8.4172921343653243E+18"/>
        <n v="5.0342814580087347E+18"/>
        <n v="1.352293588496357E+19"/>
        <n v="1.33750832693039E+19"/>
        <n v="2.2533622592515241E+18"/>
        <n v="8.9447154892374354E+18"/>
        <n v="7.1818682123350518E+18"/>
        <n v="4.6573412077654477E+18"/>
        <n v="7.3827463218525409E+18"/>
        <n v="1.0672287716018579E+19"/>
        <n v="1.811954021724073E+19"/>
        <n v="1.0761137595070679E+19"/>
        <n v="1.746727121862911E+19"/>
        <n v="1.4386736385218251E+19"/>
        <n v="1.7526643656921291E+19"/>
        <n v="1.1707371591004559E+19"/>
        <n v="1.353243066773127E+19"/>
        <n v="7.4657880540474552E+18"/>
        <n v="1.6665605870802829E+19"/>
        <n v="5.2725860293849027E+18"/>
        <n v="8.7531651469895475E+18"/>
        <n v="1.5473358029831711E+19"/>
        <n v="7.8378446372614328E+18"/>
        <n v="1.815082326075271E+19"/>
        <n v="1.162860962495036E+19"/>
        <n v="1.7057264045690991E+19"/>
        <n v="1.51815318591329E+18"/>
        <n v="2.4981247657363702E+18"/>
        <n v="3.8673138421728932E+18"/>
        <n v="1.780933424292872E+19"/>
        <n v="1.3087525420781629E+18"/>
        <n v="3.1248014644552192E+18"/>
        <n v="1.758784029319852E+19"/>
        <n v="1.3410837503769211E+19"/>
        <n v="3.113980125917739E+18"/>
        <n v="7.0215235198250227E+17"/>
        <n v="3.9337276893371848E+18"/>
        <n v="4.2650534554014602E+18"/>
        <n v="4.0114768138737981E+18"/>
        <n v="8.4138462489579254E+18"/>
        <n v="1.3923104189276819E+19"/>
        <n v="1.5835843431138941E+19"/>
        <n v="1.732278700249387E+19"/>
        <n v="1.3563156145143859E+19"/>
        <n v="4.4233063623482399E+18"/>
        <n v="6.2303015627692554E+18"/>
        <n v="1.708265761661158E+19"/>
        <n v="1.5679140564797399E+19"/>
        <n v="1.5372990738145679E+19"/>
        <n v="1.0512258066659389E+19"/>
        <n v="6.6423141965100452E+18"/>
        <n v="3.1915338919570048E+18"/>
        <n v="8.6532902772659466E+18"/>
        <n v="3.508511586932777E+18"/>
        <n v="4.9010360200738509E+18"/>
        <n v="1.6701735048719409E+19"/>
        <n v="2.4955275502023101E+18"/>
        <n v="6.9217811551564902E+17"/>
        <n v="8.6127016178122445E+18"/>
        <n v="1.137483445246679E+19"/>
        <n v="7.5613128868329021E+18"/>
        <n v="1.3849874418398641E+18"/>
        <n v="4.9074909914343188E+18"/>
        <n v="6.9030815266361641E+18"/>
        <n v="5.0025370734544476E+18"/>
        <n v="1.2239227043159931E+18"/>
        <n v="9.3759268339452088E+18"/>
        <n v="6.0654496658877901E+18"/>
        <n v="1.1903747901253439E+19"/>
        <n v="4.2674102297674528E+17"/>
        <n v="4.7091871911527956E+18"/>
        <n v="4.2320153372283551E+18"/>
        <n v="3.8923791312289418E+18"/>
        <n v="1.5332872620488651E+19"/>
        <n v="9.4530084499309056E+18"/>
        <n v="1.54539279670714E+19"/>
        <n v="1.8435387853663261E+19"/>
        <n v="1.2984463081915011E+18"/>
        <n v="5.0326461427474545E+18"/>
        <n v="1.7718341296387379E+19"/>
        <n v="9.0986447618061926E+18"/>
        <n v="1.693120736134671E+19"/>
        <n v="1.3886858499474489E+19"/>
        <n v="5.8485697205147709E+18"/>
        <n v="1.8075727275591049E+19"/>
        <n v="9.4244478564576563E+18"/>
        <n v="1.0797882498486391E+19"/>
        <n v="2.2216710197921889E+18"/>
        <n v="7.2717939104775229E+18"/>
        <n v="1.1557647190012129E+19"/>
        <n v="2.3773168916203341E+18"/>
        <n v="1.0611866942011081E+19"/>
        <n v="3.9077561414754412E+18"/>
        <n v="1.3030830290680691E+19"/>
        <n v="3.54381987202991E+18"/>
        <n v="1.589297249966993E+19"/>
        <n v="2.005586247580137E+18"/>
        <n v="1.7037595928923709E+19"/>
        <n v="1.1199090371459011E+19"/>
        <n v="1.5902464288007451E+19"/>
        <n v="3.3897601747129359E+18"/>
        <n v="6.5503717846688806E+17"/>
        <n v="2.2472947791115561E+18"/>
        <n v="1.933930612224873E+18"/>
        <n v="1.6145584499031321E+19"/>
        <n v="9.3935191066238013E+18"/>
        <n v="1.7892811772394758E+17"/>
        <n v="1.61330462329647E+19"/>
        <n v="5.5419601185334149E+18"/>
        <n v="2.6197657737649992E+18"/>
        <n v="1.524683085751996E+19"/>
        <n v="9.0181856789402378E+18"/>
        <n v="1.439986715900904E+19"/>
        <n v="1.045491442995763E+19"/>
        <n v="5.8176783672434412E+18"/>
        <n v="2.1153047796426621E+17"/>
        <n v="9.8583348048057221E+18"/>
        <n v="6.0705676511978691E+18"/>
        <n v="9.0023427849385574E+18"/>
        <n v="5.1344811324232817E+18"/>
        <n v="8.5783702206405376E+17"/>
        <n v="1.205505894706743E+17"/>
        <n v="7.7611629578833347E+18"/>
        <n v="1.073968906688454E+19"/>
        <n v="8.2526436168957706E+18"/>
        <n v="2.4900764070208317E+18"/>
        <n v="2.055053471575446E+18"/>
        <n v="4.3720849680859843E+18"/>
        <n v="2.5752748189004631E+18"/>
        <n v="1.388693896766259E+19"/>
        <n v="1.0915671750120159E+19"/>
        <n v="9.4373128268996157E+18"/>
        <n v="1.1270285578073041E+19"/>
        <n v="1.4517213028611961E+19"/>
        <n v="1.3986200410925781E+19"/>
        <n v="7.8934903852824699E+18"/>
        <n v="1.118007060145205E+19"/>
        <n v="1.289848425206467E+19"/>
        <n v="2.174249501936778E+18"/>
        <n v="4.6689134180160983E+18"/>
        <n v="6.5209463129209108E+18"/>
        <n v="1.415339156003328E+19"/>
        <n v="7.7811365990850867E+18"/>
        <n v="4.2159826876365911E+18"/>
        <n v="1.1080176800444951E+19"/>
        <n v="6.9420773313375857E+18"/>
        <n v="1.293280590820709E+19"/>
        <n v="1.5408046944755769E+19"/>
        <n v="6.1476417961953853E+18"/>
        <n v="6.3697051539120968E+18"/>
        <n v="1.647289932137508E+19"/>
        <n v="1.5852763988421089E+19"/>
        <n v="1.5942815274304819E+19"/>
        <n v="9.0032645547577498E+17"/>
        <n v="1.313918294808908E+19"/>
        <n v="1.7968689873967131E+19"/>
        <n v="1.4569383947858901E+19"/>
        <n v="9.3011369724624343E+18"/>
        <n v="1.1427219249676179E+19"/>
        <n v="8.8800362200444713E+18"/>
        <n v="1.337976826338816E+19"/>
        <n v="1.190565954692455E+19"/>
        <n v="5.5996363281860024E+18"/>
        <n v="5.7291105250867794E+18"/>
        <n v="1.82282442793025E+19"/>
        <n v="4.6985115733452452E+18"/>
        <n v="1.6493277802192251E+19"/>
        <n v="4.8303745034687304E+18"/>
        <n v="5.6599675409249679E+18"/>
        <n v="2.6030239575829929E+18"/>
        <n v="9.1084493047322593E+18"/>
        <n v="1.2443034443621161E+19"/>
        <n v="4.2616684915424748E+18"/>
        <n v="1.22051270992175E+19"/>
        <n v="8.4543682969037445E+18"/>
        <n v="1.6154370437383891E+19"/>
        <n v="6.952102393137282E+18"/>
        <n v="1.740634595632409E+19"/>
        <n v="3.6853730951080499E+18"/>
        <n v="8.8564151863028941E+18"/>
        <n v="4.6766047553752361E+18"/>
        <n v="5.8784430253090079E+18"/>
        <n v="7.7222975608200474E+17"/>
        <n v="1.50720038142017E+19"/>
        <n v="1.3772017495546911E+19"/>
        <n v="1.273897921859062E+19"/>
        <n v="1.70230953070644E+19"/>
        <n v="1.82828637426995E+18"/>
        <n v="1.732494372109797E+19"/>
        <n v="8764728508113736"/>
        <n v="1.307994815668879E+19"/>
        <n v="3.3162710235033569E+18"/>
        <n v="1.399913811220991E+19"/>
        <n v="8.3570881292050012E+18"/>
        <n v="1.7244448920772749E+19"/>
        <n v="5.2246598796763812E+18"/>
        <n v="1.1029201639594459E+19"/>
        <n v="8.8108714399872422E+17"/>
        <n v="1.330946700836863E+18"/>
        <n v="3.3153944179223782E+18"/>
        <n v="1.3004957136399131E+19"/>
        <n v="8.658126767473409E+18"/>
        <n v="5.1460942534911273E+18"/>
        <n v="1.3521196571112731E+19"/>
        <n v="9.4643369197105684E+18"/>
        <n v="6.625628621733374E+18"/>
        <n v="1.1605953265774209E+19"/>
        <n v="1.261100388683049E+19"/>
        <n v="3.5457981411118679E+18"/>
        <n v="2.5732596732259671E+18"/>
        <n v="4.59109007896557E+18"/>
        <n v="1.119270324334366E+18"/>
        <n v="6.3875957610149612E+18"/>
        <n v="2.66430046480576E+18"/>
        <n v="1.21417257486778E+19"/>
        <n v="4.1384079277476362E+18"/>
        <n v="1.5444205740804801E+19"/>
        <n v="1.4366874983721559E+18"/>
        <n v="1.294715336550305E+19"/>
        <n v="1.9748762811356109E+18"/>
        <n v="8.3416183814785341E+18"/>
        <n v="5.3620778757135073E+18"/>
        <n v="5.3367691214396877E+18"/>
        <n v="1.4996253730294829E+19"/>
        <n v="4.1040030372730511E+18"/>
        <n v="3.6801396179204372E+18"/>
        <n v="1.5733382584919939E+19"/>
        <n v="8.0284079268959212E+18"/>
        <n v="1.0527404073253321E+19"/>
        <n v="2.14024521168753E+18"/>
        <n v="1.008690972992922E+19"/>
        <n v="9.925676577248469E+18"/>
        <n v="1.090496647383765E+19"/>
        <n v="9.6444022899638211E+18"/>
        <n v="1.3959446947295001E+19"/>
        <n v="1.5365074124483809E+19"/>
        <n v="2.7343455953754409E+18"/>
        <n v="1.0004754062795839E+19"/>
        <n v="1.1747785999368579E+19"/>
        <n v="1.2470295368778029E+19"/>
        <n v="1.8323586710948401E+18"/>
        <n v="7.5454109960868352E+18"/>
        <n v="8.5868986495551754E+18"/>
        <n v="4.2177726099247478E+18"/>
        <n v="1.802481165492719E+19"/>
        <n v="1.7989877110360539E+19"/>
        <n v="9.9885827118705459E+18"/>
        <n v="1.511718859902491E+19"/>
        <n v="5.6186651322132787E+18"/>
        <n v="7.9157190197164687E+18"/>
        <n v="5.089514647593942E+18"/>
        <n v="1.6193132783902421E+19"/>
        <n v="1.3015883032061481E+19"/>
        <n v="6.9275631099077755E+18"/>
        <n v="9.5933404343184896E+18"/>
        <n v="1.4270329956896489E+19"/>
        <n v="9.1402792590415073E+18"/>
        <n v="1.608001931279139E+19"/>
        <n v="1.763360733464313E+19"/>
        <n v="8.8946240980239555E+18"/>
        <n v="1.701416435649273E+19"/>
        <n v="5.4238305817622938E+18"/>
        <n v="1.275911687745459E+19"/>
        <n v="1.1785683981004911E+19"/>
        <n v="1.4936326659362959E+19"/>
        <n v="9.0432311214428508E+18"/>
        <n v="8.2096220943901811E+17"/>
        <n v="6.5847090901631529E+18"/>
        <n v="1.808540139662284E+19"/>
        <n v="5.0270598344531937E+18"/>
        <n v="3.553242837015596E+18"/>
        <n v="4.8678317292628603E+18"/>
        <n v="9.5659590855992033E+18"/>
        <n v="1.090739695224781E+19"/>
        <n v="1.319782341275196E+19"/>
        <n v="1.107980342040841E+19"/>
        <n v="1.3822041623253791E+19"/>
        <n v="1.2573059671095509E+19"/>
        <n v="9.1932094490426348E+18"/>
        <n v="9.8017052863253606E+18"/>
        <n v="3.1371779394058742E+18"/>
        <n v="6.025922031137792E+18"/>
        <n v="9.485476403040895E+18"/>
        <n v="1.035327787919958E+19"/>
        <n v="1.470200793210999E+19"/>
        <n v="2.2411033549047949E+18"/>
        <n v="5.6031507266232842E+18"/>
        <n v="7.044253150601986E+18"/>
        <n v="5.9140597912836055E+18"/>
        <n v="1.2067782144635619E+19"/>
        <n v="1.623089450224623E+19"/>
        <n v="1.73458171227591E+19"/>
        <n v="9.7566304659651379E+18"/>
        <n v="1.046090249916964E+19"/>
        <n v="1.4036091491409091E+19"/>
        <n v="5.5710040725666847E+18"/>
        <n v="1.3784045878134651E+18"/>
        <n v="8.8744046359264768E+18"/>
        <n v="6.3453818904014387E+18"/>
        <n v="2.065848256183628E+18"/>
        <n v="7.6012316943242404E+18"/>
        <n v="1.0617792466776351E+19"/>
        <n v="1.194566090307909E+19"/>
        <n v="1.6680587595195251E+19"/>
        <n v="8.9311490609348352E+18"/>
        <n v="1.3797021737424341E+19"/>
        <n v="1.3349420789637599E+19"/>
        <n v="1.698347685318213E+19"/>
        <n v="1.134533715575798E+19"/>
        <n v="1.396796765978061E+19"/>
        <n v="1.128739452807603E+19"/>
        <n v="7.7073247974372588E+18"/>
        <n v="1.207908146795667E+19"/>
        <n v="1.795121824473095E+19"/>
        <n v="2.545330524848702E+18"/>
        <n v="1.1568497718834631E+19"/>
        <n v="1.442481422655403E+19"/>
        <n v="6.7143940165693606E+17"/>
        <n v="1.0069732117183441E+19"/>
        <n v="8.7029438128184371E+18"/>
        <n v="2.117945752343458E+18"/>
        <n v="5.5398942607699497E+18"/>
        <n v="1.008134325216351E+19"/>
        <n v="1.2948961008024771E+19"/>
        <n v="1.7685824260975499E+19"/>
        <n v="6.8412832984735416E+18"/>
        <n v="9.0156401628928829E+18"/>
        <n v="1.3342965500931351E+19"/>
        <n v="5.3237933045177467E+18"/>
        <n v="9.876101599355945E+18"/>
        <n v="6.7368181650913751E+18"/>
        <n v="1.6859691985107551E+18"/>
        <n v="4.697547200199851E+18"/>
        <n v="1.765796912698626E+19"/>
        <n v="5.7073573820168806E+18"/>
        <n v="1.5540219737768849E+19"/>
        <n v="1.621339977381309E+19"/>
        <n v="1.096725877363165E+19"/>
        <n v="3.0362242245227602E+18"/>
        <n v="2.0701901843732301E+18"/>
        <n v="8.8780906955512128E+17"/>
        <n v="1.6249781279755069E+19"/>
        <n v="1.3676031092069671E+19"/>
        <n v="1.345768984757384E+19"/>
        <n v="1.1808268645207179E+19"/>
        <n v="3.5050138743736602E+18"/>
        <n v="7.1766019372537836E+18"/>
        <n v="1.342000908502272E+18"/>
        <n v="1.5375922921831371E+19"/>
        <n v="1.675114799969938E+19"/>
        <n v="1.5384082452842521E+19"/>
        <n v="9.2147412065153024E+18"/>
        <n v="5.8282773082604247E+18"/>
        <n v="1.134540150975931E+19"/>
        <n v="1.5485723615538999E+19"/>
        <n v="1.667516599105642E+18"/>
        <n v="8.6727379281980047E+18"/>
        <n v="7.2637407886487521E+18"/>
        <n v="1.216780842409685E+19"/>
        <n v="2.2534652662718369E+18"/>
        <n v="1.666302565504528E+19"/>
        <n v="6.8830756411811174E+18"/>
        <n v="6.1986093279012096E+18"/>
        <n v="1.6108854001866289E+19"/>
        <n v="2.5108968822276541E+18"/>
        <n v="5.7242372799877747E+17"/>
        <n v="1.7450883086238751E+19"/>
        <n v="1.3351036816645151E+19"/>
        <n v="1.637643127043243E+19"/>
        <n v="1.2044647442963249E+19"/>
        <n v="1.117688049237956E+19"/>
        <n v="1.6866689558705279E+19"/>
        <n v="1.4589760455791749E+19"/>
        <n v="8.7509659763436114E+18"/>
        <n v="8.4499611551842959E+18"/>
        <n v="2.62748593945662E+18"/>
        <n v="1.5403850247064271E+19"/>
        <n v="1.8255241922951529E+18"/>
        <n v="3.8623846872666322E+18"/>
        <n v="2.3506228402336369E+18"/>
        <n v="6.4342451881816975E+18"/>
        <n v="6.6230097931188941E+18"/>
        <n v="1.0966372242911189E+19"/>
        <n v="6.8284815311635948E+18"/>
        <n v="1.2420661798939331E+19"/>
        <n v="1.284150528335927E+18"/>
        <n v="1.1358988740140071E+19"/>
        <n v="8.9485107261010115E+18"/>
        <n v="1.6848572918924741E+19"/>
        <n v="5.8918493956634819E+18"/>
        <n v="1.565609792506035E+19"/>
        <n v="1.6492270893537661E+19"/>
        <n v="1.5644167160182211E+19"/>
        <n v="6.7373578365760123E+18"/>
        <n v="2.1015068619281229E+18"/>
        <n v="1.422979730041292E+19"/>
        <n v="9.4492502071620915E+18"/>
        <n v="1.110002113022685E+19"/>
        <n v="4.8261840652299284E+18"/>
        <n v="1.065258126072278E+19"/>
        <n v="8.2607926074224865E+18"/>
        <n v="1.584657330440481E+19"/>
        <n v="3.3357923261150618E+18"/>
        <n v="7.8456795297527828E+18"/>
        <n v="1.054310189520607E+19"/>
        <n v="1.7279929082511679E+19"/>
        <n v="1.546388297041663E+19"/>
        <n v="3.3761717883426061E+17"/>
        <n v="1.363244259854325E+18"/>
        <n v="4.9635871697967299E+18"/>
        <n v="9.6984337750557348E+18"/>
        <n v="1.3902923977509911E+19"/>
        <n v="7.5811886889476536E+18"/>
        <n v="1.015165737764199E+19"/>
        <n v="1.522193412101396E+18"/>
        <n v="1.4216710582739651E+19"/>
        <n v="1.2726228110193639E+19"/>
        <n v="1.1702806551466799E+19"/>
        <n v="1.3866389946631281E+19"/>
        <n v="1.4100483328214159E+19"/>
        <n v="1.302942212458215E+19"/>
        <n v="2.663254991129406E+18"/>
        <n v="4.5930178229070321E+18"/>
        <n v="2.0396979990972869E+18"/>
        <n v="1.0825347330381611E+19"/>
        <n v="5.1034642093638625E+18"/>
        <n v="1.6012773091087811E+19"/>
        <n v="3.9440220148222531E+18"/>
        <n v="1.76979563705582E+19"/>
        <n v="3.283349759280599E+18"/>
        <n v="6.4675072884870011E+18"/>
        <n v="3.178430187051071E+18"/>
        <n v="6.386093456178901E+18"/>
        <n v="8.076829276577236E+18"/>
        <n v="1.1338584012558399E+19"/>
        <n v="6.0064479704031314E+18"/>
        <n v="1.178237675493468E+19"/>
        <n v="1.493495880360328E+19"/>
        <n v="8.0907281256138419E+17"/>
        <n v="1.7157356656938309E+18"/>
        <n v="3.148239023525054E+18"/>
        <n v="1.7194383882598541E+18"/>
        <n v="1.5549230291114441E+19"/>
        <n v="1.2325779343734329E+19"/>
        <n v="1.264290519837441E+18"/>
        <n v="7.8708096775665695E+18"/>
        <n v="1.152853398103018E+18"/>
        <n v="7.6836926941930506E+18"/>
        <n v="7.0551409579902822E+17"/>
        <n v="1.667248320503731E+19"/>
        <n v="1.6583533684433861E+19"/>
        <n v="1.3537907601576471E+19"/>
        <n v="7.9305751184416246E+18"/>
        <n v="2.5593155119467418E+18"/>
        <n v="4.8818776375257528E+18"/>
        <n v="1.3568600865634161E+19"/>
        <n v="9.8205187287879721E+18"/>
        <n v="5.101889176606089E+17"/>
        <n v="4.0459079524297672E+18"/>
        <n v="6.1839390129527962E+18"/>
        <n v="8.3318844834548122E+18"/>
        <n v="1.2447495074817901E+19"/>
        <n v="1.6348048213521639E+19"/>
        <n v="1.757412242164845E+19"/>
        <n v="2.267788166417271E+18"/>
        <n v="6.908084459337769E+18"/>
        <n v="1.844682043730959E+17"/>
        <n v="6.8227132645195633E+18"/>
        <n v="1.294689804642237E+19"/>
        <n v="1.67115837018606E+19"/>
        <n v="8.4571055573795328E+18"/>
        <n v="6.5114163163565875E+18"/>
        <n v="1.272107029485295E+19"/>
        <n v="1.170482534092361E+18"/>
        <n v="1.6131516332605991E+19"/>
        <n v="1.7735722794972459E+19"/>
        <n v="5.0919192247528796E+18"/>
        <n v="3.1994363334983782E+18"/>
        <n v="1.160880881456226E+18"/>
        <n v="2.2161208201684759E+18"/>
        <n v="7.1772537848913644E+18"/>
        <n v="1.8004859116404771E+19"/>
        <n v="1.5673232483183659E+19"/>
        <n v="9.8964021860478259E+18"/>
        <n v="1.6470547131161219E+19"/>
        <n v="1.5401339438408831E+19"/>
        <n v="1.775150302071936E+19"/>
        <n v="5.2888979487340147E+17"/>
        <n v="2.5776502472543529E+18"/>
        <n v="1.095561435546692E+19"/>
        <n v="1.6019234248555399E+19"/>
        <n v="3.0757907403433108E+18"/>
        <n v="1.632131349700778E+19"/>
        <n v="1.192291517149329E+19"/>
        <n v="1.188150367275085E+19"/>
        <n v="1.432914045526222E+19"/>
        <n v="1.02766341055186E+19"/>
        <n v="7.1926447705133344E+16"/>
        <n v="1.149354572414932E+19"/>
        <n v="4.5868176532588631E+18"/>
        <n v="1.384908775511219E+19"/>
        <n v="1.4349572201562089E+19"/>
        <n v="4.1750935598840468E+18"/>
        <n v="4.7349804595272796E+18"/>
        <n v="1.289825933655253E+19"/>
        <n v="1.825832144440671E+19"/>
        <n v="1.2896180721199911E+19"/>
        <n v="5.4221416760493773E+18"/>
        <n v="1.096945308280745E+18"/>
        <n v="1.870446117223575E+18"/>
        <n v="1.448136352667314E+19"/>
        <n v="3.6716121384099502E+18"/>
        <n v="1.153629071735875E+19"/>
        <n v="9.3519854972733747E+18"/>
        <n v="1.403560369874815E+19"/>
        <n v="1.154938793058756E+19"/>
        <n v="3.1686350128026348E+18"/>
        <n v="1.183332280575514E+19"/>
        <n v="1.6398219760955021E+18"/>
        <n v="8.4364873104592026E+18"/>
        <n v="1.2939000922525149E+19"/>
        <n v="5.3910319597590886E+18"/>
        <n v="1.170635260655601E+19"/>
        <n v="3.7571927821574461E+18"/>
        <n v="4.9268211954818836E+18"/>
        <n v="1.347478526802867E+19"/>
        <n v="3.1980819334937871E+18"/>
        <n v="7.8606803589434409E+18"/>
        <n v="1.090260083347797E+19"/>
        <n v="1.189424107996723E+19"/>
        <n v="6.3615895712746906E+18"/>
        <n v="4.6557871521791642E+18"/>
        <n v="1.181448947375495E+19"/>
        <n v="1.63031221324014E+19"/>
        <n v="8.7554948243829422E+18"/>
        <n v="1.1647961490567899E+19"/>
        <n v="1.133390963730451E+19"/>
        <n v="3.1427461519250831E+18"/>
        <n v="1.0924272414218809E+19"/>
      </sharedItems>
    </cacheField>
    <cacheField name="date" numFmtId="0">
      <sharedItems/>
    </cacheField>
    <cacheField name="Category" numFmtId="0">
      <sharedItems/>
    </cacheField>
    <cacheField name="Sale_amount" numFmtId="0">
      <sharedItems containsSemiMixedTypes="0" containsString="0" containsNumber="1" minValue="0" maxValue="9320657.9900000002"/>
    </cacheField>
    <cacheField name="дата" numFmtId="14">
      <sharedItems containsSemiMixedTypes="0" containsNonDate="0" containsDate="1" containsString="0" minDate="2016-03-03T00:00:00" maxDate="2023-04-14T00:00:00"/>
    </cacheField>
    <cacheField name="дни" numFmtId="0">
      <sharedItems containsSemiMixedTypes="0" containsString="0" containsNumber="1" containsInteger="1" minValue="0" maxValue="2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2023-03-16"/>
    <s v="Макияж"/>
    <n v="2412"/>
    <d v="2023-03-16T00:00:00"/>
    <n v="28"/>
  </r>
  <r>
    <x v="1"/>
    <s v="2022-01-30"/>
    <s v="Для дома"/>
    <n v="690"/>
    <d v="2022-01-30T00:00:00"/>
    <n v="438"/>
  </r>
  <r>
    <x v="2"/>
    <s v="2020-08-24"/>
    <s v="Для дома"/>
    <n v="7500"/>
    <d v="2020-08-24T00:00:00"/>
    <n v="962"/>
  </r>
  <r>
    <x v="3"/>
    <s v="2022-02-05"/>
    <s v="Уход"/>
    <n v="1800"/>
    <d v="2022-02-05T00:00:00"/>
    <n v="432"/>
  </r>
  <r>
    <x v="4"/>
    <s v="2022-12-28"/>
    <s v="Для дома"/>
    <n v="1422"/>
    <d v="2022-12-28T00:00:00"/>
    <n v="106"/>
  </r>
  <r>
    <x v="5"/>
    <s v="2023-03-25"/>
    <s v="Уход за волосами"/>
    <n v="686"/>
    <d v="2023-03-25T00:00:00"/>
    <n v="19"/>
  </r>
  <r>
    <x v="6"/>
    <s v="2022-09-28"/>
    <s v="Уход за волосами"/>
    <n v="251"/>
    <d v="2022-09-28T00:00:00"/>
    <n v="197"/>
  </r>
  <r>
    <x v="7"/>
    <s v="2021-01-16"/>
    <s v="Макияж"/>
    <n v="778"/>
    <d v="2021-01-16T00:00:00"/>
    <n v="817"/>
  </r>
  <r>
    <x v="8"/>
    <s v="2021-09-26"/>
    <s v="Уход за волосами"/>
    <n v="4218"/>
    <d v="2021-09-26T00:00:00"/>
    <n v="564"/>
  </r>
  <r>
    <x v="9"/>
    <s v="2023-03-25"/>
    <s v="Уход за волосами"/>
    <n v="1420"/>
    <d v="2023-03-25T00:00:00"/>
    <n v="19"/>
  </r>
  <r>
    <x v="10"/>
    <s v="2021-02-24"/>
    <s v="Макияж"/>
    <n v="690"/>
    <d v="2021-02-24T00:00:00"/>
    <n v="778"/>
  </r>
  <r>
    <x v="11"/>
    <s v="2023-02-25"/>
    <s v="Уход за волосами"/>
    <n v="1840"/>
    <d v="2023-02-25T00:00:00"/>
    <n v="47"/>
  </r>
  <r>
    <x v="12"/>
    <s v="2022-06-27"/>
    <s v="Уход"/>
    <n v="198"/>
    <d v="2022-06-27T00:00:00"/>
    <n v="290"/>
  </r>
  <r>
    <x v="13"/>
    <s v="2021-08-15"/>
    <s v="Уход за волосами"/>
    <n v="3519"/>
    <d v="2021-08-15T00:00:00"/>
    <n v="606"/>
  </r>
  <r>
    <x v="14"/>
    <s v="2022-01-02"/>
    <s v="Уход за волосами"/>
    <n v="3310"/>
    <d v="2022-01-02T00:00:00"/>
    <n v="466"/>
  </r>
  <r>
    <x v="15"/>
    <s v="2021-12-30"/>
    <s v="Уход"/>
    <n v="1708"/>
    <d v="2021-12-30T00:00:00"/>
    <n v="469"/>
  </r>
  <r>
    <x v="16"/>
    <s v="2021-05-21"/>
    <s v="Уход за волосами"/>
    <n v="38433"/>
    <d v="2021-05-21T00:00:00"/>
    <n v="692"/>
  </r>
  <r>
    <x v="17"/>
    <s v="2021-11-27"/>
    <s v="Уход"/>
    <n v="2495"/>
    <d v="2021-11-27T00:00:00"/>
    <n v="502"/>
  </r>
  <r>
    <x v="18"/>
    <s v="2023-02-19"/>
    <s v="Одежда и аксессуары"/>
    <n v="1189"/>
    <d v="2023-02-19T00:00:00"/>
    <n v="53"/>
  </r>
  <r>
    <x v="19"/>
    <s v="2021-09-12"/>
    <s v="Одежда и аксессуары"/>
    <n v="229"/>
    <d v="2021-09-12T00:00:00"/>
    <n v="578"/>
  </r>
  <r>
    <x v="20"/>
    <s v="2021-06-13"/>
    <s v="Уход за волосами"/>
    <n v="369"/>
    <d v="2021-06-13T00:00:00"/>
    <n v="669"/>
  </r>
  <r>
    <x v="21"/>
    <s v="2021-12-06"/>
    <s v="Для дома"/>
    <n v="1590"/>
    <d v="2021-12-06T00:00:00"/>
    <n v="493"/>
  </r>
  <r>
    <x v="22"/>
    <s v="2023-01-28"/>
    <s v="Уход"/>
    <n v="3288"/>
    <d v="2023-01-28T00:00:00"/>
    <n v="75"/>
  </r>
  <r>
    <x v="23"/>
    <s v="2019-12-15"/>
    <s v="Уход за волосами"/>
    <n v="3074"/>
    <d v="2019-12-15T00:00:00"/>
    <n v="1215"/>
  </r>
  <r>
    <x v="24"/>
    <s v="2021-11-16"/>
    <s v="Уход"/>
    <n v="634"/>
    <d v="2021-11-16T00:00:00"/>
    <n v="513"/>
  </r>
  <r>
    <x v="25"/>
    <s v="2020-07-01"/>
    <s v="Уход за волосами"/>
    <n v="1250"/>
    <d v="2020-07-01T00:00:00"/>
    <n v="1016"/>
  </r>
  <r>
    <x v="26"/>
    <s v="2023-01-08"/>
    <s v="Уход за волосами"/>
    <n v="19740"/>
    <d v="2023-01-08T00:00:00"/>
    <n v="95"/>
  </r>
  <r>
    <x v="27"/>
    <s v="2020-08-10"/>
    <s v="Уход"/>
    <n v="2086"/>
    <d v="2020-08-10T00:00:00"/>
    <n v="976"/>
  </r>
  <r>
    <x v="28"/>
    <s v="2022-09-04"/>
    <s v="Уход за волосами"/>
    <n v="969"/>
    <d v="2022-09-04T00:00:00"/>
    <n v="221"/>
  </r>
  <r>
    <x v="29"/>
    <s v="2022-04-12"/>
    <s v="Уход"/>
    <n v="504"/>
    <d v="2022-04-12T00:00:00"/>
    <n v="366"/>
  </r>
  <r>
    <x v="30"/>
    <s v="2021-12-11"/>
    <s v="Уход"/>
    <n v="280"/>
    <d v="2021-12-11T00:00:00"/>
    <n v="488"/>
  </r>
  <r>
    <x v="31"/>
    <s v="2021-03-30"/>
    <s v="Для дома"/>
    <n v="690"/>
    <d v="2021-03-30T00:00:00"/>
    <n v="744"/>
  </r>
  <r>
    <x v="32"/>
    <s v="2023-03-05"/>
    <s v="Уход"/>
    <n v="1733"/>
    <d v="2023-03-05T00:00:00"/>
    <n v="39"/>
  </r>
  <r>
    <x v="33"/>
    <s v="2021-05-30"/>
    <s v="Для дома"/>
    <n v="633"/>
    <d v="2021-05-30T00:00:00"/>
    <n v="683"/>
  </r>
  <r>
    <x v="34"/>
    <s v="2018-09-10"/>
    <s v="Макияж"/>
    <n v="99289.1"/>
    <d v="2018-09-10T00:00:00"/>
    <n v="1676"/>
  </r>
  <r>
    <x v="35"/>
    <s v="2021-12-15"/>
    <s v="Уход"/>
    <n v="238"/>
    <d v="2021-12-15T00:00:00"/>
    <n v="484"/>
  </r>
  <r>
    <x v="36"/>
    <s v="2022-11-02"/>
    <s v="Одежда и аксессуары"/>
    <n v="79"/>
    <d v="2022-11-02T00:00:00"/>
    <n v="162"/>
  </r>
  <r>
    <x v="37"/>
    <s v="2021-05-15"/>
    <s v="Детский мир"/>
    <n v="69"/>
    <d v="2021-05-15T00:00:00"/>
    <n v="698"/>
  </r>
  <r>
    <x v="38"/>
    <s v="2022-01-27"/>
    <s v="Детский мир"/>
    <n v="209"/>
    <d v="2022-01-27T00:00:00"/>
    <n v="441"/>
  </r>
  <r>
    <x v="39"/>
    <s v="2022-09-13"/>
    <s v="Для дома"/>
    <n v="48"/>
    <d v="2022-09-13T00:00:00"/>
    <n v="212"/>
  </r>
  <r>
    <x v="40"/>
    <s v="2020-10-30"/>
    <s v="Хоз.товары/бытовая химия"/>
    <n v="232"/>
    <d v="2020-10-30T00:00:00"/>
    <n v="895"/>
  </r>
  <r>
    <x v="41"/>
    <s v="2021-04-24"/>
    <s v="Уход"/>
    <n v="939"/>
    <d v="2021-04-24T00:00:00"/>
    <n v="719"/>
  </r>
  <r>
    <x v="42"/>
    <s v="2022-12-01"/>
    <s v="Уход"/>
    <n v="690"/>
    <d v="2022-12-01T00:00:00"/>
    <n v="133"/>
  </r>
  <r>
    <x v="43"/>
    <s v="2022-11-01"/>
    <s v="Уход за волосами"/>
    <n v="0"/>
    <d v="2022-11-01T00:00:00"/>
    <n v="163"/>
  </r>
  <r>
    <x v="44"/>
    <s v="2023-01-17"/>
    <s v="Уход за волосами"/>
    <n v="1516"/>
    <d v="2023-01-17T00:00:00"/>
    <n v="86"/>
  </r>
  <r>
    <x v="45"/>
    <s v="2023-03-19"/>
    <s v="Детский мир"/>
    <n v="1388"/>
    <d v="2023-03-19T00:00:00"/>
    <n v="25"/>
  </r>
  <r>
    <x v="46"/>
    <s v="2021-12-12"/>
    <s v="Хоз.товары/бытовая химия"/>
    <n v="29"/>
    <d v="2021-12-12T00:00:00"/>
    <n v="487"/>
  </r>
  <r>
    <x v="47"/>
    <s v="2020-07-09"/>
    <s v="Для дома"/>
    <n v="156"/>
    <d v="2020-07-09T00:00:00"/>
    <n v="1008"/>
  </r>
  <r>
    <x v="48"/>
    <s v="2021-07-04"/>
    <s v="Для дома"/>
    <n v="207"/>
    <d v="2021-07-04T00:00:00"/>
    <n v="648"/>
  </r>
  <r>
    <x v="49"/>
    <s v="2020-02-21"/>
    <s v="Уход"/>
    <n v="946"/>
    <d v="2020-02-21T00:00:00"/>
    <n v="1147"/>
  </r>
  <r>
    <x v="50"/>
    <s v="2021-05-19"/>
    <s v="Для дома"/>
    <n v="519"/>
    <d v="2021-05-19T00:00:00"/>
    <n v="694"/>
  </r>
  <r>
    <x v="51"/>
    <s v="2021-11-16"/>
    <s v="Уход за волосами"/>
    <n v="847"/>
    <d v="2021-11-16T00:00:00"/>
    <n v="513"/>
  </r>
  <r>
    <x v="52"/>
    <s v="2022-11-29"/>
    <s v="Хоз.товары/бытовая химия"/>
    <n v="147"/>
    <d v="2022-11-29T00:00:00"/>
    <n v="135"/>
  </r>
  <r>
    <x v="53"/>
    <s v="2021-06-02"/>
    <s v="Уход за волосами"/>
    <n v="5007"/>
    <d v="2021-06-02T00:00:00"/>
    <n v="680"/>
  </r>
  <r>
    <x v="54"/>
    <s v="2023-03-20"/>
    <s v="Уход за волосами"/>
    <n v="2871"/>
    <d v="2023-03-20T00:00:00"/>
    <n v="24"/>
  </r>
  <r>
    <x v="55"/>
    <s v="2021-04-01"/>
    <s v="Уход"/>
    <n v="2990"/>
    <d v="2021-04-01T00:00:00"/>
    <n v="742"/>
  </r>
  <r>
    <x v="56"/>
    <s v="2021-12-28"/>
    <s v="Детский мир"/>
    <n v="155"/>
    <d v="2021-12-28T00:00:00"/>
    <n v="471"/>
  </r>
  <r>
    <x v="57"/>
    <s v="2022-08-16"/>
    <s v="Уход"/>
    <n v="1015"/>
    <d v="2022-08-16T00:00:00"/>
    <n v="240"/>
  </r>
  <r>
    <x v="58"/>
    <s v="2023-03-02"/>
    <s v="Уход"/>
    <n v="3122"/>
    <d v="2023-03-02T00:00:00"/>
    <n v="42"/>
  </r>
  <r>
    <x v="59"/>
    <s v="2021-09-26"/>
    <s v="Уход"/>
    <n v="874"/>
    <d v="2021-09-26T00:00:00"/>
    <n v="564"/>
  </r>
  <r>
    <x v="60"/>
    <s v="2023-02-01"/>
    <s v="Уход за волосами"/>
    <n v="4153"/>
    <d v="2023-02-01T00:00:00"/>
    <n v="71"/>
  </r>
  <r>
    <x v="61"/>
    <s v="2019-11-09"/>
    <s v="Уход"/>
    <n v="2847"/>
    <d v="2019-11-09T00:00:00"/>
    <n v="1251"/>
  </r>
  <r>
    <x v="62"/>
    <s v="2022-10-16"/>
    <s v="Хоз.товары/бытовая химия"/>
    <n v="203"/>
    <d v="2022-10-16T00:00:00"/>
    <n v="179"/>
  </r>
  <r>
    <x v="63"/>
    <s v="2020-06-08"/>
    <s v="Уход"/>
    <n v="1554"/>
    <d v="2020-06-08T00:00:00"/>
    <n v="1039"/>
  </r>
  <r>
    <x v="64"/>
    <s v="2020-05-10"/>
    <s v="Уход за волосами"/>
    <n v="153"/>
    <d v="2020-05-10T00:00:00"/>
    <n v="1068"/>
  </r>
  <r>
    <x v="65"/>
    <s v="2020-12-23"/>
    <s v="Уход"/>
    <n v="9537"/>
    <d v="2020-12-23T00:00:00"/>
    <n v="841"/>
  </r>
  <r>
    <x v="66"/>
    <s v="2020-11-22"/>
    <s v="Уход"/>
    <n v="2038"/>
    <d v="2020-11-22T00:00:00"/>
    <n v="872"/>
  </r>
  <r>
    <x v="67"/>
    <s v="2023-04-06"/>
    <s v="Хоз.товары/бытовая химия"/>
    <n v="376"/>
    <d v="2023-04-06T00:00:00"/>
    <n v="7"/>
  </r>
  <r>
    <x v="68"/>
    <s v="2020-06-12"/>
    <s v="Уход за волосами"/>
    <n v="4360"/>
    <d v="2020-06-12T00:00:00"/>
    <n v="1035"/>
  </r>
  <r>
    <x v="69"/>
    <s v="2021-06-28"/>
    <s v="Для дома"/>
    <n v="1650"/>
    <d v="2021-06-28T00:00:00"/>
    <n v="654"/>
  </r>
  <r>
    <x v="70"/>
    <s v="2021-06-16"/>
    <s v="Детский мир"/>
    <n v="1936"/>
    <d v="2021-06-16T00:00:00"/>
    <n v="666"/>
  </r>
  <r>
    <x v="71"/>
    <s v="2021-02-22"/>
    <s v="Уход"/>
    <n v="180"/>
    <d v="2021-02-22T00:00:00"/>
    <n v="780"/>
  </r>
  <r>
    <x v="72"/>
    <s v="2022-03-01"/>
    <s v="Уход"/>
    <n v="5112"/>
    <d v="2022-03-01T00:00:00"/>
    <n v="408"/>
  </r>
  <r>
    <x v="73"/>
    <s v="2022-12-01"/>
    <s v="Детский мир"/>
    <n v="1400"/>
    <d v="2022-12-01T00:00:00"/>
    <n v="133"/>
  </r>
  <r>
    <x v="74"/>
    <s v="2020-09-12"/>
    <s v="Уход за волосами"/>
    <n v="1474"/>
    <d v="2020-09-12T00:00:00"/>
    <n v="943"/>
  </r>
  <r>
    <x v="75"/>
    <s v="2021-01-29"/>
    <s v="Уход за волосами"/>
    <n v="2310"/>
    <d v="2021-01-29T00:00:00"/>
    <n v="804"/>
  </r>
  <r>
    <x v="76"/>
    <s v="2022-08-20"/>
    <s v="Уход"/>
    <n v="2556"/>
    <d v="2022-08-20T00:00:00"/>
    <n v="236"/>
  </r>
  <r>
    <x v="77"/>
    <s v="2021-02-03"/>
    <s v="Уход"/>
    <n v="2055"/>
    <d v="2021-02-03T00:00:00"/>
    <n v="799"/>
  </r>
  <r>
    <x v="78"/>
    <s v="2022-10-17"/>
    <s v="Уход"/>
    <n v="2741"/>
    <d v="2022-10-17T00:00:00"/>
    <n v="178"/>
  </r>
  <r>
    <x v="79"/>
    <s v="2021-03-08"/>
    <s v="Уход"/>
    <n v="717"/>
    <d v="2021-03-08T00:00:00"/>
    <n v="766"/>
  </r>
  <r>
    <x v="80"/>
    <s v="2022-06-15"/>
    <s v="Уход за волосами"/>
    <n v="289"/>
    <d v="2022-06-15T00:00:00"/>
    <n v="302"/>
  </r>
  <r>
    <x v="81"/>
    <s v="2022-12-03"/>
    <s v="Уход"/>
    <n v="1419"/>
    <d v="2022-12-03T00:00:00"/>
    <n v="131"/>
  </r>
  <r>
    <x v="82"/>
    <s v="2023-01-24"/>
    <s v="Одежда и аксессуары"/>
    <n v="296"/>
    <d v="2023-01-24T00:00:00"/>
    <n v="79"/>
  </r>
  <r>
    <x v="83"/>
    <s v="2022-12-04"/>
    <s v="Для дома"/>
    <n v="258"/>
    <d v="2022-12-04T00:00:00"/>
    <n v="130"/>
  </r>
  <r>
    <x v="84"/>
    <s v="2022-09-27"/>
    <s v="Для дома"/>
    <n v="810"/>
    <d v="2022-09-27T00:00:00"/>
    <n v="198"/>
  </r>
  <r>
    <x v="85"/>
    <s v="2023-03-19"/>
    <s v="Уход"/>
    <n v="4909"/>
    <d v="2023-03-19T00:00:00"/>
    <n v="25"/>
  </r>
  <r>
    <x v="86"/>
    <s v="2021-10-14"/>
    <s v="Уход за волосами"/>
    <n v="2964"/>
    <d v="2021-10-14T00:00:00"/>
    <n v="546"/>
  </r>
  <r>
    <x v="87"/>
    <s v="2020-06-24"/>
    <s v="Для дома"/>
    <n v="1106"/>
    <d v="2020-06-24T00:00:00"/>
    <n v="1023"/>
  </r>
  <r>
    <x v="88"/>
    <s v="2022-02-08"/>
    <s v="Уход"/>
    <n v="150"/>
    <d v="2022-02-08T00:00:00"/>
    <n v="429"/>
  </r>
  <r>
    <x v="89"/>
    <s v="2021-04-03"/>
    <s v="Макияж"/>
    <n v="4770"/>
    <d v="2021-04-03T00:00:00"/>
    <n v="740"/>
  </r>
  <r>
    <x v="90"/>
    <s v="2021-12-02"/>
    <s v="Для дома"/>
    <n v="290"/>
    <d v="2021-12-02T00:00:00"/>
    <n v="497"/>
  </r>
  <r>
    <x v="91"/>
    <s v="2021-09-05"/>
    <s v="Уход"/>
    <n v="3639"/>
    <d v="2021-09-05T00:00:00"/>
    <n v="585"/>
  </r>
  <r>
    <x v="92"/>
    <s v="2020-06-01"/>
    <s v="Макияж"/>
    <n v="4680"/>
    <d v="2020-06-01T00:00:00"/>
    <n v="1046"/>
  </r>
  <r>
    <x v="93"/>
    <s v="2022-07-22"/>
    <s v="Уход"/>
    <n v="1590"/>
    <d v="2022-07-22T00:00:00"/>
    <n v="265"/>
  </r>
  <r>
    <x v="94"/>
    <s v="2022-12-14"/>
    <s v="Уход за волосами"/>
    <n v="2150"/>
    <d v="2022-12-14T00:00:00"/>
    <n v="120"/>
  </r>
  <r>
    <x v="24"/>
    <s v="2021-03-15"/>
    <s v="Макияж"/>
    <n v="7410"/>
    <d v="2021-03-15T00:00:00"/>
    <n v="759"/>
  </r>
  <r>
    <x v="95"/>
    <s v="2022-12-18"/>
    <s v="Уход"/>
    <n v="1716"/>
    <d v="2022-12-18T00:00:00"/>
    <n v="116"/>
  </r>
  <r>
    <x v="96"/>
    <s v="2020-09-24"/>
    <s v="Макияж"/>
    <n v="605"/>
    <d v="2020-09-24T00:00:00"/>
    <n v="931"/>
  </r>
  <r>
    <x v="97"/>
    <s v="2021-04-18"/>
    <s v="Уход"/>
    <n v="657"/>
    <d v="2021-04-18T00:00:00"/>
    <n v="725"/>
  </r>
  <r>
    <x v="98"/>
    <s v="2023-03-04"/>
    <s v="Хоз.товары/бытовая химия"/>
    <n v="369"/>
    <d v="2023-03-04T00:00:00"/>
    <n v="40"/>
  </r>
  <r>
    <x v="99"/>
    <s v="2023-03-21"/>
    <s v="Уход за волосами"/>
    <n v="1260"/>
    <d v="2023-03-21T00:00:00"/>
    <n v="23"/>
  </r>
  <r>
    <x v="100"/>
    <s v="2023-04-03"/>
    <s v="Уход за волосами"/>
    <n v="438"/>
    <d v="2023-04-03T00:00:00"/>
    <n v="10"/>
  </r>
  <r>
    <x v="101"/>
    <s v="2022-12-09"/>
    <s v="Уход"/>
    <n v="309"/>
    <d v="2022-12-09T00:00:00"/>
    <n v="125"/>
  </r>
  <r>
    <x v="102"/>
    <s v="2021-12-28"/>
    <s v="Уход"/>
    <n v="179"/>
    <d v="2021-12-28T00:00:00"/>
    <n v="471"/>
  </r>
  <r>
    <x v="34"/>
    <s v="2019-05-21"/>
    <s v="Макияж"/>
    <n v="310819"/>
    <d v="2019-05-21T00:00:00"/>
    <n v="1423"/>
  </r>
  <r>
    <x v="103"/>
    <s v="2021-01-14"/>
    <s v="Уход за волосами"/>
    <n v="691"/>
    <d v="2021-01-14T00:00:00"/>
    <n v="819"/>
  </r>
  <r>
    <x v="104"/>
    <s v="2021-04-07"/>
    <s v="Для дома"/>
    <n v="494"/>
    <d v="2021-04-07T00:00:00"/>
    <n v="736"/>
  </r>
  <r>
    <x v="105"/>
    <s v="2022-10-01"/>
    <s v="Одежда и аксессуары"/>
    <n v="2220"/>
    <d v="2022-10-01T00:00:00"/>
    <n v="194"/>
  </r>
  <r>
    <x v="106"/>
    <s v="2020-02-09"/>
    <s v="Уход"/>
    <n v="3588"/>
    <d v="2020-02-09T00:00:00"/>
    <n v="1159"/>
  </r>
  <r>
    <x v="34"/>
    <s v="2019-09-04"/>
    <s v="Для дома"/>
    <n v="263832.90000000002"/>
    <d v="2019-09-04T00:00:00"/>
    <n v="1317"/>
  </r>
  <r>
    <x v="106"/>
    <s v="2022-01-30"/>
    <s v="Для дома"/>
    <n v="19"/>
    <d v="2022-01-30T00:00:00"/>
    <n v="438"/>
  </r>
  <r>
    <x v="107"/>
    <s v="2022-01-19"/>
    <s v="Уход"/>
    <n v="3340"/>
    <d v="2022-01-19T00:00:00"/>
    <n v="449"/>
  </r>
  <r>
    <x v="108"/>
    <s v="2022-11-12"/>
    <s v="Уход за волосами"/>
    <n v="6096"/>
    <d v="2022-11-12T00:00:00"/>
    <n v="152"/>
  </r>
  <r>
    <x v="109"/>
    <s v="2020-10-18"/>
    <s v="Для дома"/>
    <n v="42"/>
    <d v="2020-10-18T00:00:00"/>
    <n v="907"/>
  </r>
  <r>
    <x v="110"/>
    <s v="2019-10-19"/>
    <s v="Уход"/>
    <n v="3981"/>
    <d v="2019-10-19T00:00:00"/>
    <n v="1272"/>
  </r>
  <r>
    <x v="111"/>
    <s v="2022-08-19"/>
    <s v="Макияж"/>
    <n v="69"/>
    <d v="2022-08-19T00:00:00"/>
    <n v="237"/>
  </r>
  <r>
    <x v="112"/>
    <s v="2021-07-09"/>
    <s v="Хоз.товары/бытовая химия"/>
    <n v="58"/>
    <d v="2021-07-09T00:00:00"/>
    <n v="643"/>
  </r>
  <r>
    <x v="113"/>
    <s v="2022-08-08"/>
    <s v="Уход за волосами"/>
    <n v="3300"/>
    <d v="2022-08-08T00:00:00"/>
    <n v="248"/>
  </r>
  <r>
    <x v="114"/>
    <s v="2023-03-09"/>
    <s v="Уход"/>
    <n v="195"/>
    <d v="2023-03-09T00:00:00"/>
    <n v="35"/>
  </r>
  <r>
    <x v="115"/>
    <s v="2020-01-31"/>
    <s v="Уход за волосами"/>
    <n v="900"/>
    <d v="2020-01-31T00:00:00"/>
    <n v="1168"/>
  </r>
  <r>
    <x v="116"/>
    <s v="2021-06-23"/>
    <s v="Уход за волосами"/>
    <n v="5808"/>
    <d v="2021-06-23T00:00:00"/>
    <n v="659"/>
  </r>
  <r>
    <x v="65"/>
    <s v="2021-04-30"/>
    <s v="Уход за волосами"/>
    <n v="2580"/>
    <d v="2021-04-30T00:00:00"/>
    <n v="713"/>
  </r>
  <r>
    <x v="117"/>
    <s v="2020-01-03"/>
    <s v="Уход"/>
    <n v="221"/>
    <d v="2020-01-03T00:00:00"/>
    <n v="1196"/>
  </r>
  <r>
    <x v="118"/>
    <s v="2021-04-03"/>
    <s v="Уход за волосами"/>
    <n v="8634"/>
    <d v="2021-04-03T00:00:00"/>
    <n v="740"/>
  </r>
  <r>
    <x v="119"/>
    <s v="2019-12-25"/>
    <s v="Одежда и аксессуары"/>
    <n v="311"/>
    <d v="2019-12-25T00:00:00"/>
    <n v="1205"/>
  </r>
  <r>
    <x v="120"/>
    <s v="2019-09-11"/>
    <s v="Уход"/>
    <n v="1283"/>
    <d v="2019-09-11T00:00:00"/>
    <n v="1310"/>
  </r>
  <r>
    <x v="121"/>
    <s v="2022-10-20"/>
    <s v="Одежда и аксессуары"/>
    <n v="1292"/>
    <d v="2022-10-20T00:00:00"/>
    <n v="175"/>
  </r>
  <r>
    <x v="122"/>
    <s v="2022-03-07"/>
    <s v="Уход за волосами"/>
    <n v="5747"/>
    <d v="2022-03-07T00:00:00"/>
    <n v="402"/>
  </r>
  <r>
    <x v="123"/>
    <s v="2021-12-29"/>
    <s v="Уход"/>
    <n v="50535"/>
    <d v="2021-12-29T00:00:00"/>
    <n v="470"/>
  </r>
  <r>
    <x v="124"/>
    <s v="2021-05-29"/>
    <s v="Уход за волосами"/>
    <n v="3060"/>
    <d v="2021-05-29T00:00:00"/>
    <n v="684"/>
  </r>
  <r>
    <x v="125"/>
    <s v="2023-01-18"/>
    <s v="Уход за волосами"/>
    <n v="2241"/>
    <d v="2023-01-18T00:00:00"/>
    <n v="85"/>
  </r>
  <r>
    <x v="126"/>
    <s v="2021-04-26"/>
    <s v="Уход"/>
    <n v="4029"/>
    <d v="2021-04-26T00:00:00"/>
    <n v="717"/>
  </r>
  <r>
    <x v="127"/>
    <s v="2021-10-12"/>
    <s v="Уход за волосами"/>
    <n v="880"/>
    <d v="2021-10-12T00:00:00"/>
    <n v="548"/>
  </r>
  <r>
    <x v="128"/>
    <s v="2023-01-29"/>
    <s v="Уход"/>
    <n v="1952"/>
    <d v="2023-01-29T00:00:00"/>
    <n v="74"/>
  </r>
  <r>
    <x v="129"/>
    <s v="2021-04-08"/>
    <s v="Детский мир"/>
    <n v="686"/>
    <d v="2021-04-08T00:00:00"/>
    <n v="735"/>
  </r>
  <r>
    <x v="130"/>
    <s v="2021-05-04"/>
    <s v="Для дома"/>
    <n v="1500"/>
    <d v="2021-05-04T00:00:00"/>
    <n v="709"/>
  </r>
  <r>
    <x v="131"/>
    <s v="2023-03-21"/>
    <s v="Хоз.товары/бытовая химия"/>
    <n v="335"/>
    <d v="2023-03-21T00:00:00"/>
    <n v="23"/>
  </r>
  <r>
    <x v="132"/>
    <s v="2020-10-21"/>
    <s v="Детский мир"/>
    <n v="5097"/>
    <d v="2020-10-21T00:00:00"/>
    <n v="904"/>
  </r>
  <r>
    <x v="133"/>
    <s v="2021-06-11"/>
    <s v="Уход за волосами"/>
    <n v="7098"/>
    <d v="2021-06-11T00:00:00"/>
    <n v="671"/>
  </r>
  <r>
    <x v="134"/>
    <s v="2019-08-29"/>
    <s v="Уход за волосами"/>
    <n v="975"/>
    <d v="2019-08-29T00:00:00"/>
    <n v="1323"/>
  </r>
  <r>
    <x v="135"/>
    <s v="2021-03-17"/>
    <s v="Уход"/>
    <n v="417"/>
    <d v="2021-03-17T00:00:00"/>
    <n v="757"/>
  </r>
  <r>
    <x v="136"/>
    <s v="2021-12-22"/>
    <s v="Уход"/>
    <n v="1240"/>
    <d v="2021-12-22T00:00:00"/>
    <n v="477"/>
  </r>
  <r>
    <x v="137"/>
    <s v="2022-03-16"/>
    <s v="Уход за волосами"/>
    <n v="390"/>
    <d v="2022-03-16T00:00:00"/>
    <n v="393"/>
  </r>
  <r>
    <x v="138"/>
    <s v="2022-04-11"/>
    <s v="Уход за волосами"/>
    <n v="1206"/>
    <d v="2022-04-11T00:00:00"/>
    <n v="367"/>
  </r>
  <r>
    <x v="139"/>
    <s v="2020-08-29"/>
    <s v="Уход за волосами"/>
    <n v="2856"/>
    <d v="2020-08-29T00:00:00"/>
    <n v="957"/>
  </r>
  <r>
    <x v="140"/>
    <s v="2023-03-05"/>
    <s v="Макияж"/>
    <n v="636"/>
    <d v="2023-03-05T00:00:00"/>
    <n v="39"/>
  </r>
  <r>
    <x v="141"/>
    <s v="2022-02-07"/>
    <s v="Макияж"/>
    <n v="129"/>
    <d v="2022-02-07T00:00:00"/>
    <n v="430"/>
  </r>
  <r>
    <x v="142"/>
    <s v="2020-06-23"/>
    <s v="Хоз.товары/бытовая химия"/>
    <n v="95"/>
    <d v="2020-06-23T00:00:00"/>
    <n v="1024"/>
  </r>
  <r>
    <x v="143"/>
    <s v="2021-04-24"/>
    <s v="Уход за волосами"/>
    <n v="2634"/>
    <d v="2021-04-24T00:00:00"/>
    <n v="719"/>
  </r>
  <r>
    <x v="144"/>
    <s v="2020-03-15"/>
    <s v="Одежда и аксессуары"/>
    <n v="417"/>
    <d v="2020-03-15T00:00:00"/>
    <n v="1124"/>
  </r>
  <r>
    <x v="145"/>
    <s v="2021-03-03"/>
    <s v="Уход"/>
    <n v="510"/>
    <d v="2021-03-03T00:00:00"/>
    <n v="771"/>
  </r>
  <r>
    <x v="146"/>
    <s v="2023-01-26"/>
    <s v="Уход"/>
    <n v="619"/>
    <d v="2023-01-26T00:00:00"/>
    <n v="77"/>
  </r>
  <r>
    <x v="147"/>
    <s v="2021-03-01"/>
    <s v="Уход за волосами"/>
    <n v="1560"/>
    <d v="2021-03-01T00:00:00"/>
    <n v="773"/>
  </r>
  <r>
    <x v="148"/>
    <s v="2021-05-11"/>
    <s v="Уход"/>
    <n v="230"/>
    <d v="2021-05-11T00:00:00"/>
    <n v="702"/>
  </r>
  <r>
    <x v="149"/>
    <s v="2022-11-19"/>
    <s v="Уход"/>
    <n v="2685"/>
    <d v="2022-11-19T00:00:00"/>
    <n v="145"/>
  </r>
  <r>
    <x v="150"/>
    <s v="2020-09-07"/>
    <s v="Уход"/>
    <n v="772"/>
    <d v="2020-09-07T00:00:00"/>
    <n v="948"/>
  </r>
  <r>
    <x v="151"/>
    <s v="2022-12-08"/>
    <s v="Уход"/>
    <n v="0"/>
    <d v="2022-12-08T00:00:00"/>
    <n v="126"/>
  </r>
  <r>
    <x v="152"/>
    <s v="2021-09-28"/>
    <s v="Уход за волосами"/>
    <n v="339"/>
    <d v="2021-09-28T00:00:00"/>
    <n v="562"/>
  </r>
  <r>
    <x v="153"/>
    <s v="2021-08-10"/>
    <s v="Уход"/>
    <n v="1377"/>
    <d v="2021-08-10T00:00:00"/>
    <n v="611"/>
  </r>
  <r>
    <x v="154"/>
    <s v="2022-07-20"/>
    <s v="Хоз.товары/бытовая химия"/>
    <n v="134"/>
    <d v="2022-07-20T00:00:00"/>
    <n v="267"/>
  </r>
  <r>
    <x v="155"/>
    <s v="2022-06-11"/>
    <s v="Уход"/>
    <n v="3087"/>
    <d v="2022-06-11T00:00:00"/>
    <n v="306"/>
  </r>
  <r>
    <x v="156"/>
    <s v="2021-09-11"/>
    <s v="Уход"/>
    <n v="8107"/>
    <d v="2021-09-11T00:00:00"/>
    <n v="579"/>
  </r>
  <r>
    <x v="157"/>
    <s v="2021-12-07"/>
    <s v="Детский мир"/>
    <n v="3260"/>
    <d v="2021-12-07T00:00:00"/>
    <n v="492"/>
  </r>
  <r>
    <x v="158"/>
    <s v="2019-10-07"/>
    <s v="Уход"/>
    <n v="241"/>
    <d v="2019-10-07T00:00:00"/>
    <n v="1284"/>
  </r>
  <r>
    <x v="159"/>
    <s v="2021-05-08"/>
    <s v="Уход за волосами"/>
    <n v="2840"/>
    <d v="2021-05-08T00:00:00"/>
    <n v="705"/>
  </r>
  <r>
    <x v="160"/>
    <s v="2021-11-13"/>
    <s v="Уход за волосами"/>
    <n v="282"/>
    <d v="2021-11-13T00:00:00"/>
    <n v="516"/>
  </r>
  <r>
    <x v="161"/>
    <s v="2020-03-05"/>
    <s v="Для дома"/>
    <n v="17"/>
    <d v="2020-03-05T00:00:00"/>
    <n v="1134"/>
  </r>
  <r>
    <x v="162"/>
    <s v="2020-10-14"/>
    <s v="Уход за волосами"/>
    <n v="388"/>
    <d v="2020-10-14T00:00:00"/>
    <n v="911"/>
  </r>
  <r>
    <x v="163"/>
    <s v="2020-02-03"/>
    <s v="Уход"/>
    <n v="252"/>
    <d v="2020-02-03T00:00:00"/>
    <n v="1165"/>
  </r>
  <r>
    <x v="164"/>
    <s v="2021-04-05"/>
    <s v="Уход"/>
    <n v="1890"/>
    <d v="2021-04-05T00:00:00"/>
    <n v="738"/>
  </r>
  <r>
    <x v="165"/>
    <s v="2022-02-23"/>
    <s v="Уход"/>
    <n v="147"/>
    <d v="2022-02-23T00:00:00"/>
    <n v="414"/>
  </r>
  <r>
    <x v="166"/>
    <s v="2021-09-18"/>
    <s v="Для дома"/>
    <n v="31"/>
    <d v="2021-09-18T00:00:00"/>
    <n v="572"/>
  </r>
  <r>
    <x v="167"/>
    <s v="2020-05-28"/>
    <s v="Уход за волосами"/>
    <n v="231"/>
    <d v="2020-05-28T00:00:00"/>
    <n v="1050"/>
  </r>
  <r>
    <x v="168"/>
    <s v="2022-08-01"/>
    <s v="Уход"/>
    <n v="2970"/>
    <d v="2022-08-01T00:00:00"/>
    <n v="255"/>
  </r>
  <r>
    <x v="34"/>
    <s v="2020-06-26"/>
    <s v="Для дома"/>
    <n v="22580"/>
    <d v="2020-06-26T00:00:00"/>
    <n v="1021"/>
  </r>
  <r>
    <x v="169"/>
    <s v="2021-02-14"/>
    <s v="Уход"/>
    <n v="493"/>
    <d v="2021-02-14T00:00:00"/>
    <n v="788"/>
  </r>
  <r>
    <x v="170"/>
    <s v="2021-08-15"/>
    <s v="Хоз.товары/бытовая химия"/>
    <n v="150"/>
    <d v="2021-08-15T00:00:00"/>
    <n v="606"/>
  </r>
  <r>
    <x v="171"/>
    <s v="2022-07-31"/>
    <s v="Уход"/>
    <n v="236"/>
    <d v="2022-07-31T00:00:00"/>
    <n v="256"/>
  </r>
  <r>
    <x v="172"/>
    <s v="2022-03-13"/>
    <s v="Уход"/>
    <n v="1890"/>
    <d v="2022-03-13T00:00:00"/>
    <n v="396"/>
  </r>
  <r>
    <x v="173"/>
    <s v="2023-02-27"/>
    <s v="Детский мир"/>
    <n v="562"/>
    <d v="2023-02-27T00:00:00"/>
    <n v="45"/>
  </r>
  <r>
    <x v="174"/>
    <s v="2023-03-06"/>
    <s v="Для дома"/>
    <n v="2190"/>
    <d v="2023-03-06T00:00:00"/>
    <n v="38"/>
  </r>
  <r>
    <x v="175"/>
    <s v="2022-05-15"/>
    <s v="Хоз.товары/бытовая химия"/>
    <n v="114"/>
    <d v="2022-05-15T00:00:00"/>
    <n v="333"/>
  </r>
  <r>
    <x v="176"/>
    <s v="2023-03-15"/>
    <s v="Уход"/>
    <n v="6705"/>
    <d v="2023-03-15T00:00:00"/>
    <n v="29"/>
  </r>
  <r>
    <x v="177"/>
    <s v="2021-12-16"/>
    <s v="Для дома"/>
    <n v="5250"/>
    <d v="2021-12-16T00:00:00"/>
    <n v="483"/>
  </r>
  <r>
    <x v="178"/>
    <s v="2019-04-28"/>
    <s v="Уход"/>
    <n v="13341"/>
    <d v="2019-04-28T00:00:00"/>
    <n v="1446"/>
  </r>
  <r>
    <x v="179"/>
    <s v="2020-11-17"/>
    <s v="Одежда и аксессуары"/>
    <n v="238"/>
    <d v="2020-11-17T00:00:00"/>
    <n v="877"/>
  </r>
  <r>
    <x v="180"/>
    <s v="2021-12-21"/>
    <s v="Уход"/>
    <n v="1930"/>
    <d v="2021-12-21T00:00:00"/>
    <n v="478"/>
  </r>
  <r>
    <x v="181"/>
    <s v="2023-01-29"/>
    <s v="Уход за волосами"/>
    <n v="1726"/>
    <d v="2023-01-29T00:00:00"/>
    <n v="74"/>
  </r>
  <r>
    <x v="182"/>
    <s v="2022-02-13"/>
    <s v="Для дома"/>
    <n v="5370"/>
    <d v="2022-02-13T00:00:00"/>
    <n v="424"/>
  </r>
  <r>
    <x v="183"/>
    <s v="2022-12-03"/>
    <s v="Детский мир"/>
    <n v="387"/>
    <d v="2022-12-03T00:00:00"/>
    <n v="131"/>
  </r>
  <r>
    <x v="184"/>
    <s v="2020-11-21"/>
    <s v="Уход за волосами"/>
    <n v="239"/>
    <d v="2020-11-21T00:00:00"/>
    <n v="873"/>
  </r>
  <r>
    <x v="185"/>
    <s v="2019-11-21"/>
    <s v="Уход"/>
    <n v="96"/>
    <d v="2019-11-21T00:00:00"/>
    <n v="1239"/>
  </r>
  <r>
    <x v="186"/>
    <s v="2022-09-26"/>
    <s v="Хоз.товары/бытовая химия"/>
    <n v="428"/>
    <d v="2022-09-26T00:00:00"/>
    <n v="199"/>
  </r>
  <r>
    <x v="187"/>
    <s v="2022-09-14"/>
    <s v="Уход за волосами"/>
    <n v="419"/>
    <d v="2022-09-14T00:00:00"/>
    <n v="211"/>
  </r>
  <r>
    <x v="147"/>
    <s v="2021-12-26"/>
    <s v="Уход"/>
    <n v="5625"/>
    <d v="2021-12-26T00:00:00"/>
    <n v="473"/>
  </r>
  <r>
    <x v="188"/>
    <s v="2022-11-29"/>
    <s v="Уход за волосами"/>
    <n v="1551"/>
    <d v="2022-11-29T00:00:00"/>
    <n v="135"/>
  </r>
  <r>
    <x v="189"/>
    <s v="2020-11-13"/>
    <s v="Одежда и аксессуары"/>
    <n v="1933"/>
    <d v="2020-11-13T00:00:00"/>
    <n v="881"/>
  </r>
  <r>
    <x v="190"/>
    <s v="2022-01-14"/>
    <s v="Уход за волосами"/>
    <n v="310"/>
    <d v="2022-01-14T00:00:00"/>
    <n v="454"/>
  </r>
  <r>
    <x v="191"/>
    <s v="2023-03-03"/>
    <s v="Уход за волосами"/>
    <n v="2373"/>
    <d v="2023-03-03T00:00:00"/>
    <n v="41"/>
  </r>
  <r>
    <x v="192"/>
    <s v="2022-03-20"/>
    <s v="Уход"/>
    <n v="565"/>
    <d v="2022-03-20T00:00:00"/>
    <n v="389"/>
  </r>
  <r>
    <x v="193"/>
    <s v="2022-07-17"/>
    <s v="Уход"/>
    <n v="2555"/>
    <d v="2022-07-17T00:00:00"/>
    <n v="270"/>
  </r>
  <r>
    <x v="194"/>
    <s v="2023-03-18"/>
    <s v="Уход за волосами"/>
    <n v="579"/>
    <d v="2023-03-18T00:00:00"/>
    <n v="26"/>
  </r>
  <r>
    <x v="195"/>
    <s v="2022-05-15"/>
    <s v="Уход"/>
    <n v="40953"/>
    <d v="2022-05-15T00:00:00"/>
    <n v="333"/>
  </r>
  <r>
    <x v="196"/>
    <s v="2019-12-25"/>
    <s v="Уход за волосами"/>
    <n v="1020"/>
    <d v="2019-12-25T00:00:00"/>
    <n v="1205"/>
  </r>
  <r>
    <x v="92"/>
    <s v="2020-11-14"/>
    <s v="Уход"/>
    <n v="3873"/>
    <d v="2020-11-14T00:00:00"/>
    <n v="880"/>
  </r>
  <r>
    <x v="197"/>
    <s v="2020-09-21"/>
    <s v="Для дома"/>
    <n v="120"/>
    <d v="2020-09-21T00:00:00"/>
    <n v="934"/>
  </r>
  <r>
    <x v="198"/>
    <s v="2022-01-19"/>
    <s v="Уход"/>
    <n v="199"/>
    <d v="2022-01-19T00:00:00"/>
    <n v="449"/>
  </r>
  <r>
    <x v="199"/>
    <s v="2022-06-08"/>
    <s v="Уход"/>
    <n v="402"/>
    <d v="2022-06-08T00:00:00"/>
    <n v="309"/>
  </r>
  <r>
    <x v="200"/>
    <s v="2022-06-03"/>
    <s v="Уход"/>
    <n v="2720"/>
    <d v="2022-06-03T00:00:00"/>
    <n v="314"/>
  </r>
  <r>
    <x v="201"/>
    <s v="2020-09-07"/>
    <s v="Уход за волосами"/>
    <n v="404"/>
    <d v="2020-09-07T00:00:00"/>
    <n v="948"/>
  </r>
  <r>
    <x v="202"/>
    <s v="2021-11-20"/>
    <s v="Уход за волосами"/>
    <n v="3890"/>
    <d v="2021-11-20T00:00:00"/>
    <n v="509"/>
  </r>
  <r>
    <x v="203"/>
    <s v="2022-11-10"/>
    <s v="Уход"/>
    <n v="1259"/>
    <d v="2022-11-10T00:00:00"/>
    <n v="154"/>
  </r>
  <r>
    <x v="204"/>
    <s v="2022-10-15"/>
    <s v="Уход за волосами"/>
    <n v="2577"/>
    <d v="2022-10-15T00:00:00"/>
    <n v="180"/>
  </r>
  <r>
    <x v="205"/>
    <s v="2019-08-22"/>
    <s v="Уход за волосами"/>
    <n v="180"/>
    <d v="2019-08-22T00:00:00"/>
    <n v="1330"/>
  </r>
  <r>
    <x v="206"/>
    <s v="2023-02-13"/>
    <s v="Уход за волосами"/>
    <n v="14985"/>
    <d v="2023-02-13T00:00:00"/>
    <n v="59"/>
  </r>
  <r>
    <x v="207"/>
    <s v="2019-11-04"/>
    <s v="Уход за волосами"/>
    <n v="3790"/>
    <d v="2019-11-04T00:00:00"/>
    <n v="1256"/>
  </r>
  <r>
    <x v="208"/>
    <s v="2022-03-10"/>
    <s v="Уход за волосами"/>
    <n v="7970"/>
    <d v="2022-03-10T00:00:00"/>
    <n v="399"/>
  </r>
  <r>
    <x v="209"/>
    <s v="2023-01-14"/>
    <s v="Уход за волосами"/>
    <n v="532"/>
    <d v="2023-01-14T00:00:00"/>
    <n v="89"/>
  </r>
  <r>
    <x v="210"/>
    <s v="2020-09-08"/>
    <s v="Уход"/>
    <n v="2175"/>
    <d v="2020-09-08T00:00:00"/>
    <n v="947"/>
  </r>
  <r>
    <x v="211"/>
    <s v="2021-11-19"/>
    <s v="Уход"/>
    <n v="2730"/>
    <d v="2021-11-19T00:00:00"/>
    <n v="510"/>
  </r>
  <r>
    <x v="212"/>
    <s v="2020-03-25"/>
    <s v="Уход"/>
    <n v="80"/>
    <d v="2020-03-25T00:00:00"/>
    <n v="1114"/>
  </r>
  <r>
    <x v="213"/>
    <s v="2022-08-27"/>
    <s v="Хоз.товары/бытовая химия"/>
    <n v="426"/>
    <d v="2022-08-27T00:00:00"/>
    <n v="229"/>
  </r>
  <r>
    <x v="214"/>
    <s v="2022-09-04"/>
    <s v="Уход за волосами"/>
    <n v="313"/>
    <d v="2022-09-04T00:00:00"/>
    <n v="221"/>
  </r>
  <r>
    <x v="215"/>
    <s v="2022-09-17"/>
    <s v="Уход"/>
    <n v="990"/>
    <d v="2022-09-17T00:00:00"/>
    <n v="208"/>
  </r>
  <r>
    <x v="216"/>
    <s v="2020-08-25"/>
    <s v="Одежда и аксессуары"/>
    <n v="1382"/>
    <d v="2020-08-25T00:00:00"/>
    <n v="961"/>
  </r>
  <r>
    <x v="217"/>
    <s v="2019-10-19"/>
    <s v="Уход за волосами"/>
    <n v="270"/>
    <d v="2019-10-19T00:00:00"/>
    <n v="1272"/>
  </r>
  <r>
    <x v="218"/>
    <s v="2020-07-15"/>
    <s v="Для дома"/>
    <n v="378"/>
    <d v="2020-07-15T00:00:00"/>
    <n v="1002"/>
  </r>
  <r>
    <x v="219"/>
    <s v="2021-02-12"/>
    <s v="Уход за волосами"/>
    <n v="2480"/>
    <d v="2021-02-12T00:00:00"/>
    <n v="790"/>
  </r>
  <r>
    <x v="220"/>
    <s v="2021-08-11"/>
    <s v="Уход"/>
    <n v="490"/>
    <d v="2021-08-11T00:00:00"/>
    <n v="610"/>
  </r>
  <r>
    <x v="221"/>
    <s v="2022-10-30"/>
    <s v="Уход за волосами"/>
    <n v="613"/>
    <d v="2022-10-30T00:00:00"/>
    <n v="165"/>
  </r>
  <r>
    <x v="222"/>
    <s v="2020-02-25"/>
    <s v="Уход за волосами"/>
    <n v="154"/>
    <d v="2020-02-25T00:00:00"/>
    <n v="1143"/>
  </r>
  <r>
    <x v="223"/>
    <s v="2020-11-26"/>
    <s v="Уход за волосами"/>
    <n v="7170"/>
    <d v="2020-11-26T00:00:00"/>
    <n v="868"/>
  </r>
  <r>
    <x v="224"/>
    <s v="2023-03-31"/>
    <s v="Уход"/>
    <n v="2746"/>
    <d v="2023-03-31T00:00:00"/>
    <n v="13"/>
  </r>
  <r>
    <x v="225"/>
    <s v="2020-06-24"/>
    <s v="Уход"/>
    <n v="9042"/>
    <d v="2020-06-24T00:00:00"/>
    <n v="1023"/>
  </r>
  <r>
    <x v="226"/>
    <s v="2022-03-03"/>
    <s v="Уход"/>
    <n v="550"/>
    <d v="2022-03-03T00:00:00"/>
    <n v="406"/>
  </r>
  <r>
    <x v="227"/>
    <s v="2021-09-21"/>
    <s v="Уход"/>
    <n v="199"/>
    <d v="2021-09-21T00:00:00"/>
    <n v="569"/>
  </r>
  <r>
    <x v="228"/>
    <s v="2019-12-31"/>
    <s v="Уход за волосами"/>
    <n v="308"/>
    <d v="2019-12-31T00:00:00"/>
    <n v="1199"/>
  </r>
  <r>
    <x v="229"/>
    <s v="2022-02-21"/>
    <s v="Уход за волосами"/>
    <n v="1355"/>
    <d v="2022-02-21T00:00:00"/>
    <n v="416"/>
  </r>
  <r>
    <x v="230"/>
    <s v="2023-03-22"/>
    <s v="Уход за волосами"/>
    <n v="1115"/>
    <d v="2023-03-22T00:00:00"/>
    <n v="22"/>
  </r>
  <r>
    <x v="231"/>
    <s v="2020-11-10"/>
    <s v="Уход за волосами"/>
    <n v="3558"/>
    <d v="2020-11-10T00:00:00"/>
    <n v="884"/>
  </r>
  <r>
    <x v="232"/>
    <s v="2022-06-15"/>
    <s v="Уход"/>
    <n v="744"/>
    <d v="2022-06-15T00:00:00"/>
    <n v="302"/>
  </r>
  <r>
    <x v="10"/>
    <s v="2023-02-03"/>
    <s v="Уход за волосами"/>
    <n v="234"/>
    <d v="2023-02-03T00:00:00"/>
    <n v="69"/>
  </r>
  <r>
    <x v="233"/>
    <s v="2021-02-25"/>
    <s v="Уход за волосами"/>
    <n v="567"/>
    <d v="2021-02-25T00:00:00"/>
    <n v="777"/>
  </r>
  <r>
    <x v="234"/>
    <s v="2021-07-06"/>
    <s v="Уход"/>
    <n v="1743"/>
    <d v="2021-07-06T00:00:00"/>
    <n v="646"/>
  </r>
  <r>
    <x v="235"/>
    <s v="2022-07-03"/>
    <s v="Детский мир"/>
    <n v="469"/>
    <d v="2022-07-03T00:00:00"/>
    <n v="284"/>
  </r>
  <r>
    <x v="236"/>
    <s v="2020-03-24"/>
    <s v="Уход"/>
    <n v="7380"/>
    <d v="2020-03-24T00:00:00"/>
    <n v="1115"/>
  </r>
  <r>
    <x v="237"/>
    <s v="2022-07-24"/>
    <s v="Хоз.товары/бытовая химия"/>
    <n v="230"/>
    <d v="2022-07-24T00:00:00"/>
    <n v="263"/>
  </r>
  <r>
    <x v="238"/>
    <s v="2021-02-02"/>
    <s v="Уход"/>
    <n v="899"/>
    <d v="2021-02-02T00:00:00"/>
    <n v="800"/>
  </r>
  <r>
    <x v="239"/>
    <s v="2021-07-16"/>
    <s v="Уход"/>
    <n v="300"/>
    <d v="2021-07-16T00:00:00"/>
    <n v="636"/>
  </r>
  <r>
    <x v="240"/>
    <s v="2020-06-28"/>
    <s v="Уход"/>
    <n v="309"/>
    <d v="2020-06-28T00:00:00"/>
    <n v="1019"/>
  </r>
  <r>
    <x v="241"/>
    <s v="2022-03-02"/>
    <s v="Уход за волосами"/>
    <n v="19918"/>
    <d v="2022-03-02T00:00:00"/>
    <n v="407"/>
  </r>
  <r>
    <x v="242"/>
    <s v="2021-09-10"/>
    <s v="Уход"/>
    <n v="1380"/>
    <d v="2021-09-10T00:00:00"/>
    <n v="580"/>
  </r>
  <r>
    <x v="243"/>
    <s v="2022-04-27"/>
    <s v="Уход за волосами"/>
    <n v="4740"/>
    <d v="2022-04-27T00:00:00"/>
    <n v="351"/>
  </r>
  <r>
    <x v="34"/>
    <s v="2022-09-27"/>
    <s v="Хоз.товары/бытовая химия"/>
    <n v="10175.99"/>
    <d v="2022-09-27T00:00:00"/>
    <n v="198"/>
  </r>
  <r>
    <x v="244"/>
    <s v="2020-01-04"/>
    <s v="Уход за волосами"/>
    <n v="1039"/>
    <d v="2020-01-04T00:00:00"/>
    <n v="1195"/>
  </r>
  <r>
    <x v="245"/>
    <s v="2023-01-12"/>
    <s v="Хоз.товары/бытовая химия"/>
    <n v="1021"/>
    <d v="2023-01-12T00:00:00"/>
    <n v="91"/>
  </r>
  <r>
    <x v="246"/>
    <s v="2019-12-26"/>
    <s v="Уход за волосами"/>
    <n v="457"/>
    <d v="2019-12-26T00:00:00"/>
    <n v="1204"/>
  </r>
  <r>
    <x v="247"/>
    <s v="2022-02-03"/>
    <s v="Уход"/>
    <n v="110"/>
    <d v="2022-02-03T00:00:00"/>
    <n v="434"/>
  </r>
  <r>
    <x v="248"/>
    <s v="2022-07-06"/>
    <s v="Для дома"/>
    <n v="819"/>
    <d v="2022-07-06T00:00:00"/>
    <n v="281"/>
  </r>
  <r>
    <x v="35"/>
    <s v="2021-06-01"/>
    <s v="Уход"/>
    <n v="1365"/>
    <d v="2021-06-01T00:00:00"/>
    <n v="681"/>
  </r>
  <r>
    <x v="249"/>
    <s v="2023-01-21"/>
    <s v="Уход за волосами"/>
    <n v="1037"/>
    <d v="2023-01-21T00:00:00"/>
    <n v="82"/>
  </r>
  <r>
    <x v="250"/>
    <s v="2021-11-18"/>
    <s v="Уход за волосами"/>
    <n v="660"/>
    <d v="2021-11-18T00:00:00"/>
    <n v="511"/>
  </r>
  <r>
    <x v="251"/>
    <s v="2021-06-14"/>
    <s v="Уход"/>
    <n v="1494"/>
    <d v="2021-06-14T00:00:00"/>
    <n v="668"/>
  </r>
  <r>
    <x v="252"/>
    <s v="2022-07-30"/>
    <s v="Уход за волосами"/>
    <n v="3240"/>
    <d v="2022-07-30T00:00:00"/>
    <n v="257"/>
  </r>
  <r>
    <x v="253"/>
    <s v="2022-10-29"/>
    <s v="Уход"/>
    <n v="1057"/>
    <d v="2022-10-29T00:00:00"/>
    <n v="166"/>
  </r>
  <r>
    <x v="254"/>
    <s v="2021-12-30"/>
    <s v="Уход"/>
    <n v="4845"/>
    <d v="2021-12-30T00:00:00"/>
    <n v="469"/>
  </r>
  <r>
    <x v="255"/>
    <s v="2021-07-12"/>
    <s v="Хоз.товары/бытовая химия"/>
    <n v="59"/>
    <d v="2021-07-12T00:00:00"/>
    <n v="640"/>
  </r>
  <r>
    <x v="256"/>
    <s v="2021-06-29"/>
    <s v="Хоз.товары/бытовая химия"/>
    <n v="190"/>
    <d v="2021-06-29T00:00:00"/>
    <n v="653"/>
  </r>
  <r>
    <x v="257"/>
    <s v="2021-10-09"/>
    <s v="Уход"/>
    <n v="16870"/>
    <d v="2021-10-09T00:00:00"/>
    <n v="551"/>
  </r>
  <r>
    <x v="258"/>
    <s v="2021-10-19"/>
    <s v="Хоз.товары/бытовая химия"/>
    <n v="72"/>
    <d v="2021-10-19T00:00:00"/>
    <n v="541"/>
  </r>
  <r>
    <x v="259"/>
    <s v="2022-09-17"/>
    <s v="Уход за волосами"/>
    <n v="5790"/>
    <d v="2022-09-17T00:00:00"/>
    <n v="208"/>
  </r>
  <r>
    <x v="34"/>
    <s v="2017-06-24"/>
    <s v="Хоз.товары/бытовая химия"/>
    <n v="55739.9"/>
    <d v="2017-06-24T00:00:00"/>
    <n v="2119"/>
  </r>
  <r>
    <x v="260"/>
    <s v="2022-03-06"/>
    <s v="Уход за волосами"/>
    <n v="768"/>
    <d v="2022-03-06T00:00:00"/>
    <n v="403"/>
  </r>
  <r>
    <x v="261"/>
    <s v="2020-10-17"/>
    <s v="Уход за волосами"/>
    <n v="255"/>
    <d v="2020-10-17T00:00:00"/>
    <n v="908"/>
  </r>
  <r>
    <x v="262"/>
    <s v="2021-12-25"/>
    <s v="Для дома"/>
    <n v="132"/>
    <d v="2021-12-25T00:00:00"/>
    <n v="474"/>
  </r>
  <r>
    <x v="263"/>
    <s v="2021-01-23"/>
    <s v="Детский мир"/>
    <n v="245"/>
    <d v="2021-01-23T00:00:00"/>
    <n v="810"/>
  </r>
  <r>
    <x v="264"/>
    <s v="2022-12-15"/>
    <s v="Уход за волосами"/>
    <n v="3260"/>
    <d v="2022-12-15T00:00:00"/>
    <n v="119"/>
  </r>
  <r>
    <x v="265"/>
    <s v="2021-05-27"/>
    <s v="Одежда и аксессуары"/>
    <n v="8541"/>
    <d v="2021-05-27T00:00:00"/>
    <n v="686"/>
  </r>
  <r>
    <x v="266"/>
    <s v="2021-12-19"/>
    <s v="Уход"/>
    <n v="1170"/>
    <d v="2021-12-19T00:00:00"/>
    <n v="480"/>
  </r>
  <r>
    <x v="267"/>
    <s v="2020-01-29"/>
    <s v="Уход"/>
    <n v="999"/>
    <d v="2020-01-29T00:00:00"/>
    <n v="1170"/>
  </r>
  <r>
    <x v="268"/>
    <s v="2021-04-12"/>
    <s v="Хоз.товары/бытовая химия"/>
    <n v="165"/>
    <d v="2021-04-12T00:00:00"/>
    <n v="731"/>
  </r>
  <r>
    <x v="269"/>
    <s v="2021-05-02"/>
    <s v="Одежда и аксессуары"/>
    <n v="149"/>
    <d v="2021-05-02T00:00:00"/>
    <n v="711"/>
  </r>
  <r>
    <x v="270"/>
    <s v="2021-06-15"/>
    <s v="Хоз.товары/бытовая химия"/>
    <n v="35"/>
    <d v="2021-06-15T00:00:00"/>
    <n v="667"/>
  </r>
  <r>
    <x v="271"/>
    <s v="2023-02-27"/>
    <s v="Уход за волосами"/>
    <n v="3781"/>
    <d v="2023-02-27T00:00:00"/>
    <n v="45"/>
  </r>
  <r>
    <x v="272"/>
    <s v="2022-02-28"/>
    <s v="Уход за волосами"/>
    <n v="2080"/>
    <d v="2022-02-28T00:00:00"/>
    <n v="409"/>
  </r>
  <r>
    <x v="273"/>
    <s v="2020-10-31"/>
    <s v="Уход"/>
    <n v="900"/>
    <d v="2020-10-31T00:00:00"/>
    <n v="894"/>
  </r>
  <r>
    <x v="274"/>
    <s v="2023-02-26"/>
    <s v="Для дома"/>
    <n v="360"/>
    <d v="2023-02-26T00:00:00"/>
    <n v="46"/>
  </r>
  <r>
    <x v="275"/>
    <s v="2023-02-05"/>
    <s v="Уход за волосами"/>
    <n v="2358"/>
    <d v="2023-02-05T00:00:00"/>
    <n v="67"/>
  </r>
  <r>
    <x v="276"/>
    <s v="2022-04-30"/>
    <s v="Макияж"/>
    <n v="2040"/>
    <d v="2022-04-30T00:00:00"/>
    <n v="348"/>
  </r>
  <r>
    <x v="277"/>
    <s v="2021-09-12"/>
    <s v="Уход за волосами"/>
    <n v="9656"/>
    <d v="2021-09-12T00:00:00"/>
    <n v="578"/>
  </r>
  <r>
    <x v="278"/>
    <s v="2020-05-19"/>
    <s v="Уход за волосами"/>
    <n v="3240"/>
    <d v="2020-05-19T00:00:00"/>
    <n v="1059"/>
  </r>
  <r>
    <x v="279"/>
    <s v="2023-04-10"/>
    <s v="Уход за волосами"/>
    <n v="1287"/>
    <d v="2023-04-10T00:00:00"/>
    <n v="3"/>
  </r>
  <r>
    <x v="280"/>
    <s v="2022-12-27"/>
    <s v="Уход"/>
    <n v="199"/>
    <d v="2022-12-27T00:00:00"/>
    <n v="107"/>
  </r>
  <r>
    <x v="281"/>
    <s v="2021-03-26"/>
    <s v="Уход"/>
    <n v="2899"/>
    <d v="2021-03-26T00:00:00"/>
    <n v="748"/>
  </r>
  <r>
    <x v="282"/>
    <s v="2022-11-06"/>
    <s v="Уход за волосами"/>
    <n v="7137"/>
    <d v="2022-11-06T00:00:00"/>
    <n v="158"/>
  </r>
  <r>
    <x v="283"/>
    <s v="2021-01-26"/>
    <s v="Уход"/>
    <n v="630"/>
    <d v="2021-01-26T00:00:00"/>
    <n v="807"/>
  </r>
  <r>
    <x v="284"/>
    <s v="2020-10-31"/>
    <s v="Для дома"/>
    <n v="378"/>
    <d v="2020-10-31T00:00:00"/>
    <n v="894"/>
  </r>
  <r>
    <x v="285"/>
    <s v="2023-01-23"/>
    <s v="Уход"/>
    <n v="1473"/>
    <d v="2023-01-23T00:00:00"/>
    <n v="80"/>
  </r>
  <r>
    <x v="286"/>
    <s v="2022-02-01"/>
    <s v="Уход"/>
    <n v="2738"/>
    <d v="2022-02-01T00:00:00"/>
    <n v="436"/>
  </r>
  <r>
    <x v="287"/>
    <s v="2022-09-29"/>
    <s v="Уход"/>
    <n v="5091"/>
    <d v="2022-09-29T00:00:00"/>
    <n v="196"/>
  </r>
  <r>
    <x v="288"/>
    <s v="2021-12-27"/>
    <s v="Детский мир"/>
    <n v="1909"/>
    <d v="2021-12-27T00:00:00"/>
    <n v="472"/>
  </r>
  <r>
    <x v="289"/>
    <s v="2022-01-25"/>
    <s v="Уход за волосами"/>
    <n v="2700"/>
    <d v="2022-01-25T00:00:00"/>
    <n v="443"/>
  </r>
  <r>
    <x v="290"/>
    <s v="2019-10-19"/>
    <s v="Уход"/>
    <n v="378"/>
    <d v="2019-10-19T00:00:00"/>
    <n v="1272"/>
  </r>
  <r>
    <x v="291"/>
    <s v="2020-03-13"/>
    <s v="Одежда и аксессуары"/>
    <n v="177"/>
    <d v="2020-03-13T00:00:00"/>
    <n v="1126"/>
  </r>
  <r>
    <x v="292"/>
    <s v="2021-09-29"/>
    <s v="Уход за волосами"/>
    <n v="1370"/>
    <d v="2021-09-29T00:00:00"/>
    <n v="561"/>
  </r>
  <r>
    <x v="293"/>
    <s v="2022-07-13"/>
    <s v="Уход за волосами"/>
    <n v="1675"/>
    <d v="2022-07-13T00:00:00"/>
    <n v="274"/>
  </r>
  <r>
    <x v="294"/>
    <s v="2023-02-24"/>
    <s v="Хоз.товары/бытовая химия"/>
    <n v="246"/>
    <d v="2023-02-24T00:00:00"/>
    <n v="48"/>
  </r>
  <r>
    <x v="295"/>
    <s v="2020-04-30"/>
    <s v="Уход"/>
    <n v="1100"/>
    <d v="2020-04-30T00:00:00"/>
    <n v="1078"/>
  </r>
  <r>
    <x v="296"/>
    <s v="2022-12-10"/>
    <s v="Уход за волосами"/>
    <n v="1470"/>
    <d v="2022-12-10T00:00:00"/>
    <n v="124"/>
  </r>
  <r>
    <x v="297"/>
    <s v="2022-03-19"/>
    <s v="Уход"/>
    <n v="500"/>
    <d v="2022-03-19T00:00:00"/>
    <n v="390"/>
  </r>
  <r>
    <x v="298"/>
    <s v="2020-11-09"/>
    <s v="Уход"/>
    <n v="99"/>
    <d v="2020-11-09T00:00:00"/>
    <n v="885"/>
  </r>
  <r>
    <x v="299"/>
    <s v="2021-12-19"/>
    <s v="Уход"/>
    <n v="17940"/>
    <d v="2021-12-19T00:00:00"/>
    <n v="480"/>
  </r>
  <r>
    <x v="300"/>
    <s v="2022-11-05"/>
    <s v="Уход"/>
    <n v="272"/>
    <d v="2022-11-05T00:00:00"/>
    <n v="159"/>
  </r>
  <r>
    <x v="301"/>
    <s v="2022-02-06"/>
    <s v="Уход"/>
    <n v="1099"/>
    <d v="2022-02-06T00:00:00"/>
    <n v="431"/>
  </r>
  <r>
    <x v="302"/>
    <s v="2023-03-23"/>
    <s v="Одежда и аксессуары"/>
    <n v="1060"/>
    <d v="2023-03-23T00:00:00"/>
    <n v="21"/>
  </r>
  <r>
    <x v="303"/>
    <s v="2021-06-22"/>
    <s v="Уход за волосами"/>
    <n v="13815"/>
    <d v="2021-06-22T00:00:00"/>
    <n v="660"/>
  </r>
  <r>
    <x v="304"/>
    <s v="2023-01-19"/>
    <s v="Детский мир"/>
    <n v="1874"/>
    <d v="2023-01-19T00:00:00"/>
    <n v="84"/>
  </r>
  <r>
    <x v="305"/>
    <s v="2022-07-01"/>
    <s v="Уход"/>
    <n v="199"/>
    <d v="2022-07-01T00:00:00"/>
    <n v="286"/>
  </r>
  <r>
    <x v="306"/>
    <s v="2022-05-01"/>
    <s v="Уход за волосами"/>
    <n v="219"/>
    <d v="2022-05-01T00:00:00"/>
    <n v="347"/>
  </r>
  <r>
    <x v="307"/>
    <s v="2020-04-17"/>
    <s v="Уход"/>
    <n v="3596"/>
    <d v="2020-04-17T00:00:00"/>
    <n v="1091"/>
  </r>
  <r>
    <x v="308"/>
    <s v="2021-02-18"/>
    <s v="Уход за волосами"/>
    <n v="2912"/>
    <d v="2021-02-18T00:00:00"/>
    <n v="784"/>
  </r>
  <r>
    <x v="309"/>
    <s v="2022-06-22"/>
    <s v="Хоз.товары/бытовая химия"/>
    <n v="72"/>
    <d v="2022-06-22T00:00:00"/>
    <n v="295"/>
  </r>
  <r>
    <x v="310"/>
    <s v="2021-05-30"/>
    <s v="Уход"/>
    <n v="186"/>
    <d v="2021-05-30T00:00:00"/>
    <n v="683"/>
  </r>
  <r>
    <x v="135"/>
    <s v="2023-03-12"/>
    <s v="Макияж"/>
    <n v="564"/>
    <d v="2023-03-12T00:00:00"/>
    <n v="32"/>
  </r>
  <r>
    <x v="311"/>
    <s v="2020-07-27"/>
    <s v="Уход за волосами"/>
    <n v="1482"/>
    <d v="2020-07-27T00:00:00"/>
    <n v="990"/>
  </r>
  <r>
    <x v="312"/>
    <s v="2020-12-09"/>
    <s v="Уход за волосами"/>
    <n v="1627"/>
    <d v="2020-12-09T00:00:00"/>
    <n v="855"/>
  </r>
  <r>
    <x v="313"/>
    <s v="2021-09-05"/>
    <s v="Уход за волосами"/>
    <n v="5276"/>
    <d v="2021-09-05T00:00:00"/>
    <n v="585"/>
  </r>
  <r>
    <x v="314"/>
    <s v="2022-06-01"/>
    <s v="Уход за волосами"/>
    <n v="4289"/>
    <d v="2022-06-01T00:00:00"/>
    <n v="316"/>
  </r>
  <r>
    <x v="315"/>
    <s v="2022-10-21"/>
    <s v="Уход"/>
    <n v="99"/>
    <d v="2022-10-21T00:00:00"/>
    <n v="174"/>
  </r>
  <r>
    <x v="316"/>
    <s v="2022-02-24"/>
    <s v="Для дома"/>
    <n v="1332"/>
    <d v="2022-02-24T00:00:00"/>
    <n v="413"/>
  </r>
  <r>
    <x v="317"/>
    <s v="2022-09-17"/>
    <s v="Уход за волосами"/>
    <n v="763"/>
    <d v="2022-09-17T00:00:00"/>
    <n v="208"/>
  </r>
  <r>
    <x v="318"/>
    <s v="2020-05-20"/>
    <s v="Для дома"/>
    <n v="147"/>
    <d v="2020-05-20T00:00:00"/>
    <n v="1058"/>
  </r>
  <r>
    <x v="319"/>
    <s v="2022-10-08"/>
    <s v="Уход"/>
    <n v="692"/>
    <d v="2022-10-08T00:00:00"/>
    <n v="187"/>
  </r>
  <r>
    <x v="320"/>
    <s v="2021-08-19"/>
    <s v="Уход за волосами"/>
    <n v="675"/>
    <d v="2021-08-19T00:00:00"/>
    <n v="602"/>
  </r>
  <r>
    <x v="321"/>
    <s v="2020-11-10"/>
    <s v="Уход за волосами"/>
    <n v="3591"/>
    <d v="2020-11-10T00:00:00"/>
    <n v="884"/>
  </r>
  <r>
    <x v="322"/>
    <s v="2020-08-13"/>
    <s v="Уход за волосами"/>
    <n v="2059"/>
    <d v="2020-08-13T00:00:00"/>
    <n v="973"/>
  </r>
  <r>
    <x v="323"/>
    <s v="2020-02-20"/>
    <s v="Для дома"/>
    <n v="309"/>
    <d v="2020-02-20T00:00:00"/>
    <n v="1148"/>
  </r>
  <r>
    <x v="324"/>
    <s v="2022-11-24"/>
    <s v="Уход"/>
    <n v="3177"/>
    <d v="2022-11-24T00:00:00"/>
    <n v="140"/>
  </r>
  <r>
    <x v="325"/>
    <s v="2022-05-06"/>
    <s v="Уход"/>
    <n v="170"/>
    <d v="2022-05-06T00:00:00"/>
    <n v="342"/>
  </r>
  <r>
    <x v="326"/>
    <s v="2022-04-18"/>
    <s v="Уход"/>
    <n v="622"/>
    <d v="2022-04-18T00:00:00"/>
    <n v="360"/>
  </r>
  <r>
    <x v="327"/>
    <s v="2020-04-25"/>
    <s v="Уход за волосами"/>
    <n v="900"/>
    <d v="2020-04-25T00:00:00"/>
    <n v="1083"/>
  </r>
  <r>
    <x v="328"/>
    <s v="2022-02-09"/>
    <s v="Уход"/>
    <n v="1917"/>
    <d v="2022-02-09T00:00:00"/>
    <n v="428"/>
  </r>
  <r>
    <x v="329"/>
    <s v="2020-05-02"/>
    <s v="Для дома"/>
    <n v="87"/>
    <d v="2020-05-02T00:00:00"/>
    <n v="1076"/>
  </r>
  <r>
    <x v="330"/>
    <s v="2020-03-22"/>
    <s v="Уход за волосами"/>
    <n v="485"/>
    <d v="2020-03-22T00:00:00"/>
    <n v="1117"/>
  </r>
  <r>
    <x v="331"/>
    <s v="2022-02-01"/>
    <s v="Уход"/>
    <n v="280"/>
    <d v="2022-02-01T00:00:00"/>
    <n v="436"/>
  </r>
  <r>
    <x v="332"/>
    <s v="2021-12-03"/>
    <s v="Уход за волосами"/>
    <n v="2719"/>
    <d v="2021-12-03T00:00:00"/>
    <n v="496"/>
  </r>
  <r>
    <x v="333"/>
    <s v="2022-08-25"/>
    <s v="Уход за волосами"/>
    <n v="982"/>
    <d v="2022-08-25T00:00:00"/>
    <n v="231"/>
  </r>
  <r>
    <x v="334"/>
    <s v="2019-11-18"/>
    <s v="Уход за волосами"/>
    <n v="450"/>
    <d v="2019-11-18T00:00:00"/>
    <n v="1242"/>
  </r>
  <r>
    <x v="335"/>
    <s v="2022-12-19"/>
    <s v="Уход"/>
    <n v="838"/>
    <d v="2022-12-19T00:00:00"/>
    <n v="115"/>
  </r>
  <r>
    <x v="336"/>
    <s v="2020-09-07"/>
    <s v="Уход за волосами"/>
    <n v="3666"/>
    <d v="2020-09-07T00:00:00"/>
    <n v="948"/>
  </r>
  <r>
    <x v="337"/>
    <s v="2021-08-13"/>
    <s v="Для дома"/>
    <n v="477"/>
    <d v="2021-08-13T00:00:00"/>
    <n v="608"/>
  </r>
  <r>
    <x v="338"/>
    <s v="2020-11-08"/>
    <s v="Уход за волосами"/>
    <n v="659"/>
    <d v="2020-11-08T00:00:00"/>
    <n v="886"/>
  </r>
  <r>
    <x v="339"/>
    <s v="2021-02-21"/>
    <s v="Уход за волосами"/>
    <n v="2320"/>
    <d v="2021-02-21T00:00:00"/>
    <n v="781"/>
  </r>
  <r>
    <x v="340"/>
    <s v="2022-03-08"/>
    <s v="Уход"/>
    <n v="1138"/>
    <d v="2022-03-08T00:00:00"/>
    <n v="401"/>
  </r>
  <r>
    <x v="341"/>
    <s v="2022-09-30"/>
    <s v="Макияж"/>
    <n v="1048"/>
    <d v="2022-09-30T00:00:00"/>
    <n v="195"/>
  </r>
  <r>
    <x v="166"/>
    <s v="2020-03-08"/>
    <s v="Уход за волосами"/>
    <n v="445"/>
    <d v="2020-03-08T00:00:00"/>
    <n v="1131"/>
  </r>
  <r>
    <x v="342"/>
    <s v="2021-03-27"/>
    <s v="Для дома"/>
    <n v="2070"/>
    <d v="2021-03-27T00:00:00"/>
    <n v="747"/>
  </r>
  <r>
    <x v="343"/>
    <s v="2021-09-04"/>
    <s v="Уход"/>
    <n v="670"/>
    <d v="2021-09-04T00:00:00"/>
    <n v="586"/>
  </r>
  <r>
    <x v="34"/>
    <s v="2018-02-03"/>
    <s v="Макияж"/>
    <n v="112609.2"/>
    <d v="2018-02-03T00:00:00"/>
    <n v="1895"/>
  </r>
  <r>
    <x v="344"/>
    <s v="2022-10-01"/>
    <s v="Уход за волосами"/>
    <n v="607"/>
    <d v="2022-10-01T00:00:00"/>
    <n v="194"/>
  </r>
  <r>
    <x v="345"/>
    <s v="2022-01-01"/>
    <s v="Уход"/>
    <n v="299"/>
    <d v="2022-01-01T00:00:00"/>
    <n v="467"/>
  </r>
  <r>
    <x v="346"/>
    <s v="2022-12-20"/>
    <s v="Уход"/>
    <n v="1690"/>
    <d v="2022-12-20T00:00:00"/>
    <n v="114"/>
  </r>
  <r>
    <x v="347"/>
    <s v="2022-05-09"/>
    <s v="Уход за волосами"/>
    <n v="292"/>
    <d v="2022-05-09T00:00:00"/>
    <n v="339"/>
  </r>
  <r>
    <x v="348"/>
    <s v="2021-01-16"/>
    <s v="Хоз.товары/бытовая химия"/>
    <n v="51"/>
    <d v="2021-01-16T00:00:00"/>
    <n v="817"/>
  </r>
  <r>
    <x v="349"/>
    <s v="2022-11-06"/>
    <s v="Детский мир"/>
    <n v="507"/>
    <d v="2022-11-06T00:00:00"/>
    <n v="158"/>
  </r>
  <r>
    <x v="350"/>
    <s v="2022-10-09"/>
    <s v="Уход за волосами"/>
    <n v="2748"/>
    <d v="2022-10-09T00:00:00"/>
    <n v="186"/>
  </r>
  <r>
    <x v="351"/>
    <s v="2022-11-24"/>
    <s v="Уход за волосами"/>
    <n v="3810"/>
    <d v="2022-11-24T00:00:00"/>
    <n v="140"/>
  </r>
  <r>
    <x v="352"/>
    <s v="2020-09-15"/>
    <s v="Уход"/>
    <n v="399"/>
    <d v="2020-09-15T00:00:00"/>
    <n v="940"/>
  </r>
  <r>
    <x v="353"/>
    <s v="2020-01-23"/>
    <s v="Уход"/>
    <n v="144"/>
    <d v="2020-01-23T00:00:00"/>
    <n v="1176"/>
  </r>
  <r>
    <x v="354"/>
    <s v="2022-04-16"/>
    <s v="Для дома"/>
    <n v="187"/>
    <d v="2022-04-16T00:00:00"/>
    <n v="362"/>
  </r>
  <r>
    <x v="355"/>
    <s v="2023-03-17"/>
    <s v="Детский мир"/>
    <n v="220"/>
    <d v="2023-03-17T00:00:00"/>
    <n v="27"/>
  </r>
  <r>
    <x v="356"/>
    <s v="2021-06-28"/>
    <s v="Детский мир"/>
    <n v="1255"/>
    <d v="2021-06-28T00:00:00"/>
    <n v="654"/>
  </r>
  <r>
    <x v="357"/>
    <s v="2022-03-20"/>
    <s v="Уход"/>
    <n v="1490"/>
    <d v="2022-03-20T00:00:00"/>
    <n v="389"/>
  </r>
  <r>
    <x v="358"/>
    <s v="2021-06-07"/>
    <s v="Уход"/>
    <n v="4797"/>
    <d v="2021-06-07T00:00:00"/>
    <n v="675"/>
  </r>
  <r>
    <x v="359"/>
    <s v="2022-10-27"/>
    <s v="Уход за волосами"/>
    <n v="1097"/>
    <d v="2022-10-27T00:00:00"/>
    <n v="168"/>
  </r>
  <r>
    <x v="360"/>
    <s v="2021-04-11"/>
    <s v="Уход"/>
    <n v="594"/>
    <d v="2021-04-11T00:00:00"/>
    <n v="732"/>
  </r>
  <r>
    <x v="361"/>
    <s v="2022-07-03"/>
    <s v="Для дома"/>
    <n v="212"/>
    <d v="2022-07-03T00:00:00"/>
    <n v="284"/>
  </r>
  <r>
    <x v="362"/>
    <s v="2021-04-22"/>
    <s v="Уход"/>
    <n v="5856"/>
    <d v="2021-04-22T00:00:00"/>
    <n v="721"/>
  </r>
  <r>
    <x v="34"/>
    <s v="2022-09-05"/>
    <s v="Макияж"/>
    <n v="80754.53"/>
    <d v="2022-09-05T00:00:00"/>
    <n v="220"/>
  </r>
  <r>
    <x v="363"/>
    <s v="2020-12-27"/>
    <s v="Уход"/>
    <n v="3207"/>
    <d v="2020-12-27T00:00:00"/>
    <n v="837"/>
  </r>
  <r>
    <x v="364"/>
    <s v="2022-10-23"/>
    <s v="Для дома"/>
    <n v="590"/>
    <d v="2022-10-23T00:00:00"/>
    <n v="172"/>
  </r>
  <r>
    <x v="365"/>
    <s v="2020-07-29"/>
    <s v="Уход за волосами"/>
    <n v="611"/>
    <d v="2020-07-29T00:00:00"/>
    <n v="988"/>
  </r>
  <r>
    <x v="366"/>
    <s v="2021-11-02"/>
    <s v="Уход за волосами"/>
    <n v="3660"/>
    <d v="2021-11-02T00:00:00"/>
    <n v="527"/>
  </r>
  <r>
    <x v="111"/>
    <s v="2022-06-04"/>
    <s v="Уход за волосами"/>
    <n v="946"/>
    <d v="2022-06-04T00:00:00"/>
    <n v="313"/>
  </r>
  <r>
    <x v="367"/>
    <s v="2023-03-17"/>
    <s v="Уход"/>
    <n v="2556"/>
    <d v="2023-03-17T00:00:00"/>
    <n v="27"/>
  </r>
  <r>
    <x v="368"/>
    <s v="2022-01-05"/>
    <s v="Уход за волосами"/>
    <n v="964"/>
    <d v="2022-01-05T00:00:00"/>
    <n v="463"/>
  </r>
  <r>
    <x v="369"/>
    <s v="2022-05-24"/>
    <s v="Уход за волосами"/>
    <n v="1639"/>
    <d v="2022-05-24T00:00:00"/>
    <n v="324"/>
  </r>
  <r>
    <x v="370"/>
    <s v="2021-09-16"/>
    <s v="Уход"/>
    <n v="1829"/>
    <d v="2021-09-16T00:00:00"/>
    <n v="574"/>
  </r>
  <r>
    <x v="371"/>
    <s v="2022-12-30"/>
    <s v="Уход"/>
    <n v="6832"/>
    <d v="2022-12-30T00:00:00"/>
    <n v="104"/>
  </r>
  <r>
    <x v="372"/>
    <s v="2021-05-14"/>
    <s v="Уход"/>
    <n v="3977"/>
    <d v="2021-05-14T00:00:00"/>
    <n v="699"/>
  </r>
  <r>
    <x v="34"/>
    <s v="2021-03-27"/>
    <s v="Одежда и аксессуары"/>
    <n v="57718"/>
    <d v="2021-03-27T00:00:00"/>
    <n v="747"/>
  </r>
  <r>
    <x v="373"/>
    <s v="2021-01-25"/>
    <s v="Уход"/>
    <n v="130"/>
    <d v="2021-01-25T00:00:00"/>
    <n v="808"/>
  </r>
  <r>
    <x v="374"/>
    <s v="2022-11-27"/>
    <s v="Уход за волосами"/>
    <n v="4632"/>
    <d v="2022-11-27T00:00:00"/>
    <n v="137"/>
  </r>
  <r>
    <x v="375"/>
    <s v="2020-10-02"/>
    <s v="Уход"/>
    <n v="1190"/>
    <d v="2020-10-02T00:00:00"/>
    <n v="923"/>
  </r>
  <r>
    <x v="34"/>
    <s v="2022-09-20"/>
    <s v="Детский мир"/>
    <n v="41745.06"/>
    <d v="2022-09-20T00:00:00"/>
    <n v="205"/>
  </r>
  <r>
    <x v="376"/>
    <s v="2019-12-26"/>
    <s v="Уход за волосами"/>
    <n v="3280"/>
    <d v="2019-12-26T00:00:00"/>
    <n v="1204"/>
  </r>
  <r>
    <x v="377"/>
    <s v="2023-01-18"/>
    <s v="Одежда и аксессуары"/>
    <n v="129"/>
    <d v="2023-01-18T00:00:00"/>
    <n v="85"/>
  </r>
  <r>
    <x v="248"/>
    <s v="2022-07-13"/>
    <s v="Для дома"/>
    <n v="402"/>
    <d v="2022-07-13T00:00:00"/>
    <n v="274"/>
  </r>
  <r>
    <x v="378"/>
    <s v="2023-03-10"/>
    <s v="Для дома"/>
    <n v="217"/>
    <d v="2023-03-10T00:00:00"/>
    <n v="34"/>
  </r>
  <r>
    <x v="379"/>
    <s v="2021-08-30"/>
    <s v="Детский мир"/>
    <n v="179"/>
    <d v="2021-08-30T00:00:00"/>
    <n v="591"/>
  </r>
  <r>
    <x v="380"/>
    <s v="2020-11-29"/>
    <s v="Уход за волосами"/>
    <n v="3511"/>
    <d v="2020-11-29T00:00:00"/>
    <n v="865"/>
  </r>
  <r>
    <x v="381"/>
    <s v="2021-11-27"/>
    <s v="Уход"/>
    <n v="13170"/>
    <d v="2021-11-27T00:00:00"/>
    <n v="502"/>
  </r>
  <r>
    <x v="382"/>
    <s v="2021-09-15"/>
    <s v="Одежда и аксессуары"/>
    <n v="75"/>
    <d v="2021-09-15T00:00:00"/>
    <n v="575"/>
  </r>
  <r>
    <x v="383"/>
    <s v="2022-04-17"/>
    <s v="Уход за волосами"/>
    <n v="2501"/>
    <d v="2022-04-17T00:00:00"/>
    <n v="361"/>
  </r>
  <r>
    <x v="384"/>
    <s v="2022-12-23"/>
    <s v="Уход"/>
    <n v="1790"/>
    <d v="2022-12-23T00:00:00"/>
    <n v="111"/>
  </r>
  <r>
    <x v="385"/>
    <s v="2022-07-04"/>
    <s v="Уход"/>
    <n v="477"/>
    <d v="2022-07-04T00:00:00"/>
    <n v="283"/>
  </r>
  <r>
    <x v="386"/>
    <s v="2020-12-19"/>
    <s v="Детский мир"/>
    <n v="91"/>
    <d v="2020-12-19T00:00:00"/>
    <n v="845"/>
  </r>
  <r>
    <x v="387"/>
    <s v="2022-09-08"/>
    <s v="Уход за волосами"/>
    <n v="790"/>
    <d v="2022-09-08T00:00:00"/>
    <n v="217"/>
  </r>
  <r>
    <x v="235"/>
    <s v="2022-10-15"/>
    <s v="Одежда и аксессуары"/>
    <n v="1694"/>
    <d v="2022-10-15T00:00:00"/>
    <n v="180"/>
  </r>
  <r>
    <x v="34"/>
    <s v="2019-06-18"/>
    <s v="Уход"/>
    <n v="3267703.95"/>
    <d v="2019-06-18T00:00:00"/>
    <n v="1395"/>
  </r>
  <r>
    <x v="388"/>
    <s v="2022-09-08"/>
    <s v="Уход"/>
    <n v="1851"/>
    <d v="2022-09-08T00:00:00"/>
    <n v="217"/>
  </r>
  <r>
    <x v="389"/>
    <s v="2020-06-27"/>
    <s v="Детский мир"/>
    <n v="263"/>
    <d v="2020-06-27T00:00:00"/>
    <n v="1020"/>
  </r>
  <r>
    <x v="390"/>
    <s v="2020-04-14"/>
    <s v="Для дома"/>
    <n v="1526"/>
    <d v="2020-04-14T00:00:00"/>
    <n v="1094"/>
  </r>
  <r>
    <x v="120"/>
    <s v="2020-03-13"/>
    <s v="Для дома"/>
    <n v="711"/>
    <d v="2020-03-13T00:00:00"/>
    <n v="1126"/>
  </r>
  <r>
    <x v="391"/>
    <s v="2020-12-30"/>
    <s v="Уход"/>
    <n v="1497"/>
    <d v="2020-12-30T00:00:00"/>
    <n v="834"/>
  </r>
  <r>
    <x v="34"/>
    <s v="2020-07-27"/>
    <s v="Уход"/>
    <n v="219875"/>
    <d v="2020-07-27T00:00:00"/>
    <n v="990"/>
  </r>
  <r>
    <x v="392"/>
    <s v="2022-09-17"/>
    <s v="Уход за волосами"/>
    <n v="4358"/>
    <d v="2022-09-17T00:00:00"/>
    <n v="208"/>
  </r>
  <r>
    <x v="393"/>
    <s v="2023-01-18"/>
    <s v="Хоз.товары/бытовая химия"/>
    <n v="147"/>
    <d v="2023-01-18T00:00:00"/>
    <n v="85"/>
  </r>
  <r>
    <x v="394"/>
    <s v="2022-05-24"/>
    <s v="Уход"/>
    <n v="1030"/>
    <d v="2022-05-24T00:00:00"/>
    <n v="324"/>
  </r>
  <r>
    <x v="395"/>
    <s v="2020-07-11"/>
    <s v="Уход"/>
    <n v="827"/>
    <d v="2020-07-11T00:00:00"/>
    <n v="1006"/>
  </r>
  <r>
    <x v="396"/>
    <s v="2021-02-12"/>
    <s v="Уход"/>
    <n v="305"/>
    <d v="2021-02-12T00:00:00"/>
    <n v="790"/>
  </r>
  <r>
    <x v="397"/>
    <s v="2021-04-08"/>
    <s v="Детский мир"/>
    <n v="269"/>
    <d v="2021-04-08T00:00:00"/>
    <n v="735"/>
  </r>
  <r>
    <x v="398"/>
    <s v="2022-12-10"/>
    <s v="Уход"/>
    <n v="99"/>
    <d v="2022-12-10T00:00:00"/>
    <n v="124"/>
  </r>
  <r>
    <x v="399"/>
    <s v="2020-06-24"/>
    <s v="Для дома"/>
    <n v="199"/>
    <d v="2020-06-24T00:00:00"/>
    <n v="1023"/>
  </r>
  <r>
    <x v="400"/>
    <s v="2022-02-18"/>
    <s v="Уход за волосами"/>
    <n v="760"/>
    <d v="2022-02-18T00:00:00"/>
    <n v="419"/>
  </r>
  <r>
    <x v="73"/>
    <s v="2020-02-09"/>
    <s v="Уход за волосами"/>
    <n v="450"/>
    <d v="2020-02-09T00:00:00"/>
    <n v="1159"/>
  </r>
  <r>
    <x v="401"/>
    <s v="2022-11-30"/>
    <s v="Уход за волосами"/>
    <n v="1696"/>
    <d v="2022-11-30T00:00:00"/>
    <n v="134"/>
  </r>
  <r>
    <x v="402"/>
    <s v="2023-03-10"/>
    <s v="Детский мир"/>
    <n v="425"/>
    <d v="2023-03-10T00:00:00"/>
    <n v="34"/>
  </r>
  <r>
    <x v="403"/>
    <s v="2023-04-02"/>
    <s v="Уход за волосами"/>
    <n v="1172"/>
    <d v="2023-04-02T00:00:00"/>
    <n v="11"/>
  </r>
  <r>
    <x v="404"/>
    <s v="2021-03-12"/>
    <s v="Уход"/>
    <n v="403"/>
    <d v="2021-03-12T00:00:00"/>
    <n v="762"/>
  </r>
  <r>
    <x v="405"/>
    <s v="2021-10-03"/>
    <s v="Хоз.товары/бытовая химия"/>
    <n v="106"/>
    <d v="2021-10-03T00:00:00"/>
    <n v="557"/>
  </r>
  <r>
    <x v="406"/>
    <s v="2023-04-08"/>
    <s v="Для дома"/>
    <n v="1630"/>
    <d v="2023-04-08T00:00:00"/>
    <n v="5"/>
  </r>
  <r>
    <x v="407"/>
    <s v="2021-06-25"/>
    <s v="Детский мир"/>
    <n v="276"/>
    <d v="2021-06-25T00:00:00"/>
    <n v="657"/>
  </r>
  <r>
    <x v="187"/>
    <s v="2022-12-04"/>
    <s v="Хоз.товары/бытовая химия"/>
    <n v="89"/>
    <d v="2022-12-04T00:00:00"/>
    <n v="130"/>
  </r>
  <r>
    <x v="408"/>
    <s v="2022-04-06"/>
    <s v="Макияж"/>
    <n v="6567"/>
    <d v="2022-04-06T00:00:00"/>
    <n v="372"/>
  </r>
  <r>
    <x v="409"/>
    <s v="2022-07-07"/>
    <s v="Уход"/>
    <n v="1227"/>
    <d v="2022-07-07T00:00:00"/>
    <n v="280"/>
  </r>
  <r>
    <x v="410"/>
    <s v="2020-09-13"/>
    <s v="Уход"/>
    <n v="607"/>
    <d v="2020-09-13T00:00:00"/>
    <n v="942"/>
  </r>
  <r>
    <x v="411"/>
    <s v="2021-06-16"/>
    <s v="Уход за волосами"/>
    <n v="4488"/>
    <d v="2021-06-16T00:00:00"/>
    <n v="666"/>
  </r>
  <r>
    <x v="412"/>
    <s v="2023-01-28"/>
    <s v="Уход за волосами"/>
    <n v="13965"/>
    <d v="2023-01-28T00:00:00"/>
    <n v="75"/>
  </r>
  <r>
    <x v="413"/>
    <s v="2021-03-31"/>
    <s v="Для дома"/>
    <n v="519"/>
    <d v="2021-03-31T00:00:00"/>
    <n v="743"/>
  </r>
  <r>
    <x v="414"/>
    <s v="2022-07-23"/>
    <s v="Уход"/>
    <n v="656"/>
    <d v="2022-07-23T00:00:00"/>
    <n v="264"/>
  </r>
  <r>
    <x v="415"/>
    <s v="2021-05-13"/>
    <s v="Уход за волосами"/>
    <n v="1060"/>
    <d v="2021-05-13T00:00:00"/>
    <n v="700"/>
  </r>
  <r>
    <x v="416"/>
    <s v="2020-12-08"/>
    <s v="Макияж"/>
    <n v="1929"/>
    <d v="2020-12-08T00:00:00"/>
    <n v="856"/>
  </r>
  <r>
    <x v="34"/>
    <s v="2020-02-23"/>
    <s v="Для дома"/>
    <n v="34104"/>
    <d v="2020-02-23T00:00:00"/>
    <n v="1145"/>
  </r>
  <r>
    <x v="312"/>
    <s v="2020-08-11"/>
    <s v="Уход за волосами"/>
    <n v="846"/>
    <d v="2020-08-11T00:00:00"/>
    <n v="975"/>
  </r>
  <r>
    <x v="417"/>
    <s v="2020-04-30"/>
    <s v="Уход"/>
    <n v="943"/>
    <d v="2020-04-30T00:00:00"/>
    <n v="1078"/>
  </r>
  <r>
    <x v="418"/>
    <s v="2022-11-20"/>
    <s v="Уход за волосами"/>
    <n v="196"/>
    <d v="2022-11-20T00:00:00"/>
    <n v="144"/>
  </r>
  <r>
    <x v="419"/>
    <s v="2022-12-10"/>
    <s v="Уход за волосами"/>
    <n v="1280"/>
    <d v="2022-12-10T00:00:00"/>
    <n v="124"/>
  </r>
  <r>
    <x v="420"/>
    <s v="2019-08-27"/>
    <s v="Уход за волосами"/>
    <n v="13233"/>
    <d v="2019-08-27T00:00:00"/>
    <n v="1325"/>
  </r>
  <r>
    <x v="421"/>
    <s v="2023-03-28"/>
    <s v="Для дома"/>
    <n v="3991"/>
    <d v="2023-03-28T00:00:00"/>
    <n v="16"/>
  </r>
  <r>
    <x v="422"/>
    <s v="2020-03-05"/>
    <s v="Уход"/>
    <n v="950"/>
    <d v="2020-03-05T00:00:00"/>
    <n v="1134"/>
  </r>
  <r>
    <x v="423"/>
    <s v="2023-03-19"/>
    <s v="Хоз.товары/бытовая химия"/>
    <n v="114"/>
    <d v="2023-03-19T00:00:00"/>
    <n v="25"/>
  </r>
  <r>
    <x v="424"/>
    <s v="2020-05-25"/>
    <s v="Для дома"/>
    <n v="106"/>
    <d v="2020-05-25T00:00:00"/>
    <n v="1053"/>
  </r>
  <r>
    <x v="425"/>
    <s v="2022-09-15"/>
    <s v="Макияж"/>
    <n v="940"/>
    <d v="2022-09-15T00:00:00"/>
    <n v="210"/>
  </r>
  <r>
    <x v="426"/>
    <s v="2023-01-16"/>
    <s v="Уход за волосами"/>
    <n v="1102"/>
    <d v="2023-01-16T00:00:00"/>
    <n v="87"/>
  </r>
  <r>
    <x v="427"/>
    <s v="2020-12-14"/>
    <s v="Уход за волосами"/>
    <n v="4320"/>
    <d v="2020-12-14T00:00:00"/>
    <n v="850"/>
  </r>
  <r>
    <x v="428"/>
    <s v="2020-01-24"/>
    <s v="Для дома"/>
    <n v="18"/>
    <d v="2020-01-24T00:00:00"/>
    <n v="1175"/>
  </r>
  <r>
    <x v="429"/>
    <s v="2022-12-23"/>
    <s v="Уход"/>
    <n v="614"/>
    <d v="2022-12-23T00:00:00"/>
    <n v="111"/>
  </r>
  <r>
    <x v="430"/>
    <s v="2020-03-14"/>
    <s v="Уход за волосами"/>
    <n v="495"/>
    <d v="2020-03-14T00:00:00"/>
    <n v="1125"/>
  </r>
  <r>
    <x v="431"/>
    <s v="2022-11-12"/>
    <s v="Уход за волосами"/>
    <n v="1926"/>
    <d v="2022-11-12T00:00:00"/>
    <n v="152"/>
  </r>
  <r>
    <x v="432"/>
    <s v="2022-12-27"/>
    <s v="Уход"/>
    <n v="2319"/>
    <d v="2022-12-27T00:00:00"/>
    <n v="107"/>
  </r>
  <r>
    <x v="433"/>
    <s v="2022-06-21"/>
    <s v="Уход за волосами"/>
    <n v="5140"/>
    <d v="2022-06-21T00:00:00"/>
    <n v="296"/>
  </r>
  <r>
    <x v="434"/>
    <s v="2022-04-24"/>
    <s v="Уход"/>
    <n v="4892"/>
    <d v="2022-04-24T00:00:00"/>
    <n v="354"/>
  </r>
  <r>
    <x v="435"/>
    <s v="2022-07-07"/>
    <s v="Уход"/>
    <n v="670"/>
    <d v="2022-07-07T00:00:00"/>
    <n v="280"/>
  </r>
  <r>
    <x v="436"/>
    <s v="2021-01-16"/>
    <s v="Уход"/>
    <n v="2450"/>
    <d v="2021-01-16T00:00:00"/>
    <n v="817"/>
  </r>
  <r>
    <x v="437"/>
    <s v="2022-05-10"/>
    <s v="Одежда и аксессуары"/>
    <n v="226"/>
    <d v="2022-05-10T00:00:00"/>
    <n v="338"/>
  </r>
  <r>
    <x v="438"/>
    <s v="2020-04-07"/>
    <s v="Уход за волосами"/>
    <n v="1494"/>
    <d v="2020-04-07T00:00:00"/>
    <n v="1101"/>
  </r>
  <r>
    <x v="439"/>
    <s v="2023-02-18"/>
    <s v="Уход"/>
    <n v="189"/>
    <d v="2023-02-18T00:00:00"/>
    <n v="54"/>
  </r>
  <r>
    <x v="440"/>
    <s v="2023-01-13"/>
    <s v="Уход за волосами"/>
    <n v="3070"/>
    <d v="2023-01-13T00:00:00"/>
    <n v="90"/>
  </r>
  <r>
    <x v="441"/>
    <s v="2022-06-15"/>
    <s v="Одежда и аксессуары"/>
    <n v="152"/>
    <d v="2022-06-15T00:00:00"/>
    <n v="302"/>
  </r>
  <r>
    <x v="442"/>
    <s v="2020-06-06"/>
    <s v="Уход за волосами"/>
    <n v="568"/>
    <d v="2020-06-06T00:00:00"/>
    <n v="1041"/>
  </r>
  <r>
    <x v="443"/>
    <s v="2021-08-07"/>
    <s v="Детский мир"/>
    <n v="397"/>
    <d v="2021-08-07T00:00:00"/>
    <n v="614"/>
  </r>
  <r>
    <x v="444"/>
    <s v="2021-12-27"/>
    <s v="Хоз.товары/бытовая химия"/>
    <n v="1305"/>
    <d v="2021-12-27T00:00:00"/>
    <n v="472"/>
  </r>
  <r>
    <x v="445"/>
    <s v="2023-01-13"/>
    <s v="Уход"/>
    <n v="11277"/>
    <d v="2023-01-13T00:00:00"/>
    <n v="90"/>
  </r>
  <r>
    <x v="446"/>
    <s v="2022-05-11"/>
    <s v="Уход за волосами"/>
    <n v="1550"/>
    <d v="2022-05-11T00:00:00"/>
    <n v="337"/>
  </r>
  <r>
    <x v="447"/>
    <s v="2021-11-22"/>
    <s v="Уход"/>
    <n v="4341"/>
    <d v="2021-11-22T00:00:00"/>
    <n v="507"/>
  </r>
  <r>
    <x v="448"/>
    <s v="2021-10-20"/>
    <s v="Уход за волосами"/>
    <n v="1405"/>
    <d v="2021-10-20T00:00:00"/>
    <n v="540"/>
  </r>
  <r>
    <x v="449"/>
    <s v="2021-11-01"/>
    <s v="Макияж"/>
    <n v="1833"/>
    <d v="2021-11-01T00:00:00"/>
    <n v="528"/>
  </r>
  <r>
    <x v="450"/>
    <s v="2022-03-05"/>
    <s v="Уход"/>
    <n v="163"/>
    <d v="2022-03-05T00:00:00"/>
    <n v="404"/>
  </r>
  <r>
    <x v="451"/>
    <s v="2020-03-26"/>
    <s v="Уход за волосами"/>
    <n v="3180"/>
    <d v="2020-03-26T00:00:00"/>
    <n v="1113"/>
  </r>
  <r>
    <x v="452"/>
    <s v="2021-12-22"/>
    <s v="Для дома"/>
    <n v="100"/>
    <d v="2021-12-22T00:00:00"/>
    <n v="477"/>
  </r>
  <r>
    <x v="453"/>
    <s v="2020-12-23"/>
    <s v="Уход"/>
    <n v="1042"/>
    <d v="2020-12-23T00:00:00"/>
    <n v="841"/>
  </r>
  <r>
    <x v="454"/>
    <s v="2021-08-25"/>
    <s v="Уход за волосами"/>
    <n v="762"/>
    <d v="2021-08-25T00:00:00"/>
    <n v="596"/>
  </r>
  <r>
    <x v="455"/>
    <s v="2021-12-24"/>
    <s v="Уход"/>
    <n v="4450"/>
    <d v="2021-12-24T00:00:00"/>
    <n v="475"/>
  </r>
  <r>
    <x v="456"/>
    <s v="2021-01-22"/>
    <s v="Уход"/>
    <n v="162"/>
    <d v="2021-01-22T00:00:00"/>
    <n v="811"/>
  </r>
  <r>
    <x v="457"/>
    <s v="2019-11-03"/>
    <s v="Одежда и аксессуары"/>
    <n v="178"/>
    <d v="2019-11-03T00:00:00"/>
    <n v="1257"/>
  </r>
  <r>
    <x v="458"/>
    <s v="2021-03-23"/>
    <s v="Уход"/>
    <n v="3390"/>
    <d v="2021-03-23T00:00:00"/>
    <n v="751"/>
  </r>
  <r>
    <x v="459"/>
    <s v="2020-07-11"/>
    <s v="Уход"/>
    <n v="283"/>
    <d v="2020-07-11T00:00:00"/>
    <n v="1006"/>
  </r>
  <r>
    <x v="460"/>
    <s v="2021-04-15"/>
    <s v="Уход за волосами"/>
    <n v="10550"/>
    <d v="2021-04-15T00:00:00"/>
    <n v="728"/>
  </r>
  <r>
    <x v="461"/>
    <s v="2022-05-25"/>
    <s v="Для дома"/>
    <n v="1390"/>
    <d v="2022-05-25T00:00:00"/>
    <n v="323"/>
  </r>
  <r>
    <x v="34"/>
    <s v="2018-10-10"/>
    <s v="Для дома"/>
    <n v="340933.2"/>
    <d v="2018-10-10T00:00:00"/>
    <n v="1646"/>
  </r>
  <r>
    <x v="462"/>
    <s v="2021-11-12"/>
    <s v="Уход"/>
    <n v="617"/>
    <d v="2021-11-12T00:00:00"/>
    <n v="517"/>
  </r>
  <r>
    <x v="463"/>
    <s v="2023-02-10"/>
    <s v="Уход за волосами"/>
    <n v="1500"/>
    <d v="2023-02-10T00:00:00"/>
    <n v="62"/>
  </r>
  <r>
    <x v="464"/>
    <s v="2022-03-22"/>
    <s v="Для дома"/>
    <n v="78"/>
    <d v="2022-03-22T00:00:00"/>
    <n v="387"/>
  </r>
  <r>
    <x v="465"/>
    <s v="2020-08-05"/>
    <s v="Для дома"/>
    <n v="487"/>
    <d v="2020-08-05T00:00:00"/>
    <n v="981"/>
  </r>
  <r>
    <x v="466"/>
    <s v="2020-09-22"/>
    <s v="Уход"/>
    <n v="69"/>
    <d v="2020-09-22T00:00:00"/>
    <n v="933"/>
  </r>
  <r>
    <x v="467"/>
    <s v="2020-08-30"/>
    <s v="Уход"/>
    <n v="1099"/>
    <d v="2020-08-30T00:00:00"/>
    <n v="956"/>
  </r>
  <r>
    <x v="468"/>
    <s v="2021-11-02"/>
    <s v="Хоз.товары/бытовая химия"/>
    <n v="870"/>
    <d v="2021-11-02T00:00:00"/>
    <n v="527"/>
  </r>
  <r>
    <x v="469"/>
    <s v="2021-12-13"/>
    <s v="Для дома"/>
    <n v="781"/>
    <d v="2021-12-13T00:00:00"/>
    <n v="486"/>
  </r>
  <r>
    <x v="470"/>
    <s v="2023-03-25"/>
    <s v="Уход за волосами"/>
    <n v="1434"/>
    <d v="2023-03-25T00:00:00"/>
    <n v="19"/>
  </r>
  <r>
    <x v="471"/>
    <s v="2019-12-28"/>
    <s v="Уход"/>
    <n v="126"/>
    <d v="2019-12-28T00:00:00"/>
    <n v="1202"/>
  </r>
  <r>
    <x v="472"/>
    <s v="2022-01-10"/>
    <s v="Уход"/>
    <n v="2482"/>
    <d v="2022-01-10T00:00:00"/>
    <n v="458"/>
  </r>
  <r>
    <x v="473"/>
    <s v="2021-04-16"/>
    <s v="Одежда и аксессуары"/>
    <n v="894"/>
    <d v="2021-04-16T00:00:00"/>
    <n v="727"/>
  </r>
  <r>
    <x v="474"/>
    <s v="2023-03-22"/>
    <s v="Уход"/>
    <n v="180"/>
    <d v="2023-03-22T00:00:00"/>
    <n v="22"/>
  </r>
  <r>
    <x v="475"/>
    <s v="2019-10-23"/>
    <s v="Для дома"/>
    <n v="154"/>
    <d v="2019-10-23T00:00:00"/>
    <n v="1268"/>
  </r>
  <r>
    <x v="476"/>
    <s v="2022-08-04"/>
    <s v="Для дома"/>
    <n v="32"/>
    <d v="2022-08-04T00:00:00"/>
    <n v="252"/>
  </r>
  <r>
    <x v="205"/>
    <s v="2020-12-16"/>
    <s v="Уход за волосами"/>
    <n v="5583"/>
    <d v="2020-12-16T00:00:00"/>
    <n v="848"/>
  </r>
  <r>
    <x v="477"/>
    <s v="2022-08-16"/>
    <s v="Уход за волосами"/>
    <n v="3771"/>
    <d v="2022-08-16T00:00:00"/>
    <n v="240"/>
  </r>
  <r>
    <x v="478"/>
    <s v="2021-01-30"/>
    <s v="Уход"/>
    <n v="345"/>
    <d v="2021-01-30T00:00:00"/>
    <n v="803"/>
  </r>
  <r>
    <x v="479"/>
    <s v="2021-09-20"/>
    <s v="Уход за волосами"/>
    <n v="3146"/>
    <d v="2021-09-20T00:00:00"/>
    <n v="570"/>
  </r>
  <r>
    <x v="480"/>
    <s v="2020-03-11"/>
    <s v="Одежда и аксессуары"/>
    <n v="178"/>
    <d v="2020-03-11T00:00:00"/>
    <n v="1128"/>
  </r>
  <r>
    <x v="481"/>
    <s v="2021-09-11"/>
    <s v="Уход за волосами"/>
    <n v="809"/>
    <d v="2021-09-11T00:00:00"/>
    <n v="579"/>
  </r>
  <r>
    <x v="482"/>
    <s v="2022-04-07"/>
    <s v="Для дома"/>
    <n v="2340"/>
    <d v="2022-04-07T00:00:00"/>
    <n v="371"/>
  </r>
  <r>
    <x v="483"/>
    <s v="2022-08-10"/>
    <s v="Хоз.товары/бытовая химия"/>
    <n v="735"/>
    <d v="2022-08-10T00:00:00"/>
    <n v="246"/>
  </r>
  <r>
    <x v="484"/>
    <s v="2020-02-29"/>
    <s v="Для дома"/>
    <n v="282"/>
    <d v="2020-02-29T00:00:00"/>
    <n v="1139"/>
  </r>
  <r>
    <x v="485"/>
    <s v="2021-01-22"/>
    <s v="Уход за волосами"/>
    <n v="898"/>
    <d v="2021-01-22T00:00:00"/>
    <n v="811"/>
  </r>
  <r>
    <x v="34"/>
    <s v="2023-03-06"/>
    <s v="Уход за волосами"/>
    <n v="2458277.34"/>
    <d v="2023-03-06T00:00:00"/>
    <n v="38"/>
  </r>
  <r>
    <x v="486"/>
    <s v="2020-09-09"/>
    <s v="Уход"/>
    <n v="1291"/>
    <d v="2020-09-09T00:00:00"/>
    <n v="946"/>
  </r>
  <r>
    <x v="487"/>
    <s v="2020-06-10"/>
    <s v="Уход за волосами"/>
    <n v="6801"/>
    <d v="2020-06-10T00:00:00"/>
    <n v="1037"/>
  </r>
  <r>
    <x v="488"/>
    <s v="2020-01-28"/>
    <s v="Уход за волосами"/>
    <n v="835"/>
    <d v="2020-01-28T00:00:00"/>
    <n v="1171"/>
  </r>
  <r>
    <x v="489"/>
    <s v="2021-06-22"/>
    <s v="Уход за волосами"/>
    <n v="1047"/>
    <d v="2021-06-22T00:00:00"/>
    <n v="660"/>
  </r>
  <r>
    <x v="320"/>
    <s v="2023-04-05"/>
    <s v="Уход за волосами"/>
    <n v="58"/>
    <d v="2023-04-05T00:00:00"/>
    <n v="8"/>
  </r>
  <r>
    <x v="490"/>
    <s v="2023-02-27"/>
    <s v="Хоз.товары/бытовая химия"/>
    <n v="152"/>
    <d v="2023-02-27T00:00:00"/>
    <n v="45"/>
  </r>
  <r>
    <x v="491"/>
    <s v="2019-12-25"/>
    <s v="Уход за волосами"/>
    <n v="2415"/>
    <d v="2019-12-25T00:00:00"/>
    <n v="1205"/>
  </r>
  <r>
    <x v="492"/>
    <s v="2021-12-25"/>
    <s v="Уход за волосами"/>
    <n v="104"/>
    <d v="2021-12-25T00:00:00"/>
    <n v="474"/>
  </r>
  <r>
    <x v="493"/>
    <s v="2022-02-14"/>
    <s v="Уход за волосами"/>
    <n v="363"/>
    <d v="2022-02-14T00:00:00"/>
    <n v="423"/>
  </r>
  <r>
    <x v="494"/>
    <s v="2020-08-27"/>
    <s v="Одежда и аксессуары"/>
    <n v="114"/>
    <d v="2020-08-27T00:00:00"/>
    <n v="959"/>
  </r>
  <r>
    <x v="34"/>
    <s v="2018-02-18"/>
    <s v="Одежда и аксессуары"/>
    <n v="415566.9"/>
    <d v="2018-02-18T00:00:00"/>
    <n v="1880"/>
  </r>
  <r>
    <x v="495"/>
    <s v="2023-01-18"/>
    <s v="Уход за волосами"/>
    <n v="1125"/>
    <d v="2023-01-18T00:00:00"/>
    <n v="85"/>
  </r>
  <r>
    <x v="496"/>
    <s v="2022-05-28"/>
    <s v="Уход"/>
    <n v="5242"/>
    <d v="2022-05-28T00:00:00"/>
    <n v="320"/>
  </r>
  <r>
    <x v="497"/>
    <s v="2021-11-06"/>
    <s v="Уход"/>
    <n v="290"/>
    <d v="2021-11-06T00:00:00"/>
    <n v="523"/>
  </r>
  <r>
    <x v="370"/>
    <s v="2022-02-16"/>
    <s v="Детский мир"/>
    <n v="394"/>
    <d v="2022-02-16T00:00:00"/>
    <n v="421"/>
  </r>
  <r>
    <x v="498"/>
    <s v="2022-04-10"/>
    <s v="Для дома"/>
    <n v="150"/>
    <d v="2022-04-10T00:00:00"/>
    <n v="368"/>
  </r>
  <r>
    <x v="499"/>
    <s v="2022-12-06"/>
    <s v="Уход"/>
    <n v="299"/>
    <d v="2022-12-06T00:00:00"/>
    <n v="128"/>
  </r>
  <r>
    <x v="500"/>
    <s v="2022-05-24"/>
    <s v="Уход"/>
    <n v="1096"/>
    <d v="2022-05-24T00:00:00"/>
    <n v="324"/>
  </r>
  <r>
    <x v="501"/>
    <s v="2022-04-12"/>
    <s v="Уход"/>
    <n v="227"/>
    <d v="2022-04-12T00:00:00"/>
    <n v="366"/>
  </r>
  <r>
    <x v="502"/>
    <s v="2020-11-28"/>
    <s v="Уход"/>
    <n v="8915"/>
    <d v="2020-11-28T00:00:00"/>
    <n v="866"/>
  </r>
  <r>
    <x v="503"/>
    <s v="2019-10-10"/>
    <s v="Уход"/>
    <n v="8727"/>
    <d v="2019-10-10T00:00:00"/>
    <n v="1281"/>
  </r>
  <r>
    <x v="504"/>
    <s v="2022-06-28"/>
    <s v="Уход"/>
    <n v="1058"/>
    <d v="2022-06-28T00:00:00"/>
    <n v="289"/>
  </r>
  <r>
    <x v="505"/>
    <s v="2022-11-14"/>
    <s v="Уход"/>
    <n v="1175"/>
    <d v="2022-11-14T00:00:00"/>
    <n v="150"/>
  </r>
  <r>
    <x v="506"/>
    <s v="2021-08-20"/>
    <s v="Хоз.товары/бытовая химия"/>
    <n v="19"/>
    <d v="2021-08-20T00:00:00"/>
    <n v="601"/>
  </r>
  <r>
    <x v="507"/>
    <s v="2022-08-04"/>
    <s v="Одежда и аксессуары"/>
    <n v="2370"/>
    <d v="2022-08-04T00:00:00"/>
    <n v="252"/>
  </r>
  <r>
    <x v="508"/>
    <s v="2021-01-22"/>
    <s v="Уход за волосами"/>
    <n v="2106"/>
    <d v="2021-01-22T00:00:00"/>
    <n v="811"/>
  </r>
  <r>
    <x v="321"/>
    <s v="2020-01-30"/>
    <s v="Уход за волосами"/>
    <n v="398"/>
    <d v="2020-01-30T00:00:00"/>
    <n v="1169"/>
  </r>
  <r>
    <x v="509"/>
    <s v="2022-10-04"/>
    <s v="Для дома"/>
    <n v="576"/>
    <d v="2022-10-04T00:00:00"/>
    <n v="191"/>
  </r>
  <r>
    <x v="510"/>
    <s v="2022-10-04"/>
    <s v="Уход за волосами"/>
    <n v="1306"/>
    <d v="2022-10-04T00:00:00"/>
    <n v="191"/>
  </r>
  <r>
    <x v="511"/>
    <s v="2020-02-15"/>
    <s v="Уход"/>
    <n v="232"/>
    <d v="2020-02-15T00:00:00"/>
    <n v="1153"/>
  </r>
  <r>
    <x v="512"/>
    <s v="2022-04-20"/>
    <s v="Макияж"/>
    <n v="795"/>
    <d v="2022-04-20T00:00:00"/>
    <n v="358"/>
  </r>
  <r>
    <x v="513"/>
    <s v="2021-09-02"/>
    <s v="Уход за волосами"/>
    <n v="387"/>
    <d v="2021-09-02T00:00:00"/>
    <n v="588"/>
  </r>
  <r>
    <x v="514"/>
    <s v="2021-12-04"/>
    <s v="Уход"/>
    <n v="6985"/>
    <d v="2021-12-04T00:00:00"/>
    <n v="495"/>
  </r>
  <r>
    <x v="515"/>
    <s v="2019-08-06"/>
    <s v="Уход за волосами"/>
    <n v="279"/>
    <d v="2019-08-06T00:00:00"/>
    <n v="1346"/>
  </r>
  <r>
    <x v="34"/>
    <s v="2020-05-03"/>
    <s v="Одежда и аксессуары"/>
    <n v="2528"/>
    <d v="2020-05-03T00:00:00"/>
    <n v="1075"/>
  </r>
  <r>
    <x v="516"/>
    <s v="2022-12-22"/>
    <s v="Макияж"/>
    <n v="530"/>
    <d v="2022-12-22T00:00:00"/>
    <n v="112"/>
  </r>
  <r>
    <x v="517"/>
    <s v="2022-12-22"/>
    <s v="Уход"/>
    <n v="1990"/>
    <d v="2022-12-22T00:00:00"/>
    <n v="112"/>
  </r>
  <r>
    <x v="518"/>
    <s v="2022-03-04"/>
    <s v="Уход за волосами"/>
    <n v="495"/>
    <d v="2022-03-04T00:00:00"/>
    <n v="405"/>
  </r>
  <r>
    <x v="519"/>
    <s v="2021-01-08"/>
    <s v="Уход"/>
    <n v="1399"/>
    <d v="2021-01-08T00:00:00"/>
    <n v="825"/>
  </r>
  <r>
    <x v="520"/>
    <s v="2021-04-06"/>
    <s v="Для дома"/>
    <n v="4100"/>
    <d v="2021-04-06T00:00:00"/>
    <n v="737"/>
  </r>
  <r>
    <x v="521"/>
    <s v="2019-12-19"/>
    <s v="Уход"/>
    <n v="126"/>
    <d v="2019-12-19T00:00:00"/>
    <n v="1211"/>
  </r>
  <r>
    <x v="522"/>
    <s v="2022-12-12"/>
    <s v="Одежда и аксессуары"/>
    <n v="349"/>
    <d v="2022-12-12T00:00:00"/>
    <n v="122"/>
  </r>
  <r>
    <x v="523"/>
    <s v="2019-05-30"/>
    <s v="Уход"/>
    <n v="1201"/>
    <d v="2019-05-30T00:00:00"/>
    <n v="1414"/>
  </r>
  <r>
    <x v="524"/>
    <s v="2019-12-25"/>
    <s v="Уход"/>
    <n v="1105"/>
    <d v="2019-12-25T00:00:00"/>
    <n v="1205"/>
  </r>
  <r>
    <x v="22"/>
    <s v="2022-07-27"/>
    <s v="Макияж"/>
    <n v="2447"/>
    <d v="2022-07-27T00:00:00"/>
    <n v="260"/>
  </r>
  <r>
    <x v="525"/>
    <s v="2022-11-28"/>
    <s v="Хоз.товары/бытовая химия"/>
    <n v="7710"/>
    <d v="2022-11-28T00:00:00"/>
    <n v="136"/>
  </r>
  <r>
    <x v="526"/>
    <s v="2022-08-12"/>
    <s v="Для дома"/>
    <n v="0"/>
    <d v="2022-08-12T00:00:00"/>
    <n v="244"/>
  </r>
  <r>
    <x v="527"/>
    <s v="2022-02-16"/>
    <s v="Уход"/>
    <n v="833"/>
    <d v="2022-02-16T00:00:00"/>
    <n v="421"/>
  </r>
  <r>
    <x v="528"/>
    <s v="2022-12-22"/>
    <s v="Уход за волосами"/>
    <n v="1213"/>
    <d v="2022-12-22T00:00:00"/>
    <n v="112"/>
  </r>
  <r>
    <x v="529"/>
    <s v="2021-04-08"/>
    <s v="Уход"/>
    <n v="789"/>
    <d v="2021-04-08T00:00:00"/>
    <n v="735"/>
  </r>
  <r>
    <x v="530"/>
    <s v="2022-10-13"/>
    <s v="Уход за волосами"/>
    <n v="2218"/>
    <d v="2022-10-13T00:00:00"/>
    <n v="182"/>
  </r>
  <r>
    <x v="531"/>
    <s v="2020-09-25"/>
    <s v="Макияж"/>
    <n v="605"/>
    <d v="2020-09-25T00:00:00"/>
    <n v="930"/>
  </r>
  <r>
    <x v="34"/>
    <s v="2022-04-29"/>
    <s v="Хоз.товары/бытовая химия"/>
    <n v="7077.76"/>
    <d v="2022-04-29T00:00:00"/>
    <n v="349"/>
  </r>
  <r>
    <x v="532"/>
    <s v="2023-01-10"/>
    <s v="Уход"/>
    <n v="243"/>
    <d v="2023-01-10T00:00:00"/>
    <n v="93"/>
  </r>
  <r>
    <x v="533"/>
    <s v="2021-07-22"/>
    <s v="Для дома"/>
    <n v="991"/>
    <d v="2021-07-22T00:00:00"/>
    <n v="630"/>
  </r>
  <r>
    <x v="534"/>
    <s v="2022-12-04"/>
    <s v="Уход"/>
    <n v="650"/>
    <d v="2022-12-04T00:00:00"/>
    <n v="130"/>
  </r>
  <r>
    <x v="535"/>
    <s v="2023-02-22"/>
    <s v="Уход"/>
    <n v="7854"/>
    <d v="2023-02-22T00:00:00"/>
    <n v="50"/>
  </r>
  <r>
    <x v="536"/>
    <s v="2021-04-29"/>
    <s v="Для дома"/>
    <n v="777"/>
    <d v="2021-04-29T00:00:00"/>
    <n v="714"/>
  </r>
  <r>
    <x v="537"/>
    <s v="2021-05-02"/>
    <s v="Уход"/>
    <n v="919"/>
    <d v="2021-05-02T00:00:00"/>
    <n v="711"/>
  </r>
  <r>
    <x v="538"/>
    <s v="2022-04-06"/>
    <s v="Уход"/>
    <n v="179"/>
    <d v="2022-04-06T00:00:00"/>
    <n v="372"/>
  </r>
  <r>
    <x v="539"/>
    <s v="2022-04-15"/>
    <s v="Уход за волосами"/>
    <n v="3760"/>
    <d v="2022-04-15T00:00:00"/>
    <n v="363"/>
  </r>
  <r>
    <x v="540"/>
    <s v="2020-11-08"/>
    <s v="Детский мир"/>
    <n v="534"/>
    <d v="2020-11-08T00:00:00"/>
    <n v="886"/>
  </r>
  <r>
    <x v="541"/>
    <s v="2019-10-29"/>
    <s v="Уход"/>
    <n v="1447"/>
    <d v="2019-10-29T00:00:00"/>
    <n v="1262"/>
  </r>
  <r>
    <x v="542"/>
    <s v="2021-05-10"/>
    <s v="Уход за волосами"/>
    <n v="1244"/>
    <d v="2021-05-10T00:00:00"/>
    <n v="703"/>
  </r>
  <r>
    <x v="543"/>
    <s v="2020-06-14"/>
    <s v="Одежда и аксессуары"/>
    <n v="530"/>
    <d v="2020-06-14T00:00:00"/>
    <n v="1033"/>
  </r>
  <r>
    <x v="544"/>
    <s v="2022-09-24"/>
    <s v="Уход"/>
    <n v="363"/>
    <d v="2022-09-24T00:00:00"/>
    <n v="201"/>
  </r>
  <r>
    <x v="545"/>
    <s v="2021-07-11"/>
    <s v="Уход за волосами"/>
    <n v="1196"/>
    <d v="2021-07-11T00:00:00"/>
    <n v="641"/>
  </r>
  <r>
    <x v="509"/>
    <s v="2022-02-09"/>
    <s v="Уход"/>
    <n v="298"/>
    <d v="2022-02-09T00:00:00"/>
    <n v="428"/>
  </r>
  <r>
    <x v="546"/>
    <s v="2022-08-29"/>
    <s v="Уход за волосами"/>
    <n v="1422"/>
    <d v="2022-08-29T00:00:00"/>
    <n v="227"/>
  </r>
  <r>
    <x v="547"/>
    <s v="2020-12-05"/>
    <s v="Уход за волосами"/>
    <n v="12172"/>
    <d v="2020-12-05T00:00:00"/>
    <n v="859"/>
  </r>
  <r>
    <x v="548"/>
    <s v="2023-01-17"/>
    <s v="Уход"/>
    <n v="897"/>
    <d v="2023-01-17T00:00:00"/>
    <n v="86"/>
  </r>
  <r>
    <x v="308"/>
    <s v="2021-01-22"/>
    <s v="Уход за волосами"/>
    <n v="2000"/>
    <d v="2021-01-22T00:00:00"/>
    <n v="811"/>
  </r>
  <r>
    <x v="549"/>
    <s v="2020-11-24"/>
    <s v="Уход за волосами"/>
    <n v="294"/>
    <d v="2020-11-24T00:00:00"/>
    <n v="870"/>
  </r>
  <r>
    <x v="550"/>
    <s v="2022-03-02"/>
    <s v="Уход за волосами"/>
    <n v="2970"/>
    <d v="2022-03-02T00:00:00"/>
    <n v="407"/>
  </r>
  <r>
    <x v="142"/>
    <s v="2020-01-02"/>
    <s v="Для дома"/>
    <n v="99"/>
    <d v="2020-01-02T00:00:00"/>
    <n v="1197"/>
  </r>
  <r>
    <x v="551"/>
    <s v="2022-05-29"/>
    <s v="Уход"/>
    <n v="199"/>
    <d v="2022-05-29T00:00:00"/>
    <n v="319"/>
  </r>
  <r>
    <x v="24"/>
    <s v="2019-10-09"/>
    <s v="Для дома"/>
    <n v="247"/>
    <d v="2019-10-09T00:00:00"/>
    <n v="1282"/>
  </r>
  <r>
    <x v="552"/>
    <s v="2022-11-26"/>
    <s v="Уход"/>
    <n v="149"/>
    <d v="2022-11-26T00:00:00"/>
    <n v="138"/>
  </r>
  <r>
    <x v="553"/>
    <s v="2021-05-07"/>
    <s v="Уход за волосами"/>
    <n v="1009"/>
    <d v="2021-05-07T00:00:00"/>
    <n v="706"/>
  </r>
  <r>
    <x v="554"/>
    <s v="2023-02-11"/>
    <s v="Уход за волосами"/>
    <n v="964"/>
    <d v="2023-02-11T00:00:00"/>
    <n v="61"/>
  </r>
  <r>
    <x v="555"/>
    <s v="2020-09-22"/>
    <s v="Уход"/>
    <n v="159"/>
    <d v="2020-09-22T00:00:00"/>
    <n v="933"/>
  </r>
  <r>
    <x v="556"/>
    <s v="2022-06-03"/>
    <s v="Уход"/>
    <n v="270"/>
    <d v="2022-06-03T00:00:00"/>
    <n v="314"/>
  </r>
  <r>
    <x v="557"/>
    <s v="2022-04-17"/>
    <s v="Уход"/>
    <n v="504"/>
    <d v="2022-04-17T00:00:00"/>
    <n v="361"/>
  </r>
  <r>
    <x v="558"/>
    <s v="2022-04-25"/>
    <s v="Уход за волосами"/>
    <n v="1175"/>
    <d v="2022-04-25T00:00:00"/>
    <n v="353"/>
  </r>
  <r>
    <x v="559"/>
    <s v="2020-03-23"/>
    <s v="Для дома"/>
    <n v="0"/>
    <d v="2020-03-23T00:00:00"/>
    <n v="1116"/>
  </r>
  <r>
    <x v="560"/>
    <s v="2020-10-05"/>
    <s v="Для дома"/>
    <n v="803"/>
    <d v="2020-10-05T00:00:00"/>
    <n v="920"/>
  </r>
  <r>
    <x v="561"/>
    <s v="2019-11-12"/>
    <s v="Для дома"/>
    <n v="72"/>
    <d v="2019-11-12T00:00:00"/>
    <n v="1248"/>
  </r>
  <r>
    <x v="18"/>
    <s v="2019-12-20"/>
    <s v="Одежда и аксессуары"/>
    <n v="502"/>
    <d v="2019-12-20T00:00:00"/>
    <n v="1210"/>
  </r>
  <r>
    <x v="424"/>
    <s v="2020-11-27"/>
    <s v="Уход за волосами"/>
    <n v="193"/>
    <d v="2020-11-27T00:00:00"/>
    <n v="867"/>
  </r>
  <r>
    <x v="562"/>
    <s v="2021-10-11"/>
    <s v="Детский мир"/>
    <n v="1227"/>
    <d v="2021-10-11T00:00:00"/>
    <n v="549"/>
  </r>
  <r>
    <x v="563"/>
    <s v="2020-01-14"/>
    <s v="Уход"/>
    <n v="146"/>
    <d v="2020-01-14T00:00:00"/>
    <n v="1185"/>
  </r>
  <r>
    <x v="564"/>
    <s v="2020-11-29"/>
    <s v="Для дома"/>
    <n v="846"/>
    <d v="2020-11-29T00:00:00"/>
    <n v="865"/>
  </r>
  <r>
    <x v="565"/>
    <s v="2021-12-18"/>
    <s v="Уход за волосами"/>
    <n v="660"/>
    <d v="2021-12-18T00:00:00"/>
    <n v="481"/>
  </r>
  <r>
    <x v="566"/>
    <s v="2020-10-19"/>
    <s v="Для дома"/>
    <n v="2520"/>
    <d v="2020-10-19T00:00:00"/>
    <n v="906"/>
  </r>
  <r>
    <x v="509"/>
    <s v="2022-01-10"/>
    <s v="Для дома"/>
    <n v="599"/>
    <d v="2022-01-10T00:00:00"/>
    <n v="458"/>
  </r>
  <r>
    <x v="567"/>
    <s v="2022-01-20"/>
    <s v="Уход за волосами"/>
    <n v="678"/>
    <d v="2022-01-20T00:00:00"/>
    <n v="448"/>
  </r>
  <r>
    <x v="568"/>
    <s v="2022-11-26"/>
    <s v="Макияж"/>
    <n v="990"/>
    <d v="2022-11-26T00:00:00"/>
    <n v="138"/>
  </r>
  <r>
    <x v="569"/>
    <s v="2022-03-05"/>
    <s v="Уход за волосами"/>
    <n v="1598"/>
    <d v="2022-03-05T00:00:00"/>
    <n v="404"/>
  </r>
  <r>
    <x v="570"/>
    <s v="2022-11-21"/>
    <s v="Уход за волосами"/>
    <n v="564"/>
    <d v="2022-11-21T00:00:00"/>
    <n v="143"/>
  </r>
  <r>
    <x v="34"/>
    <s v="2017-07-31"/>
    <s v="Парфюмерия"/>
    <n v="2245"/>
    <d v="2017-07-31T00:00:00"/>
    <n v="2082"/>
  </r>
  <r>
    <x v="571"/>
    <s v="2022-01-16"/>
    <s v="Уход"/>
    <n v="1937"/>
    <d v="2022-01-16T00:00:00"/>
    <n v="452"/>
  </r>
  <r>
    <x v="572"/>
    <s v="2023-03-12"/>
    <s v="Для дома"/>
    <n v="190"/>
    <d v="2023-03-12T00:00:00"/>
    <n v="32"/>
  </r>
  <r>
    <x v="573"/>
    <s v="2022-09-28"/>
    <s v="Уход за волосами"/>
    <n v="1186"/>
    <d v="2022-09-28T00:00:00"/>
    <n v="197"/>
  </r>
  <r>
    <x v="187"/>
    <s v="2022-10-05"/>
    <s v="Уход"/>
    <n v="987"/>
    <d v="2022-10-05T00:00:00"/>
    <n v="190"/>
  </r>
  <r>
    <x v="574"/>
    <s v="2021-09-13"/>
    <s v="Уход за волосами"/>
    <n v="596"/>
    <d v="2021-09-13T00:00:00"/>
    <n v="577"/>
  </r>
  <r>
    <x v="321"/>
    <s v="2020-01-13"/>
    <s v="Уход"/>
    <n v="515"/>
    <d v="2020-01-13T00:00:00"/>
    <n v="1186"/>
  </r>
  <r>
    <x v="575"/>
    <s v="2022-01-30"/>
    <s v="Уход"/>
    <n v="1539"/>
    <d v="2022-01-30T00:00:00"/>
    <n v="438"/>
  </r>
  <r>
    <x v="576"/>
    <s v="2023-03-03"/>
    <s v="Уход"/>
    <n v="960"/>
    <d v="2023-03-03T00:00:00"/>
    <n v="41"/>
  </r>
  <r>
    <x v="577"/>
    <s v="2022-05-01"/>
    <s v="Уход за волосами"/>
    <n v="142"/>
    <d v="2022-05-01T00:00:00"/>
    <n v="347"/>
  </r>
  <r>
    <x v="578"/>
    <s v="2021-11-21"/>
    <s v="Уход за волосами"/>
    <n v="1543"/>
    <d v="2021-11-21T00:00:00"/>
    <n v="508"/>
  </r>
  <r>
    <x v="579"/>
    <s v="2022-04-14"/>
    <s v="Уход за волосами"/>
    <n v="1688"/>
    <d v="2022-04-14T00:00:00"/>
    <n v="364"/>
  </r>
  <r>
    <x v="580"/>
    <s v="2020-07-03"/>
    <s v="Уход за волосами"/>
    <n v="1617"/>
    <d v="2020-07-03T00:00:00"/>
    <n v="1014"/>
  </r>
  <r>
    <x v="581"/>
    <s v="2022-08-28"/>
    <s v="Для дома"/>
    <n v="9690"/>
    <d v="2022-08-28T00:00:00"/>
    <n v="228"/>
  </r>
  <r>
    <x v="582"/>
    <s v="2022-01-26"/>
    <s v="Детский мир"/>
    <n v="173"/>
    <d v="2022-01-26T00:00:00"/>
    <n v="442"/>
  </r>
  <r>
    <x v="583"/>
    <s v="2021-08-04"/>
    <s v="Уход за волосами"/>
    <n v="2570"/>
    <d v="2021-08-04T00:00:00"/>
    <n v="617"/>
  </r>
  <r>
    <x v="584"/>
    <s v="2021-04-24"/>
    <s v="Уход за волосами"/>
    <n v="3030"/>
    <d v="2021-04-24T00:00:00"/>
    <n v="719"/>
  </r>
  <r>
    <x v="585"/>
    <s v="2021-12-20"/>
    <s v="Уход"/>
    <n v="3734"/>
    <d v="2021-12-20T00:00:00"/>
    <n v="479"/>
  </r>
  <r>
    <x v="586"/>
    <s v="2021-12-19"/>
    <s v="Уход за волосами"/>
    <n v="4971"/>
    <d v="2021-12-19T00:00:00"/>
    <n v="480"/>
  </r>
  <r>
    <x v="587"/>
    <s v="2022-09-11"/>
    <s v="Одежда и аксессуары"/>
    <n v="229"/>
    <d v="2022-09-11T00:00:00"/>
    <n v="214"/>
  </r>
  <r>
    <x v="588"/>
    <s v="2021-06-29"/>
    <s v="Уход за волосами"/>
    <n v="799"/>
    <d v="2021-06-29T00:00:00"/>
    <n v="653"/>
  </r>
  <r>
    <x v="123"/>
    <s v="2020-03-03"/>
    <s v="Уход"/>
    <n v="1669"/>
    <d v="2020-03-03T00:00:00"/>
    <n v="1136"/>
  </r>
  <r>
    <x v="589"/>
    <s v="2020-01-22"/>
    <s v="Уход за волосами"/>
    <n v="1686"/>
    <d v="2020-01-22T00:00:00"/>
    <n v="1177"/>
  </r>
  <r>
    <x v="590"/>
    <s v="2021-10-06"/>
    <s v="Для дома"/>
    <n v="4820"/>
    <d v="2021-10-06T00:00:00"/>
    <n v="554"/>
  </r>
  <r>
    <x v="591"/>
    <s v="2021-04-13"/>
    <s v="Уход за волосами"/>
    <n v="2760"/>
    <d v="2021-04-13T00:00:00"/>
    <n v="730"/>
  </r>
  <r>
    <x v="592"/>
    <s v="2023-03-20"/>
    <s v="Уход"/>
    <n v="1680"/>
    <d v="2023-03-20T00:00:00"/>
    <n v="24"/>
  </r>
  <r>
    <x v="593"/>
    <s v="2022-09-29"/>
    <s v="Макияж"/>
    <n v="5842"/>
    <d v="2022-09-29T00:00:00"/>
    <n v="196"/>
  </r>
  <r>
    <x v="594"/>
    <s v="2021-08-04"/>
    <s v="Уход"/>
    <n v="170"/>
    <d v="2021-08-04T00:00:00"/>
    <n v="617"/>
  </r>
  <r>
    <x v="595"/>
    <s v="2021-01-23"/>
    <s v="Хоз.товары/бытовая химия"/>
    <n v="59"/>
    <d v="2021-01-23T00:00:00"/>
    <n v="810"/>
  </r>
  <r>
    <x v="596"/>
    <s v="2022-03-23"/>
    <s v="Хоз.товары/бытовая химия"/>
    <n v="141"/>
    <d v="2022-03-23T00:00:00"/>
    <n v="386"/>
  </r>
  <r>
    <x v="597"/>
    <s v="2022-07-19"/>
    <s v="Одежда и аксессуары"/>
    <n v="734"/>
    <d v="2022-07-19T00:00:00"/>
    <n v="268"/>
  </r>
  <r>
    <x v="598"/>
    <s v="2020-01-22"/>
    <s v="Для дома"/>
    <n v="17"/>
    <d v="2020-01-22T00:00:00"/>
    <n v="1177"/>
  </r>
  <r>
    <x v="599"/>
    <s v="2023-02-23"/>
    <s v="Уход за волосами"/>
    <n v="886"/>
    <d v="2023-02-23T00:00:00"/>
    <n v="49"/>
  </r>
  <r>
    <x v="600"/>
    <s v="2022-11-28"/>
    <s v="Хоз.товары/бытовая химия"/>
    <n v="183"/>
    <d v="2022-11-28T00:00:00"/>
    <n v="136"/>
  </r>
  <r>
    <x v="541"/>
    <s v="2021-11-09"/>
    <s v="Уход"/>
    <n v="1850"/>
    <d v="2021-11-09T00:00:00"/>
    <n v="520"/>
  </r>
  <r>
    <x v="601"/>
    <s v="2023-04-12"/>
    <s v="Уход"/>
    <n v="10608"/>
    <d v="2023-04-12T00:00:00"/>
    <n v="1"/>
  </r>
  <r>
    <x v="602"/>
    <s v="2021-07-11"/>
    <s v="Уход"/>
    <n v="879"/>
    <d v="2021-07-11T00:00:00"/>
    <n v="641"/>
  </r>
  <r>
    <x v="603"/>
    <s v="2021-11-24"/>
    <s v="Для дома"/>
    <n v="99"/>
    <d v="2021-11-24T00:00:00"/>
    <n v="505"/>
  </r>
  <r>
    <x v="604"/>
    <s v="2022-03-07"/>
    <s v="Для дома"/>
    <n v="421"/>
    <d v="2022-03-07T00:00:00"/>
    <n v="402"/>
  </r>
  <r>
    <x v="605"/>
    <s v="2022-12-29"/>
    <s v="Уход"/>
    <n v="1068"/>
    <d v="2022-12-29T00:00:00"/>
    <n v="105"/>
  </r>
  <r>
    <x v="606"/>
    <s v="2020-04-30"/>
    <s v="Уход за волосами"/>
    <n v="288"/>
    <d v="2020-04-30T00:00:00"/>
    <n v="1078"/>
  </r>
  <r>
    <x v="607"/>
    <s v="2019-10-05"/>
    <s v="Уход"/>
    <n v="7740"/>
    <d v="2019-10-05T00:00:00"/>
    <n v="1286"/>
  </r>
  <r>
    <x v="608"/>
    <s v="2021-03-20"/>
    <s v="Уход"/>
    <n v="2440"/>
    <d v="2021-03-20T00:00:00"/>
    <n v="754"/>
  </r>
  <r>
    <x v="609"/>
    <s v="2022-06-26"/>
    <s v="Уход за волосами"/>
    <n v="1793"/>
    <d v="2022-06-26T00:00:00"/>
    <n v="291"/>
  </r>
  <r>
    <x v="610"/>
    <s v="2022-02-25"/>
    <s v="Уход"/>
    <n v="3290"/>
    <d v="2022-02-25T00:00:00"/>
    <n v="412"/>
  </r>
  <r>
    <x v="611"/>
    <s v="2022-05-31"/>
    <s v="Хоз.товары/бытовая химия"/>
    <n v="158"/>
    <d v="2022-05-31T00:00:00"/>
    <n v="317"/>
  </r>
  <r>
    <x v="612"/>
    <s v="2021-04-19"/>
    <s v="Уход"/>
    <n v="21183"/>
    <d v="2021-04-19T00:00:00"/>
    <n v="724"/>
  </r>
  <r>
    <x v="613"/>
    <s v="2021-08-28"/>
    <s v="Уход за волосами"/>
    <n v="302"/>
    <d v="2021-08-28T00:00:00"/>
    <n v="593"/>
  </r>
  <r>
    <x v="614"/>
    <s v="2021-12-24"/>
    <s v="Хоз.товары/бытовая химия"/>
    <n v="53"/>
    <d v="2021-12-24T00:00:00"/>
    <n v="475"/>
  </r>
  <r>
    <x v="615"/>
    <s v="2022-01-06"/>
    <s v="Уход"/>
    <n v="238"/>
    <d v="2022-01-06T00:00:00"/>
    <n v="462"/>
  </r>
  <r>
    <x v="616"/>
    <s v="2020-08-23"/>
    <s v="Уход за волосами"/>
    <n v="2584"/>
    <d v="2020-08-23T00:00:00"/>
    <n v="963"/>
  </r>
  <r>
    <x v="617"/>
    <s v="2020-08-27"/>
    <s v="Уход"/>
    <n v="1197"/>
    <d v="2020-08-27T00:00:00"/>
    <n v="959"/>
  </r>
  <r>
    <x v="618"/>
    <s v="2021-01-30"/>
    <s v="Уход за волосами"/>
    <n v="5016"/>
    <d v="2021-01-30T00:00:00"/>
    <n v="803"/>
  </r>
  <r>
    <x v="619"/>
    <s v="2023-03-13"/>
    <s v="Уход"/>
    <n v="16368"/>
    <d v="2023-03-13T00:00:00"/>
    <n v="31"/>
  </r>
  <r>
    <x v="461"/>
    <s v="2022-11-20"/>
    <s v="Уход"/>
    <n v="2634"/>
    <d v="2022-11-20T00:00:00"/>
    <n v="144"/>
  </r>
  <r>
    <x v="173"/>
    <s v="2022-03-20"/>
    <s v="Уход"/>
    <n v="1434"/>
    <d v="2022-03-20T00:00:00"/>
    <n v="389"/>
  </r>
  <r>
    <x v="620"/>
    <s v="2021-01-21"/>
    <s v="Уход"/>
    <n v="630"/>
    <d v="2021-01-21T00:00:00"/>
    <n v="812"/>
  </r>
  <r>
    <x v="621"/>
    <s v="2021-08-03"/>
    <s v="Хоз.товары/бытовая химия"/>
    <n v="53"/>
    <d v="2021-08-03T00:00:00"/>
    <n v="618"/>
  </r>
  <r>
    <x v="119"/>
    <s v="2022-04-28"/>
    <s v="Уход"/>
    <n v="1415"/>
    <d v="2022-04-28T00:00:00"/>
    <n v="350"/>
  </r>
  <r>
    <x v="622"/>
    <s v="2022-02-26"/>
    <s v="Уход"/>
    <n v="696"/>
    <d v="2022-02-26T00:00:00"/>
    <n v="411"/>
  </r>
  <r>
    <x v="623"/>
    <s v="2022-08-05"/>
    <s v="Уход за волосами"/>
    <n v="1271"/>
    <d v="2022-08-05T00:00:00"/>
    <n v="251"/>
  </r>
  <r>
    <x v="624"/>
    <s v="2022-02-06"/>
    <s v="Уход за волосами"/>
    <n v="1955"/>
    <d v="2022-02-06T00:00:00"/>
    <n v="431"/>
  </r>
  <r>
    <x v="625"/>
    <s v="2022-12-04"/>
    <s v="Для дома"/>
    <n v="1430"/>
    <d v="2022-12-04T00:00:00"/>
    <n v="130"/>
  </r>
  <r>
    <x v="626"/>
    <s v="2022-12-17"/>
    <s v="Уход за волосами"/>
    <n v="2122"/>
    <d v="2022-12-17T00:00:00"/>
    <n v="117"/>
  </r>
  <r>
    <x v="627"/>
    <s v="2023-01-24"/>
    <s v="Уход"/>
    <n v="398"/>
    <d v="2023-01-24T00:00:00"/>
    <n v="79"/>
  </r>
  <r>
    <x v="628"/>
    <s v="2022-12-06"/>
    <s v="Для дома"/>
    <n v="499"/>
    <d v="2022-12-06T00:00:00"/>
    <n v="128"/>
  </r>
  <r>
    <x v="629"/>
    <s v="2022-07-18"/>
    <s v="Уход за волосами"/>
    <n v="215"/>
    <d v="2022-07-18T00:00:00"/>
    <n v="269"/>
  </r>
  <r>
    <x v="630"/>
    <s v="2022-08-12"/>
    <s v="Уход"/>
    <n v="299"/>
    <d v="2022-08-12T00:00:00"/>
    <n v="244"/>
  </r>
  <r>
    <x v="631"/>
    <s v="2021-12-22"/>
    <s v="Уход"/>
    <n v="1855"/>
    <d v="2021-12-22T00:00:00"/>
    <n v="477"/>
  </r>
  <r>
    <x v="421"/>
    <s v="2021-02-20"/>
    <s v="Детский мир"/>
    <n v="256"/>
    <d v="2021-02-20T00:00:00"/>
    <n v="782"/>
  </r>
  <r>
    <x v="632"/>
    <s v="2019-10-21"/>
    <s v="Уход"/>
    <n v="148"/>
    <d v="2019-10-21T00:00:00"/>
    <n v="1270"/>
  </r>
  <r>
    <x v="633"/>
    <s v="2021-12-25"/>
    <s v="Уход за волосами"/>
    <n v="6470"/>
    <d v="2021-12-25T00:00:00"/>
    <n v="474"/>
  </r>
  <r>
    <x v="425"/>
    <s v="2022-01-17"/>
    <s v="Уход за волосами"/>
    <n v="1184"/>
    <d v="2022-01-17T00:00:00"/>
    <n v="451"/>
  </r>
  <r>
    <x v="470"/>
    <s v="2022-07-08"/>
    <s v="Детский мир"/>
    <n v="229"/>
    <d v="2022-07-08T00:00:00"/>
    <n v="279"/>
  </r>
  <r>
    <x v="634"/>
    <s v="2021-04-15"/>
    <s v="Детский мир"/>
    <n v="2766"/>
    <d v="2021-04-15T00:00:00"/>
    <n v="728"/>
  </r>
  <r>
    <x v="635"/>
    <s v="2021-06-02"/>
    <s v="Уход за волосами"/>
    <n v="20250"/>
    <d v="2021-06-02T00:00:00"/>
    <n v="680"/>
  </r>
  <r>
    <x v="636"/>
    <s v="2021-03-28"/>
    <s v="Уход за волосами"/>
    <n v="660"/>
    <d v="2021-03-28T00:00:00"/>
    <n v="746"/>
  </r>
  <r>
    <x v="637"/>
    <s v="2021-06-02"/>
    <s v="Уход за волосами"/>
    <n v="180"/>
    <d v="2021-06-02T00:00:00"/>
    <n v="680"/>
  </r>
  <r>
    <x v="638"/>
    <s v="2021-05-01"/>
    <s v="Уход за волосами"/>
    <n v="1467"/>
    <d v="2021-05-01T00:00:00"/>
    <n v="712"/>
  </r>
  <r>
    <x v="639"/>
    <s v="2022-09-30"/>
    <s v="Уход"/>
    <n v="5607"/>
    <d v="2022-09-30T00:00:00"/>
    <n v="195"/>
  </r>
  <r>
    <x v="640"/>
    <s v="2022-10-23"/>
    <s v="Уход"/>
    <n v="967"/>
    <d v="2022-10-23T00:00:00"/>
    <n v="172"/>
  </r>
  <r>
    <x v="641"/>
    <s v="2021-03-05"/>
    <s v="Уход за волосами"/>
    <n v="319"/>
    <d v="2021-03-05T00:00:00"/>
    <n v="769"/>
  </r>
  <r>
    <x v="642"/>
    <s v="2021-03-29"/>
    <s v="Хоз.товары/бытовая химия"/>
    <n v="204"/>
    <d v="2021-03-29T00:00:00"/>
    <n v="745"/>
  </r>
  <r>
    <x v="643"/>
    <s v="2020-10-29"/>
    <s v="Уход за волосами"/>
    <n v="1060"/>
    <d v="2020-10-29T00:00:00"/>
    <n v="896"/>
  </r>
  <r>
    <x v="644"/>
    <s v="2023-02-28"/>
    <s v="Уход за волосами"/>
    <n v="2700"/>
    <d v="2023-02-28T00:00:00"/>
    <n v="44"/>
  </r>
  <r>
    <x v="645"/>
    <s v="2022-07-22"/>
    <s v="Уход за волосами"/>
    <n v="1359"/>
    <d v="2022-07-22T00:00:00"/>
    <n v="265"/>
  </r>
  <r>
    <x v="59"/>
    <s v="2021-04-10"/>
    <s v="Одежда и аксессуары"/>
    <n v="1734"/>
    <d v="2021-04-10T00:00:00"/>
    <n v="733"/>
  </r>
  <r>
    <x v="646"/>
    <s v="2021-04-22"/>
    <s v="Уход"/>
    <n v="2508"/>
    <d v="2021-04-22T00:00:00"/>
    <n v="721"/>
  </r>
  <r>
    <x v="647"/>
    <s v="2022-02-24"/>
    <s v="Уход"/>
    <n v="4409"/>
    <d v="2022-02-24T00:00:00"/>
    <n v="413"/>
  </r>
  <r>
    <x v="356"/>
    <s v="2020-08-09"/>
    <s v="Уход за волосами"/>
    <n v="5478"/>
    <d v="2020-08-09T00:00:00"/>
    <n v="977"/>
  </r>
  <r>
    <x v="648"/>
    <s v="2022-06-01"/>
    <s v="Уход за волосами"/>
    <n v="898"/>
    <d v="2022-06-01T00:00:00"/>
    <n v="316"/>
  </r>
  <r>
    <x v="649"/>
    <s v="2019-12-17"/>
    <s v="Уход"/>
    <n v="1078"/>
    <d v="2019-12-17T00:00:00"/>
    <n v="1213"/>
  </r>
  <r>
    <x v="650"/>
    <s v="2022-07-11"/>
    <s v="Уход"/>
    <n v="398"/>
    <d v="2022-07-11T00:00:00"/>
    <n v="276"/>
  </r>
  <r>
    <x v="651"/>
    <s v="2019-11-14"/>
    <s v="Макияж"/>
    <n v="1920"/>
    <d v="2019-11-14T00:00:00"/>
    <n v="1246"/>
  </r>
  <r>
    <x v="652"/>
    <s v="2022-02-25"/>
    <s v="Уход"/>
    <n v="1218"/>
    <d v="2022-02-25T00:00:00"/>
    <n v="412"/>
  </r>
  <r>
    <x v="653"/>
    <s v="2023-02-08"/>
    <s v="Одежда и аксессуары"/>
    <n v="380"/>
    <d v="2023-02-08T00:00:00"/>
    <n v="64"/>
  </r>
  <r>
    <x v="654"/>
    <s v="2019-11-02"/>
    <s v="Уход за волосами"/>
    <n v="1347"/>
    <d v="2019-11-02T00:00:00"/>
    <n v="1258"/>
  </r>
  <r>
    <x v="66"/>
    <s v="2021-10-05"/>
    <s v="Для дома"/>
    <n v="1959"/>
    <d v="2021-10-05T00:00:00"/>
    <n v="555"/>
  </r>
  <r>
    <x v="655"/>
    <s v="2022-04-15"/>
    <s v="Уход за волосами"/>
    <n v="1547"/>
    <d v="2022-04-15T00:00:00"/>
    <n v="363"/>
  </r>
  <r>
    <x v="36"/>
    <s v="2021-03-18"/>
    <s v="Уход за волосами"/>
    <n v="16227"/>
    <d v="2021-03-18T00:00:00"/>
    <n v="756"/>
  </r>
  <r>
    <x v="656"/>
    <s v="2021-10-21"/>
    <s v="Уход за волосами"/>
    <n v="2619"/>
    <d v="2021-10-21T00:00:00"/>
    <n v="539"/>
  </r>
  <r>
    <x v="94"/>
    <s v="2022-06-06"/>
    <s v="Детский мир"/>
    <n v="199"/>
    <d v="2022-06-06T00:00:00"/>
    <n v="311"/>
  </r>
  <r>
    <x v="657"/>
    <s v="2022-11-10"/>
    <s v="Уход"/>
    <n v="609"/>
    <d v="2022-11-10T00:00:00"/>
    <n v="154"/>
  </r>
  <r>
    <x v="658"/>
    <s v="2021-10-10"/>
    <s v="Уход"/>
    <n v="6600"/>
    <d v="2021-10-10T00:00:00"/>
    <n v="550"/>
  </r>
  <r>
    <x v="659"/>
    <s v="2020-04-25"/>
    <s v="Макияж"/>
    <n v="407"/>
    <d v="2020-04-25T00:00:00"/>
    <n v="1083"/>
  </r>
  <r>
    <x v="660"/>
    <s v="2022-04-07"/>
    <s v="Уход"/>
    <n v="1096"/>
    <d v="2022-04-07T00:00:00"/>
    <n v="371"/>
  </r>
  <r>
    <x v="661"/>
    <s v="2021-09-03"/>
    <s v="Уход"/>
    <n v="289"/>
    <d v="2021-09-03T00:00:00"/>
    <n v="587"/>
  </r>
  <r>
    <x v="662"/>
    <s v="2020-11-29"/>
    <s v="Уход за волосами"/>
    <n v="910"/>
    <d v="2020-11-29T00:00:00"/>
    <n v="865"/>
  </r>
  <r>
    <x v="465"/>
    <s v="2019-09-28"/>
    <s v="Для дома"/>
    <n v="638"/>
    <d v="2019-09-28T00:00:00"/>
    <n v="1293"/>
  </r>
  <r>
    <x v="663"/>
    <s v="2021-04-21"/>
    <s v="Для дома"/>
    <n v="537"/>
    <d v="2021-04-21T00:00:00"/>
    <n v="722"/>
  </r>
  <r>
    <x v="664"/>
    <s v="2022-05-08"/>
    <s v="Для дома"/>
    <n v="790"/>
    <d v="2022-05-08T00:00:00"/>
    <n v="340"/>
  </r>
  <r>
    <x v="665"/>
    <s v="2021-03-17"/>
    <s v="Уход"/>
    <n v="834"/>
    <d v="2021-03-17T00:00:00"/>
    <n v="757"/>
  </r>
  <r>
    <x v="666"/>
    <s v="2022-07-08"/>
    <s v="Детский мир"/>
    <n v="128"/>
    <d v="2022-07-08T00:00:00"/>
    <n v="279"/>
  </r>
  <r>
    <x v="667"/>
    <s v="2023-02-20"/>
    <s v="Уход за волосами"/>
    <n v="754"/>
    <d v="2023-02-20T00:00:00"/>
    <n v="52"/>
  </r>
  <r>
    <x v="668"/>
    <s v="2023-04-08"/>
    <s v="Уход за волосами"/>
    <n v="1740"/>
    <d v="2023-04-08T00:00:00"/>
    <n v="5"/>
  </r>
  <r>
    <x v="669"/>
    <s v="2022-06-04"/>
    <s v="Уход за волосами"/>
    <n v="1616"/>
    <d v="2022-06-04T00:00:00"/>
    <n v="313"/>
  </r>
  <r>
    <x v="670"/>
    <s v="2020-09-24"/>
    <s v="Для дома"/>
    <n v="30"/>
    <d v="2020-09-24T00:00:00"/>
    <n v="931"/>
  </r>
  <r>
    <x v="671"/>
    <s v="2022-01-29"/>
    <s v="Одежда и аксессуары"/>
    <n v="389"/>
    <d v="2022-01-29T00:00:00"/>
    <n v="439"/>
  </r>
  <r>
    <x v="672"/>
    <s v="2019-11-22"/>
    <s v="Для дома"/>
    <n v="84"/>
    <d v="2019-11-22T00:00:00"/>
    <n v="1238"/>
  </r>
  <r>
    <x v="673"/>
    <s v="2021-07-27"/>
    <s v="Для дома"/>
    <n v="219"/>
    <d v="2021-07-27T00:00:00"/>
    <n v="625"/>
  </r>
  <r>
    <x v="674"/>
    <s v="2023-02-19"/>
    <s v="Хоз.товары/бытовая химия"/>
    <n v="145"/>
    <d v="2023-02-19T00:00:00"/>
    <n v="53"/>
  </r>
  <r>
    <x v="675"/>
    <s v="2023-01-29"/>
    <s v="Для дома"/>
    <n v="789"/>
    <d v="2023-01-29T00:00:00"/>
    <n v="74"/>
  </r>
  <r>
    <x v="242"/>
    <s v="2021-12-24"/>
    <s v="Макияж"/>
    <n v="8300"/>
    <d v="2021-12-24T00:00:00"/>
    <n v="475"/>
  </r>
  <r>
    <x v="676"/>
    <s v="2021-04-29"/>
    <s v="Хоз.товары/бытовая химия"/>
    <n v="105"/>
    <d v="2021-04-29T00:00:00"/>
    <n v="714"/>
  </r>
  <r>
    <x v="677"/>
    <s v="2022-07-28"/>
    <s v="Уход за волосами"/>
    <n v="2310"/>
    <d v="2022-07-28T00:00:00"/>
    <n v="259"/>
  </r>
  <r>
    <x v="678"/>
    <s v="2022-12-21"/>
    <s v="Уход за волосами"/>
    <n v="608"/>
    <d v="2022-12-21T00:00:00"/>
    <n v="113"/>
  </r>
  <r>
    <x v="604"/>
    <s v="2021-10-07"/>
    <s v="Уход"/>
    <n v="684"/>
    <d v="2021-10-07T00:00:00"/>
    <n v="553"/>
  </r>
  <r>
    <x v="679"/>
    <s v="2022-09-21"/>
    <s v="Одежда и аксессуары"/>
    <n v="158"/>
    <d v="2022-09-21T00:00:00"/>
    <n v="204"/>
  </r>
  <r>
    <x v="522"/>
    <s v="2022-05-01"/>
    <s v="Уход"/>
    <n v="149"/>
    <d v="2022-05-01T00:00:00"/>
    <n v="347"/>
  </r>
  <r>
    <x v="680"/>
    <s v="2023-03-15"/>
    <s v="Для дома"/>
    <n v="329"/>
    <d v="2023-03-15T00:00:00"/>
    <n v="29"/>
  </r>
  <r>
    <x v="681"/>
    <s v="2022-10-26"/>
    <s v="Детский мир"/>
    <n v="219"/>
    <d v="2022-10-26T00:00:00"/>
    <n v="169"/>
  </r>
  <r>
    <x v="682"/>
    <s v="2021-09-21"/>
    <s v="Одежда и аксессуары"/>
    <n v="229"/>
    <d v="2021-09-21T00:00:00"/>
    <n v="569"/>
  </r>
  <r>
    <x v="34"/>
    <s v="2016-04-07"/>
    <s v="Детский мир"/>
    <n v="108870.32"/>
    <d v="2016-04-07T00:00:00"/>
    <n v="2562"/>
  </r>
  <r>
    <x v="683"/>
    <s v="2021-03-08"/>
    <s v="Хоз.товары/бытовая химия"/>
    <n v="92"/>
    <d v="2021-03-08T00:00:00"/>
    <n v="766"/>
  </r>
  <r>
    <x v="684"/>
    <s v="2022-03-03"/>
    <s v="Уход за волосами"/>
    <n v="1094"/>
    <d v="2022-03-03T00:00:00"/>
    <n v="406"/>
  </r>
  <r>
    <x v="685"/>
    <s v="2023-02-22"/>
    <s v="Макияж"/>
    <n v="890"/>
    <d v="2023-02-22T00:00:00"/>
    <n v="50"/>
  </r>
  <r>
    <x v="381"/>
    <s v="2020-07-01"/>
    <s v="Уход за волосами"/>
    <n v="5055"/>
    <d v="2020-07-01T00:00:00"/>
    <n v="1016"/>
  </r>
  <r>
    <x v="686"/>
    <s v="2022-06-17"/>
    <s v="Макияж"/>
    <n v="2736"/>
    <d v="2022-06-17T00:00:00"/>
    <n v="300"/>
  </r>
  <r>
    <x v="687"/>
    <s v="2019-12-23"/>
    <s v="Уход"/>
    <n v="1008"/>
    <d v="2019-12-23T00:00:00"/>
    <n v="1207"/>
  </r>
  <r>
    <x v="688"/>
    <s v="2022-12-30"/>
    <s v="Уход"/>
    <n v="3684"/>
    <d v="2022-12-30T00:00:00"/>
    <n v="104"/>
  </r>
  <r>
    <x v="689"/>
    <s v="2020-10-01"/>
    <s v="Уход"/>
    <n v="1353"/>
    <d v="2020-10-01T00:00:00"/>
    <n v="924"/>
  </r>
  <r>
    <x v="690"/>
    <s v="2022-01-26"/>
    <s v="Хоз.товары/бытовая химия"/>
    <n v="87"/>
    <d v="2022-01-26T00:00:00"/>
    <n v="442"/>
  </r>
  <r>
    <x v="691"/>
    <s v="2020-11-10"/>
    <s v="Уход за волосами"/>
    <n v="3369"/>
    <d v="2020-11-10T00:00:00"/>
    <n v="884"/>
  </r>
  <r>
    <x v="692"/>
    <s v="2021-09-02"/>
    <s v="Уход"/>
    <n v="1947"/>
    <d v="2021-09-02T00:00:00"/>
    <n v="588"/>
  </r>
  <r>
    <x v="40"/>
    <s v="2021-12-27"/>
    <s v="Уход"/>
    <n v="4020"/>
    <d v="2021-12-27T00:00:00"/>
    <n v="472"/>
  </r>
  <r>
    <x v="693"/>
    <s v="2021-07-21"/>
    <s v="Для дома"/>
    <n v="690"/>
    <d v="2021-07-21T00:00:00"/>
    <n v="631"/>
  </r>
  <r>
    <x v="694"/>
    <s v="2021-07-10"/>
    <s v="Уход"/>
    <n v="8989"/>
    <d v="2021-07-10T00:00:00"/>
    <n v="642"/>
  </r>
  <r>
    <x v="695"/>
    <s v="2020-10-31"/>
    <s v="Уход за волосами"/>
    <n v="910"/>
    <d v="2020-10-31T00:00:00"/>
    <n v="894"/>
  </r>
  <r>
    <x v="696"/>
    <s v="2020-06-14"/>
    <s v="Для дома"/>
    <n v="95"/>
    <d v="2020-06-14T00:00:00"/>
    <n v="1033"/>
  </r>
  <r>
    <x v="697"/>
    <s v="2023-02-27"/>
    <s v="Детский мир"/>
    <n v="808"/>
    <d v="2023-02-27T00:00:00"/>
    <n v="45"/>
  </r>
  <r>
    <x v="698"/>
    <s v="2022-03-12"/>
    <s v="Уход"/>
    <n v="770"/>
    <d v="2022-03-12T00:00:00"/>
    <n v="397"/>
  </r>
  <r>
    <x v="699"/>
    <s v="2021-02-22"/>
    <s v="Уход"/>
    <n v="1047"/>
    <d v="2021-02-22T00:00:00"/>
    <n v="780"/>
  </r>
  <r>
    <x v="34"/>
    <s v="2021-05-14"/>
    <s v="Хоз.товары/бытовая химия"/>
    <n v="2774"/>
    <d v="2021-05-14T00:00:00"/>
    <n v="699"/>
  </r>
  <r>
    <x v="700"/>
    <s v="2021-10-31"/>
    <s v="Уход за волосами"/>
    <n v="1659"/>
    <d v="2021-10-31T00:00:00"/>
    <n v="529"/>
  </r>
  <r>
    <x v="701"/>
    <s v="2022-03-18"/>
    <s v="Хоз.товары/бытовая химия"/>
    <n v="58"/>
    <d v="2022-03-18T00:00:00"/>
    <n v="391"/>
  </r>
  <r>
    <x v="702"/>
    <s v="2023-02-12"/>
    <s v="Для дома"/>
    <n v="1275"/>
    <d v="2023-02-12T00:00:00"/>
    <n v="60"/>
  </r>
  <r>
    <x v="703"/>
    <s v="2022-09-17"/>
    <s v="Одежда и аксессуары"/>
    <n v="229"/>
    <d v="2022-09-17T00:00:00"/>
    <n v="208"/>
  </r>
  <r>
    <x v="704"/>
    <s v="2022-04-17"/>
    <s v="Уход"/>
    <n v="2128"/>
    <d v="2022-04-17T00:00:00"/>
    <n v="361"/>
  </r>
  <r>
    <x v="705"/>
    <s v="2021-11-29"/>
    <s v="Уход за волосами"/>
    <n v="9522"/>
    <d v="2021-11-29T00:00:00"/>
    <n v="500"/>
  </r>
  <r>
    <x v="706"/>
    <s v="2022-01-10"/>
    <s v="Уход"/>
    <n v="1288"/>
    <d v="2022-01-10T00:00:00"/>
    <n v="458"/>
  </r>
  <r>
    <x v="707"/>
    <s v="2021-03-15"/>
    <s v="Уход за волосами"/>
    <n v="15445"/>
    <d v="2021-03-15T00:00:00"/>
    <n v="759"/>
  </r>
  <r>
    <x v="51"/>
    <s v="2022-04-17"/>
    <s v="Уход за волосами"/>
    <n v="471"/>
    <d v="2022-04-17T00:00:00"/>
    <n v="361"/>
  </r>
  <r>
    <x v="708"/>
    <s v="2021-09-12"/>
    <s v="Уход"/>
    <n v="6990"/>
    <d v="2021-09-12T00:00:00"/>
    <n v="578"/>
  </r>
  <r>
    <x v="709"/>
    <s v="2021-05-11"/>
    <s v="Уход"/>
    <n v="6282"/>
    <d v="2021-05-11T00:00:00"/>
    <n v="702"/>
  </r>
  <r>
    <x v="710"/>
    <s v="2021-12-12"/>
    <s v="Уход за волосами"/>
    <n v="829"/>
    <d v="2021-12-12T00:00:00"/>
    <n v="487"/>
  </r>
  <r>
    <x v="711"/>
    <s v="2022-12-15"/>
    <s v="Уход"/>
    <n v="255"/>
    <d v="2022-12-15T00:00:00"/>
    <n v="119"/>
  </r>
  <r>
    <x v="712"/>
    <s v="2020-08-17"/>
    <s v="Макияж"/>
    <n v="439"/>
    <d v="2020-08-17T00:00:00"/>
    <n v="969"/>
  </r>
  <r>
    <x v="713"/>
    <s v="2022-06-28"/>
    <s v="Уход"/>
    <n v="950"/>
    <d v="2022-06-28T00:00:00"/>
    <n v="289"/>
  </r>
  <r>
    <x v="714"/>
    <s v="2022-12-09"/>
    <s v="Уход за волосами"/>
    <n v="1064"/>
    <d v="2022-12-09T00:00:00"/>
    <n v="125"/>
  </r>
  <r>
    <x v="289"/>
    <s v="2022-02-08"/>
    <s v="Хоз.товары/бытовая химия"/>
    <n v="39"/>
    <d v="2022-02-08T00:00:00"/>
    <n v="429"/>
  </r>
  <r>
    <x v="416"/>
    <s v="2023-01-05"/>
    <s v="Уход"/>
    <n v="161"/>
    <d v="2023-01-05T00:00:00"/>
    <n v="98"/>
  </r>
  <r>
    <x v="715"/>
    <s v="2022-07-12"/>
    <s v="Уход"/>
    <n v="3570"/>
    <d v="2022-07-12T00:00:00"/>
    <n v="275"/>
  </r>
  <r>
    <x v="716"/>
    <s v="2021-08-11"/>
    <s v="Уход"/>
    <n v="5580"/>
    <d v="2021-08-11T00:00:00"/>
    <n v="610"/>
  </r>
  <r>
    <x v="717"/>
    <s v="2022-02-05"/>
    <s v="Уход"/>
    <n v="3014"/>
    <d v="2022-02-05T00:00:00"/>
    <n v="432"/>
  </r>
  <r>
    <x v="393"/>
    <s v="2019-11-23"/>
    <s v="Уход"/>
    <n v="1826"/>
    <d v="2019-11-23T00:00:00"/>
    <n v="1237"/>
  </r>
  <r>
    <x v="718"/>
    <s v="2022-10-19"/>
    <s v="Уход за волосами"/>
    <n v="90"/>
    <d v="2022-10-19T00:00:00"/>
    <n v="176"/>
  </r>
  <r>
    <x v="719"/>
    <s v="2020-12-28"/>
    <s v="Уход за волосами"/>
    <n v="2577"/>
    <d v="2020-12-28T00:00:00"/>
    <n v="836"/>
  </r>
  <r>
    <x v="34"/>
    <s v="2019-03-08"/>
    <s v="Уход"/>
    <n v="9320657.9900000002"/>
    <d v="2019-03-08T00:00:00"/>
    <n v="1497"/>
  </r>
  <r>
    <x v="618"/>
    <s v="2022-12-30"/>
    <s v="Уход за волосами"/>
    <n v="1699"/>
    <d v="2022-12-30T00:00:00"/>
    <n v="104"/>
  </r>
  <r>
    <x v="34"/>
    <s v="2018-10-16"/>
    <s v="Одежда и аксессуары"/>
    <n v="257508.3"/>
    <d v="2018-10-16T00:00:00"/>
    <n v="1640"/>
  </r>
  <r>
    <x v="720"/>
    <s v="2023-03-17"/>
    <s v="Уход"/>
    <n v="4327"/>
    <d v="2023-03-17T00:00:00"/>
    <n v="27"/>
  </r>
  <r>
    <x v="721"/>
    <s v="2023-02-28"/>
    <s v="Уход за волосами"/>
    <n v="1412"/>
    <d v="2023-02-28T00:00:00"/>
    <n v="44"/>
  </r>
  <r>
    <x v="722"/>
    <s v="2021-11-13"/>
    <s v="Уход за волосами"/>
    <n v="6996"/>
    <d v="2021-11-13T00:00:00"/>
    <n v="516"/>
  </r>
  <r>
    <x v="723"/>
    <s v="2022-06-04"/>
    <s v="Уход за волосами"/>
    <n v="604"/>
    <d v="2022-06-04T00:00:00"/>
    <n v="313"/>
  </r>
  <r>
    <x v="724"/>
    <s v="2021-12-01"/>
    <s v="Уход"/>
    <n v="4565"/>
    <d v="2021-12-01T00:00:00"/>
    <n v="498"/>
  </r>
  <r>
    <x v="725"/>
    <s v="2021-08-10"/>
    <s v="Для дома"/>
    <n v="451"/>
    <d v="2021-08-10T00:00:00"/>
    <n v="611"/>
  </r>
  <r>
    <x v="726"/>
    <s v="2020-07-25"/>
    <s v="Для дома"/>
    <n v="48"/>
    <d v="2020-07-25T00:00:00"/>
    <n v="992"/>
  </r>
  <r>
    <x v="727"/>
    <s v="2022-01-15"/>
    <s v="Хоз.товары/бытовая химия"/>
    <n v="445"/>
    <d v="2022-01-15T00:00:00"/>
    <n v="453"/>
  </r>
  <r>
    <x v="728"/>
    <s v="2022-10-11"/>
    <s v="Для дома"/>
    <n v="3670"/>
    <d v="2022-10-11T00:00:00"/>
    <n v="184"/>
  </r>
  <r>
    <x v="729"/>
    <s v="2021-08-21"/>
    <s v="Уход"/>
    <n v="1490"/>
    <d v="2021-08-21T00:00:00"/>
    <n v="600"/>
  </r>
  <r>
    <x v="730"/>
    <s v="2021-10-15"/>
    <s v="Уход"/>
    <n v="5148"/>
    <d v="2021-10-15T00:00:00"/>
    <n v="545"/>
  </r>
  <r>
    <x v="731"/>
    <s v="2022-05-15"/>
    <s v="Уход"/>
    <n v="597"/>
    <d v="2022-05-15T00:00:00"/>
    <n v="333"/>
  </r>
  <r>
    <x v="732"/>
    <s v="2020-04-14"/>
    <s v="Уход за волосами"/>
    <n v="846"/>
    <d v="2020-04-14T00:00:00"/>
    <n v="1094"/>
  </r>
  <r>
    <x v="733"/>
    <s v="2022-12-29"/>
    <s v="Уход"/>
    <n v="1095"/>
    <d v="2022-12-29T00:00:00"/>
    <n v="105"/>
  </r>
  <r>
    <x v="734"/>
    <s v="2021-06-12"/>
    <s v="Уход за волосами"/>
    <n v="6856"/>
    <d v="2021-06-12T00:00:00"/>
    <n v="670"/>
  </r>
  <r>
    <x v="735"/>
    <s v="2022-01-08"/>
    <s v="Уход"/>
    <n v="7345"/>
    <d v="2022-01-08T00:00:00"/>
    <n v="460"/>
  </r>
  <r>
    <x v="156"/>
    <s v="2023-03-28"/>
    <s v="Уход за волосами"/>
    <n v="820"/>
    <d v="2023-03-28T00:00:00"/>
    <n v="16"/>
  </r>
  <r>
    <x v="736"/>
    <s v="2022-05-13"/>
    <s v="Уход"/>
    <n v="701"/>
    <d v="2022-05-13T00:00:00"/>
    <n v="335"/>
  </r>
  <r>
    <x v="737"/>
    <s v="2020-01-06"/>
    <s v="Для дома"/>
    <n v="20"/>
    <d v="2020-01-06T00:00:00"/>
    <n v="1193"/>
  </r>
  <r>
    <x v="34"/>
    <s v="2020-08-08"/>
    <s v="Одежда и аксессуары"/>
    <n v="8479"/>
    <d v="2020-08-08T00:00:00"/>
    <n v="978"/>
  </r>
  <r>
    <x v="738"/>
    <s v="2023-02-27"/>
    <s v="Уход"/>
    <n v="1666"/>
    <d v="2023-02-27T00:00:00"/>
    <n v="45"/>
  </r>
  <r>
    <x v="739"/>
    <s v="2023-02-24"/>
    <s v="Уход"/>
    <n v="534"/>
    <d v="2023-02-24T00:00:00"/>
    <n v="48"/>
  </r>
  <r>
    <x v="7"/>
    <s v="2021-03-16"/>
    <s v="Уход за волосами"/>
    <n v="2690"/>
    <d v="2021-03-16T00:00:00"/>
    <n v="758"/>
  </r>
  <r>
    <x v="148"/>
    <s v="2022-01-13"/>
    <s v="Уход"/>
    <n v="126"/>
    <d v="2022-01-13T00:00:00"/>
    <n v="455"/>
  </r>
  <r>
    <x v="248"/>
    <s v="2022-12-16"/>
    <s v="Уход за волосами"/>
    <n v="2646"/>
    <d v="2022-12-16T00:00:00"/>
    <n v="118"/>
  </r>
  <r>
    <x v="740"/>
    <s v="2022-01-14"/>
    <s v="Уход за волосами"/>
    <n v="443"/>
    <d v="2022-01-14T00:00:00"/>
    <n v="454"/>
  </r>
  <r>
    <x v="741"/>
    <s v="2020-05-06"/>
    <s v="Уход за волосами"/>
    <n v="490"/>
    <d v="2020-05-06T00:00:00"/>
    <n v="1072"/>
  </r>
  <r>
    <x v="238"/>
    <s v="2021-09-05"/>
    <s v="Уход"/>
    <n v="717"/>
    <d v="2021-09-05T00:00:00"/>
    <n v="585"/>
  </r>
  <r>
    <x v="742"/>
    <s v="2021-07-10"/>
    <s v="Уход за волосами"/>
    <n v="149"/>
    <d v="2021-07-10T00:00:00"/>
    <n v="642"/>
  </r>
  <r>
    <x v="743"/>
    <s v="2020-10-05"/>
    <s v="Для дома"/>
    <n v="814"/>
    <d v="2020-10-05T00:00:00"/>
    <n v="920"/>
  </r>
  <r>
    <x v="520"/>
    <s v="2021-05-13"/>
    <s v="Уход за волосами"/>
    <n v="2440"/>
    <d v="2021-05-13T00:00:00"/>
    <n v="700"/>
  </r>
  <r>
    <x v="744"/>
    <s v="2021-09-15"/>
    <s v="Уход за волосами"/>
    <n v="449"/>
    <d v="2021-09-15T00:00:00"/>
    <n v="575"/>
  </r>
  <r>
    <x v="745"/>
    <s v="2021-08-17"/>
    <s v="Детский мир"/>
    <n v="858"/>
    <d v="2021-08-17T00:00:00"/>
    <n v="604"/>
  </r>
  <r>
    <x v="746"/>
    <s v="2022-11-23"/>
    <s v="Уход"/>
    <n v="844"/>
    <d v="2022-11-23T00:00:00"/>
    <n v="141"/>
  </r>
  <r>
    <x v="747"/>
    <s v="2021-08-12"/>
    <s v="Хоз.товары/бытовая химия"/>
    <n v="126"/>
    <d v="2021-08-12T00:00:00"/>
    <n v="609"/>
  </r>
  <r>
    <x v="748"/>
    <s v="2023-04-02"/>
    <s v="Уход"/>
    <n v="2785"/>
    <d v="2023-04-02T00:00:00"/>
    <n v="11"/>
  </r>
  <r>
    <x v="183"/>
    <s v="2021-05-14"/>
    <s v="Уход за волосами"/>
    <n v="455"/>
    <d v="2021-05-14T00:00:00"/>
    <n v="699"/>
  </r>
  <r>
    <x v="749"/>
    <s v="2021-11-21"/>
    <s v="Уход за волосами"/>
    <n v="2640"/>
    <d v="2021-11-21T00:00:00"/>
    <n v="508"/>
  </r>
  <r>
    <x v="750"/>
    <s v="2022-08-04"/>
    <s v="Уход"/>
    <n v="13140"/>
    <d v="2022-08-04T00:00:00"/>
    <n v="252"/>
  </r>
  <r>
    <x v="751"/>
    <s v="2021-02-26"/>
    <s v="Уход за волосами"/>
    <n v="1847"/>
    <d v="2021-02-26T00:00:00"/>
    <n v="776"/>
  </r>
  <r>
    <x v="752"/>
    <s v="2021-01-30"/>
    <s v="Уход за волосами"/>
    <n v="522"/>
    <d v="2021-01-30T00:00:00"/>
    <n v="803"/>
  </r>
  <r>
    <x v="753"/>
    <s v="2022-11-18"/>
    <s v="Для дома"/>
    <n v="465"/>
    <d v="2022-11-18T00:00:00"/>
    <n v="146"/>
  </r>
  <r>
    <x v="754"/>
    <s v="2021-09-02"/>
    <s v="Уход"/>
    <n v="1099"/>
    <d v="2021-09-02T00:00:00"/>
    <n v="588"/>
  </r>
  <r>
    <x v="755"/>
    <s v="2022-10-26"/>
    <s v="Уход за волосами"/>
    <n v="445"/>
    <d v="2022-10-26T00:00:00"/>
    <n v="169"/>
  </r>
  <r>
    <x v="164"/>
    <s v="2021-10-26"/>
    <s v="Уход"/>
    <n v="3357"/>
    <d v="2021-10-26T00:00:00"/>
    <n v="534"/>
  </r>
  <r>
    <x v="322"/>
    <s v="2021-04-01"/>
    <s v="Хоз.товары/бытовая химия"/>
    <n v="39"/>
    <d v="2021-04-01T00:00:00"/>
    <n v="742"/>
  </r>
  <r>
    <x v="756"/>
    <s v="2019-10-18"/>
    <s v="Одежда и аксессуары"/>
    <n v="319"/>
    <d v="2019-10-18T00:00:00"/>
    <n v="1273"/>
  </r>
  <r>
    <x v="757"/>
    <s v="2023-02-25"/>
    <s v="Уход"/>
    <n v="398"/>
    <d v="2023-02-25T00:00:00"/>
    <n v="47"/>
  </r>
  <r>
    <x v="758"/>
    <s v="2023-04-02"/>
    <s v="Уход"/>
    <n v="300"/>
    <d v="2023-04-02T00:00:00"/>
    <n v="11"/>
  </r>
  <r>
    <x v="759"/>
    <s v="2021-07-21"/>
    <s v="Уход"/>
    <n v="398"/>
    <d v="2021-07-21T00:00:00"/>
    <n v="631"/>
  </r>
  <r>
    <x v="760"/>
    <s v="2022-09-06"/>
    <s v="Для дома"/>
    <n v="178"/>
    <d v="2022-09-06T00:00:00"/>
    <n v="219"/>
  </r>
  <r>
    <x v="761"/>
    <s v="2020-10-27"/>
    <s v="Уход за волосами"/>
    <n v="1560"/>
    <d v="2020-10-27T00:00:00"/>
    <n v="898"/>
  </r>
  <r>
    <x v="762"/>
    <s v="2022-09-25"/>
    <s v="Уход"/>
    <n v="1418"/>
    <d v="2022-09-25T00:00:00"/>
    <n v="200"/>
  </r>
  <r>
    <x v="763"/>
    <s v="2021-08-27"/>
    <s v="Уход за волосами"/>
    <n v="1359"/>
    <d v="2021-08-27T00:00:00"/>
    <n v="594"/>
  </r>
  <r>
    <x v="764"/>
    <s v="2022-12-06"/>
    <s v="Уход за волосами"/>
    <n v="435"/>
    <d v="2022-12-06T00:00:00"/>
    <n v="128"/>
  </r>
  <r>
    <x v="765"/>
    <s v="2021-03-09"/>
    <s v="Уход"/>
    <n v="567"/>
    <d v="2021-03-09T00:00:00"/>
    <n v="765"/>
  </r>
  <r>
    <x v="766"/>
    <s v="2022-01-28"/>
    <s v="Уход за волосами"/>
    <n v="862"/>
    <d v="2022-01-28T00:00:00"/>
    <n v="440"/>
  </r>
  <r>
    <x v="767"/>
    <s v="2021-11-21"/>
    <s v="Уход"/>
    <n v="4470"/>
    <d v="2021-11-21T00:00:00"/>
    <n v="508"/>
  </r>
  <r>
    <x v="768"/>
    <s v="2019-05-11"/>
    <s v="Уход за волосами"/>
    <n v="597"/>
    <d v="2019-05-11T00:00:00"/>
    <n v="1433"/>
  </r>
  <r>
    <x v="769"/>
    <s v="2021-07-06"/>
    <s v="Уход"/>
    <n v="3072"/>
    <d v="2021-07-06T00:00:00"/>
    <n v="646"/>
  </r>
  <r>
    <x v="770"/>
    <s v="2021-07-11"/>
    <s v="Для дома"/>
    <n v="151"/>
    <d v="2021-07-11T00:00:00"/>
    <n v="641"/>
  </r>
  <r>
    <x v="771"/>
    <s v="2022-03-25"/>
    <s v="Уход"/>
    <n v="1218"/>
    <d v="2022-03-25T00:00:00"/>
    <n v="384"/>
  </r>
  <r>
    <x v="772"/>
    <s v="2023-04-04"/>
    <s v="Уход за волосами"/>
    <n v="4034"/>
    <d v="2023-04-04T00:00:00"/>
    <n v="9"/>
  </r>
  <r>
    <x v="773"/>
    <s v="2020-08-05"/>
    <s v="Для дома"/>
    <n v="750"/>
    <d v="2020-08-05T00:00:00"/>
    <n v="981"/>
  </r>
  <r>
    <x v="381"/>
    <s v="2022-04-02"/>
    <s v="Детский мир"/>
    <n v="577"/>
    <d v="2022-04-02T00:00:00"/>
    <n v="376"/>
  </r>
  <r>
    <x v="774"/>
    <s v="2022-11-07"/>
    <s v="Уход за волосами"/>
    <n v="418"/>
    <d v="2022-11-07T00:00:00"/>
    <n v="157"/>
  </r>
  <r>
    <x v="775"/>
    <s v="2020-12-26"/>
    <s v="Уход за волосами"/>
    <n v="2900"/>
    <d v="2020-12-26T00:00:00"/>
    <n v="838"/>
  </r>
  <r>
    <x v="776"/>
    <s v="2021-10-25"/>
    <s v="Уход"/>
    <n v="1490"/>
    <d v="2021-10-25T00:00:00"/>
    <n v="535"/>
  </r>
  <r>
    <x v="777"/>
    <s v="2020-07-24"/>
    <s v="Уход за волосами"/>
    <n v="60"/>
    <d v="2020-07-24T00:00:00"/>
    <n v="993"/>
  </r>
  <r>
    <x v="778"/>
    <s v="2022-03-14"/>
    <s v="Уход за волосами"/>
    <n v="4790"/>
    <d v="2022-03-14T00:00:00"/>
    <n v="395"/>
  </r>
  <r>
    <x v="779"/>
    <s v="2022-12-29"/>
    <s v="Для дома"/>
    <n v="380"/>
    <d v="2022-12-29T00:00:00"/>
    <n v="105"/>
  </r>
  <r>
    <x v="780"/>
    <s v="2021-03-17"/>
    <s v="Уход за волосами"/>
    <n v="2960"/>
    <d v="2021-03-17T00:00:00"/>
    <n v="757"/>
  </r>
  <r>
    <x v="781"/>
    <s v="2022-03-23"/>
    <s v="Для дома"/>
    <n v="580"/>
    <d v="2022-03-23T00:00:00"/>
    <n v="386"/>
  </r>
  <r>
    <x v="141"/>
    <s v="2022-05-31"/>
    <s v="Для дома"/>
    <n v="750"/>
    <d v="2022-05-31T00:00:00"/>
    <n v="317"/>
  </r>
  <r>
    <x v="782"/>
    <s v="2022-09-05"/>
    <s v="Уход за волосами"/>
    <n v="1870"/>
    <d v="2022-09-05T00:00:00"/>
    <n v="220"/>
  </r>
  <r>
    <x v="783"/>
    <s v="2021-03-20"/>
    <s v="Уход"/>
    <n v="0"/>
    <d v="2021-03-20T00:00:00"/>
    <n v="754"/>
  </r>
  <r>
    <x v="289"/>
    <s v="2022-02-21"/>
    <s v="Уход за волосами"/>
    <n v="456"/>
    <d v="2022-02-21T00:00:00"/>
    <n v="416"/>
  </r>
  <r>
    <x v="784"/>
    <s v="2022-05-22"/>
    <s v="Уход"/>
    <n v="2568"/>
    <d v="2022-05-22T00:00:00"/>
    <n v="326"/>
  </r>
  <r>
    <x v="785"/>
    <s v="2021-06-07"/>
    <s v="Уход за волосами"/>
    <n v="3636"/>
    <d v="2021-06-07T00:00:00"/>
    <n v="675"/>
  </r>
  <r>
    <x v="736"/>
    <s v="2022-11-27"/>
    <s v="Уход"/>
    <n v="1196"/>
    <d v="2022-11-27T00:00:00"/>
    <n v="137"/>
  </r>
  <r>
    <x v="786"/>
    <s v="2022-09-01"/>
    <s v="Хоз.товары/бытовая химия"/>
    <n v="84"/>
    <d v="2022-09-01T00:00:00"/>
    <n v="224"/>
  </r>
  <r>
    <x v="787"/>
    <s v="2021-11-21"/>
    <s v="Уход"/>
    <n v="5999"/>
    <d v="2021-11-21T00:00:00"/>
    <n v="508"/>
  </r>
  <r>
    <x v="788"/>
    <s v="2022-09-10"/>
    <s v="Уход за волосами"/>
    <n v="2690"/>
    <d v="2022-09-10T00:00:00"/>
    <n v="215"/>
  </r>
  <r>
    <x v="789"/>
    <s v="2022-09-27"/>
    <s v="Уход за волосами"/>
    <n v="1990"/>
    <d v="2022-09-27T00:00:00"/>
    <n v="198"/>
  </r>
  <r>
    <x v="790"/>
    <s v="2022-12-28"/>
    <s v="Детский мир"/>
    <n v="562"/>
    <d v="2022-12-28T00:00:00"/>
    <n v="106"/>
  </r>
  <r>
    <x v="791"/>
    <s v="2022-12-02"/>
    <s v="Уход за волосами"/>
    <n v="747"/>
    <d v="2022-12-02T00:00:00"/>
    <n v="132"/>
  </r>
  <r>
    <x v="792"/>
    <s v="2021-12-05"/>
    <s v="Уход"/>
    <n v="299"/>
    <d v="2021-12-05T00:00:00"/>
    <n v="494"/>
  </r>
  <r>
    <x v="793"/>
    <s v="2022-12-25"/>
    <s v="Для дома"/>
    <n v="472"/>
    <d v="2022-12-25T00:00:00"/>
    <n v="109"/>
  </r>
  <r>
    <x v="794"/>
    <s v="2019-12-11"/>
    <s v="Уход за волосами"/>
    <n v="8086"/>
    <d v="2019-12-11T00:00:00"/>
    <n v="1219"/>
  </r>
  <r>
    <x v="795"/>
    <s v="2021-07-14"/>
    <s v="Уход"/>
    <n v="4448"/>
    <d v="2021-07-14T00:00:00"/>
    <n v="638"/>
  </r>
  <r>
    <x v="34"/>
    <s v="2022-03-16"/>
    <s v="Хоз.товары/бытовая химия"/>
    <n v="11150.77"/>
    <d v="2022-03-16T00:00:00"/>
    <n v="393"/>
  </r>
  <r>
    <x v="310"/>
    <s v="2022-08-01"/>
    <s v="Уход за волосами"/>
    <n v="7358"/>
    <d v="2022-08-01T00:00:00"/>
    <n v="255"/>
  </r>
  <r>
    <x v="796"/>
    <s v="2022-05-28"/>
    <s v="Уход"/>
    <n v="398"/>
    <d v="2022-05-28T00:00:00"/>
    <n v="320"/>
  </r>
  <r>
    <x v="797"/>
    <s v="2020-03-25"/>
    <s v="Уход"/>
    <n v="588"/>
    <d v="2020-03-25T00:00:00"/>
    <n v="1114"/>
  </r>
  <r>
    <x v="798"/>
    <s v="2022-10-17"/>
    <s v="Уход"/>
    <n v="1743"/>
    <d v="2022-10-17T00:00:00"/>
    <n v="178"/>
  </r>
  <r>
    <x v="799"/>
    <s v="2020-09-13"/>
    <s v="Для дома"/>
    <n v="109"/>
    <d v="2020-09-13T00:00:00"/>
    <n v="942"/>
  </r>
  <r>
    <x v="800"/>
    <s v="2022-08-26"/>
    <s v="Уход"/>
    <n v="11873"/>
    <d v="2022-08-26T00:00:00"/>
    <n v="230"/>
  </r>
  <r>
    <x v="801"/>
    <s v="2022-12-26"/>
    <s v="Уход"/>
    <n v="5982"/>
    <d v="2022-12-26T00:00:00"/>
    <n v="108"/>
  </r>
  <r>
    <x v="802"/>
    <s v="2021-05-20"/>
    <s v="Уход"/>
    <n v="867"/>
    <d v="2021-05-20T00:00:00"/>
    <n v="693"/>
  </r>
  <r>
    <x v="34"/>
    <s v="2020-10-19"/>
    <s v="Для дома"/>
    <n v="58198"/>
    <d v="2020-10-19T00:00:00"/>
    <n v="906"/>
  </r>
  <r>
    <x v="803"/>
    <s v="2021-04-10"/>
    <s v="Уход"/>
    <n v="1320"/>
    <d v="2021-04-10T00:00:00"/>
    <n v="733"/>
  </r>
  <r>
    <x v="770"/>
    <s v="2022-02-14"/>
    <s v="Уход"/>
    <n v="225"/>
    <d v="2022-02-14T00:00:00"/>
    <n v="423"/>
  </r>
  <r>
    <x v="392"/>
    <s v="2021-12-24"/>
    <s v="Уход за волосами"/>
    <n v="5335"/>
    <d v="2021-12-24T00:00:00"/>
    <n v="475"/>
  </r>
  <r>
    <x v="804"/>
    <s v="2022-10-17"/>
    <s v="Для дома"/>
    <n v="1150"/>
    <d v="2022-10-17T00:00:00"/>
    <n v="178"/>
  </r>
  <r>
    <x v="805"/>
    <s v="2020-01-16"/>
    <s v="Уход"/>
    <n v="375"/>
    <d v="2020-01-16T00:00:00"/>
    <n v="1183"/>
  </r>
  <r>
    <x v="349"/>
    <s v="2021-03-08"/>
    <s v="Уход за волосами"/>
    <n v="345"/>
    <d v="2021-03-08T00:00:00"/>
    <n v="766"/>
  </r>
  <r>
    <x v="393"/>
    <s v="2022-12-25"/>
    <s v="Уход"/>
    <n v="350"/>
    <d v="2022-12-25T00:00:00"/>
    <n v="109"/>
  </r>
  <r>
    <x v="806"/>
    <s v="2023-03-02"/>
    <s v="Уход за волосами"/>
    <n v="2340"/>
    <d v="2023-03-02T00:00:00"/>
    <n v="42"/>
  </r>
  <r>
    <x v="807"/>
    <s v="2021-09-04"/>
    <s v="Уход"/>
    <n v="479"/>
    <d v="2021-09-04T00:00:00"/>
    <n v="586"/>
  </r>
  <r>
    <x v="808"/>
    <s v="2020-10-06"/>
    <s v="Уход"/>
    <n v="1947"/>
    <d v="2020-10-06T00:00:00"/>
    <n v="919"/>
  </r>
  <r>
    <x v="809"/>
    <s v="2022-12-15"/>
    <s v="Для дома"/>
    <n v="3270"/>
    <d v="2022-12-15T00:00:00"/>
    <n v="119"/>
  </r>
  <r>
    <x v="62"/>
    <s v="2022-11-12"/>
    <s v="Уход за волосами"/>
    <n v="1067"/>
    <d v="2022-11-12T00:00:00"/>
    <n v="152"/>
  </r>
  <r>
    <x v="810"/>
    <s v="2020-07-17"/>
    <s v="Уход за волосами"/>
    <n v="229"/>
    <d v="2020-07-17T00:00:00"/>
    <n v="1000"/>
  </r>
  <r>
    <x v="811"/>
    <s v="2021-08-24"/>
    <s v="Уход"/>
    <n v="3399"/>
    <d v="2021-08-24T00:00:00"/>
    <n v="597"/>
  </r>
  <r>
    <x v="812"/>
    <s v="2021-07-09"/>
    <s v="Уход за волосами"/>
    <n v="2634"/>
    <d v="2021-07-09T00:00:00"/>
    <n v="643"/>
  </r>
  <r>
    <x v="813"/>
    <s v="2023-01-10"/>
    <s v="Одежда и аксессуары"/>
    <n v="380"/>
    <d v="2023-01-10T00:00:00"/>
    <n v="93"/>
  </r>
  <r>
    <x v="814"/>
    <s v="2021-09-16"/>
    <s v="Уход за волосами"/>
    <n v="337"/>
    <d v="2021-09-16T00:00:00"/>
    <n v="574"/>
  </r>
  <r>
    <x v="511"/>
    <s v="2022-01-31"/>
    <s v="Уход"/>
    <n v="389"/>
    <d v="2022-01-31T00:00:00"/>
    <n v="437"/>
  </r>
  <r>
    <x v="815"/>
    <s v="2021-04-24"/>
    <s v="Уход"/>
    <n v="499"/>
    <d v="2021-04-24T00:00:00"/>
    <n v="719"/>
  </r>
  <r>
    <x v="816"/>
    <s v="2021-01-22"/>
    <s v="Макияж"/>
    <n v="8420"/>
    <d v="2021-01-22T00:00:00"/>
    <n v="811"/>
  </r>
  <r>
    <x v="817"/>
    <s v="2020-10-08"/>
    <s v="Для дома"/>
    <n v="438"/>
    <d v="2020-10-08T00:00:00"/>
    <n v="917"/>
  </r>
  <r>
    <x v="818"/>
    <s v="2021-12-11"/>
    <s v="Уход"/>
    <n v="22.24"/>
    <d v="2021-12-11T00:00:00"/>
    <n v="488"/>
  </r>
  <r>
    <x v="819"/>
    <s v="2020-11-26"/>
    <s v="Уход за волосами"/>
    <n v="2272"/>
    <d v="2020-11-26T00:00:00"/>
    <n v="868"/>
  </r>
  <r>
    <x v="820"/>
    <s v="2022-02-04"/>
    <s v="Уход за волосами"/>
    <n v="1521"/>
    <d v="2022-02-04T00:00:00"/>
    <n v="433"/>
  </r>
  <r>
    <x v="821"/>
    <s v="2023-02-26"/>
    <s v="Одежда и аксессуары"/>
    <n v="334"/>
    <d v="2023-02-26T00:00:00"/>
    <n v="46"/>
  </r>
  <r>
    <x v="822"/>
    <s v="2020-01-11"/>
    <s v="Уход за волосами"/>
    <n v="1162"/>
    <d v="2020-01-11T00:00:00"/>
    <n v="1188"/>
  </r>
  <r>
    <x v="34"/>
    <s v="2020-02-27"/>
    <s v="Детский мир"/>
    <n v="13473"/>
    <d v="2020-02-27T00:00:00"/>
    <n v="1141"/>
  </r>
  <r>
    <x v="823"/>
    <s v="2021-11-23"/>
    <s v="Для дома"/>
    <n v="11"/>
    <d v="2021-11-23T00:00:00"/>
    <n v="506"/>
  </r>
  <r>
    <x v="824"/>
    <s v="2021-02-27"/>
    <s v="Уход за волосами"/>
    <n v="1320"/>
    <d v="2021-02-27T00:00:00"/>
    <n v="775"/>
  </r>
  <r>
    <x v="825"/>
    <s v="2021-06-12"/>
    <s v="Уход"/>
    <n v="6027"/>
    <d v="2021-06-12T00:00:00"/>
    <n v="670"/>
  </r>
  <r>
    <x v="826"/>
    <s v="2021-06-20"/>
    <s v="Уход"/>
    <n v="299"/>
    <d v="2021-06-20T00:00:00"/>
    <n v="662"/>
  </r>
  <r>
    <x v="827"/>
    <s v="2023-02-20"/>
    <s v="Уход за волосами"/>
    <n v="1001"/>
    <d v="2023-02-20T00:00:00"/>
    <n v="52"/>
  </r>
  <r>
    <x v="34"/>
    <s v="2021-12-13"/>
    <s v="Детский мир"/>
    <n v="16776.07"/>
    <d v="2021-12-13T00:00:00"/>
    <n v="486"/>
  </r>
  <r>
    <x v="784"/>
    <s v="2022-05-22"/>
    <s v="Хоз.товары/бытовая химия"/>
    <n v="89"/>
    <d v="2022-05-22T00:00:00"/>
    <n v="326"/>
  </r>
  <r>
    <x v="828"/>
    <s v="2021-08-12"/>
    <s v="Уход"/>
    <n v="59"/>
    <d v="2021-08-12T00:00:00"/>
    <n v="609"/>
  </r>
  <r>
    <x v="34"/>
    <s v="2020-06-15"/>
    <s v="Одежда и аксессуары"/>
    <n v="6976"/>
    <d v="2020-06-15T00:00:00"/>
    <n v="1032"/>
  </r>
  <r>
    <x v="829"/>
    <s v="2022-09-14"/>
    <s v="Уход за волосами"/>
    <n v="2958"/>
    <d v="2022-09-14T00:00:00"/>
    <n v="211"/>
  </r>
  <r>
    <x v="104"/>
    <s v="2022-11-22"/>
    <s v="Для дома"/>
    <n v="436"/>
    <d v="2022-11-22T00:00:00"/>
    <n v="142"/>
  </r>
  <r>
    <x v="34"/>
    <s v="2020-01-07"/>
    <s v="Макияж"/>
    <n v="38889"/>
    <d v="2020-01-07T00:00:00"/>
    <n v="1192"/>
  </r>
  <r>
    <x v="830"/>
    <s v="2020-09-24"/>
    <s v="Уход за волосами"/>
    <n v="2538"/>
    <d v="2020-09-24T00:00:00"/>
    <n v="931"/>
  </r>
  <r>
    <x v="34"/>
    <s v="2018-11-18"/>
    <s v="Для дома"/>
    <n v="495068.6"/>
    <d v="2018-11-18T00:00:00"/>
    <n v="1607"/>
  </r>
  <r>
    <x v="831"/>
    <s v="2021-08-31"/>
    <s v="Одежда и аксессуары"/>
    <n v="149"/>
    <d v="2021-08-31T00:00:00"/>
    <n v="590"/>
  </r>
  <r>
    <x v="832"/>
    <s v="2022-11-07"/>
    <s v="Для дома"/>
    <n v="741"/>
    <d v="2022-11-07T00:00:00"/>
    <n v="157"/>
  </r>
  <r>
    <x v="353"/>
    <s v="2023-01-05"/>
    <s v="Уход"/>
    <n v="13380"/>
    <d v="2023-01-05T00:00:00"/>
    <n v="98"/>
  </r>
  <r>
    <x v="833"/>
    <s v="2022-09-10"/>
    <s v="Уход за волосами"/>
    <n v="11388"/>
    <d v="2022-09-10T00:00:00"/>
    <n v="215"/>
  </r>
  <r>
    <x v="834"/>
    <s v="2021-01-15"/>
    <s v="Уход"/>
    <n v="8966"/>
    <d v="2021-01-15T00:00:00"/>
    <n v="818"/>
  </r>
  <r>
    <x v="794"/>
    <s v="2021-10-26"/>
    <s v="Для дома"/>
    <n v="159"/>
    <d v="2021-10-26T00:00:00"/>
    <n v="534"/>
  </r>
  <r>
    <x v="835"/>
    <s v="2022-03-01"/>
    <s v="Для дома"/>
    <n v="134"/>
    <d v="2022-03-01T00:00:00"/>
    <n v="408"/>
  </r>
  <r>
    <x v="836"/>
    <s v="2022-06-07"/>
    <s v="Уход за волосами"/>
    <n v="702"/>
    <d v="2022-06-07T00:00:00"/>
    <n v="310"/>
  </r>
  <r>
    <x v="478"/>
    <s v="2020-03-07"/>
    <s v="Уход"/>
    <n v="74"/>
    <d v="2020-03-07T00:00:00"/>
    <n v="1132"/>
  </r>
  <r>
    <x v="837"/>
    <s v="2020-11-06"/>
    <s v="Уход"/>
    <n v="2325"/>
    <d v="2020-11-06T00:00:00"/>
    <n v="888"/>
  </r>
  <r>
    <x v="838"/>
    <s v="2022-05-10"/>
    <s v="Одежда и аксессуары"/>
    <n v="169"/>
    <d v="2022-05-10T00:00:00"/>
    <n v="338"/>
  </r>
  <r>
    <x v="816"/>
    <s v="2021-04-18"/>
    <s v="Для дома"/>
    <n v="1773"/>
    <d v="2021-04-18T00:00:00"/>
    <n v="725"/>
  </r>
  <r>
    <x v="516"/>
    <s v="2020-09-24"/>
    <s v="Уход за волосами"/>
    <n v="2493"/>
    <d v="2020-09-24T00:00:00"/>
    <n v="931"/>
  </r>
  <r>
    <x v="839"/>
    <s v="2022-04-29"/>
    <s v="Для дома"/>
    <n v="780"/>
    <d v="2022-04-29T00:00:00"/>
    <n v="349"/>
  </r>
  <r>
    <x v="840"/>
    <s v="2022-12-26"/>
    <s v="Макияж"/>
    <n v="2150"/>
    <d v="2022-12-26T00:00:00"/>
    <n v="108"/>
  </r>
  <r>
    <x v="841"/>
    <s v="2020-08-07"/>
    <s v="Уход"/>
    <n v="550"/>
    <d v="2020-08-07T00:00:00"/>
    <n v="979"/>
  </r>
  <r>
    <x v="842"/>
    <s v="2023-03-17"/>
    <s v="Уход за волосами"/>
    <n v="1152"/>
    <d v="2023-03-17T00:00:00"/>
    <n v="27"/>
  </r>
  <r>
    <x v="504"/>
    <s v="2020-07-21"/>
    <s v="Уход"/>
    <n v="1174"/>
    <d v="2020-07-21T00:00:00"/>
    <n v="996"/>
  </r>
  <r>
    <x v="843"/>
    <s v="2022-03-16"/>
    <s v="Для дома"/>
    <n v="15660"/>
    <d v="2022-03-16T00:00:00"/>
    <n v="393"/>
  </r>
  <r>
    <x v="844"/>
    <s v="2023-03-11"/>
    <s v="Одежда и аксессуары"/>
    <n v="144"/>
    <d v="2023-03-11T00:00:00"/>
    <n v="33"/>
  </r>
  <r>
    <x v="845"/>
    <s v="2023-02-02"/>
    <s v="Макияж"/>
    <n v="2136"/>
    <d v="2023-02-02T00:00:00"/>
    <n v="70"/>
  </r>
  <r>
    <x v="134"/>
    <s v="2021-02-22"/>
    <s v="Для дома"/>
    <n v="1560"/>
    <d v="2021-02-22T00:00:00"/>
    <n v="780"/>
  </r>
  <r>
    <x v="846"/>
    <s v="2021-09-10"/>
    <s v="Уход за волосами"/>
    <n v="1750"/>
    <d v="2021-09-10T00:00:00"/>
    <n v="580"/>
  </r>
  <r>
    <x v="847"/>
    <s v="2022-01-28"/>
    <s v="Макияж"/>
    <n v="4639"/>
    <d v="2022-01-28T00:00:00"/>
    <n v="440"/>
  </r>
  <r>
    <x v="848"/>
    <s v="2023-01-16"/>
    <s v="Уход"/>
    <n v="8926"/>
    <d v="2023-01-16T00:00:00"/>
    <n v="87"/>
  </r>
  <r>
    <x v="849"/>
    <s v="2022-09-14"/>
    <s v="Уход за волосами"/>
    <n v="386"/>
    <d v="2022-09-14T00:00:00"/>
    <n v="211"/>
  </r>
  <r>
    <x v="850"/>
    <s v="2021-07-04"/>
    <s v="Уход за волосами"/>
    <n v="9660"/>
    <d v="2021-07-04T00:00:00"/>
    <n v="648"/>
  </r>
  <r>
    <x v="851"/>
    <s v="2022-06-19"/>
    <s v="Уход за волосами"/>
    <n v="1055"/>
    <d v="2022-06-19T00:00:00"/>
    <n v="298"/>
  </r>
  <r>
    <x v="709"/>
    <s v="2019-09-30"/>
    <s v="Хоз.товары/бытовая химия"/>
    <n v="114"/>
    <d v="2019-09-30T00:00:00"/>
    <n v="1291"/>
  </r>
  <r>
    <x v="852"/>
    <s v="2021-07-15"/>
    <s v="Уход"/>
    <n v="229"/>
    <d v="2021-07-15T00:00:00"/>
    <n v="637"/>
  </r>
  <r>
    <x v="34"/>
    <s v="2020-05-15"/>
    <s v="Для дома"/>
    <n v="13595"/>
    <d v="2020-05-15T00:00:00"/>
    <n v="1063"/>
  </r>
  <r>
    <x v="853"/>
    <s v="2019-10-12"/>
    <s v="Уход"/>
    <n v="557"/>
    <d v="2019-10-12T00:00:00"/>
    <n v="1279"/>
  </r>
  <r>
    <x v="854"/>
    <s v="2021-03-29"/>
    <s v="Уход"/>
    <n v="489"/>
    <d v="2021-03-29T00:00:00"/>
    <n v="745"/>
  </r>
  <r>
    <x v="855"/>
    <s v="2022-04-01"/>
    <s v="Уход"/>
    <n v="414"/>
    <d v="2022-04-01T00:00:00"/>
    <n v="377"/>
  </r>
  <r>
    <x v="856"/>
    <s v="2023-01-21"/>
    <s v="Уход за волосами"/>
    <n v="2380"/>
    <d v="2023-01-21T00:00:00"/>
    <n v="82"/>
  </r>
  <r>
    <x v="857"/>
    <s v="2022-01-24"/>
    <s v="Уход за волосами"/>
    <n v="459"/>
    <d v="2022-01-24T00:00:00"/>
    <n v="444"/>
  </r>
  <r>
    <x v="858"/>
    <s v="2023-01-28"/>
    <s v="Уход"/>
    <n v="180"/>
    <d v="2023-01-28T00:00:00"/>
    <n v="75"/>
  </r>
  <r>
    <x v="859"/>
    <s v="2021-04-18"/>
    <s v="Уход"/>
    <n v="657"/>
    <d v="2021-04-18T00:00:00"/>
    <n v="725"/>
  </r>
  <r>
    <x v="717"/>
    <s v="2021-07-12"/>
    <s v="Для дома"/>
    <n v="690"/>
    <d v="2021-07-12T00:00:00"/>
    <n v="640"/>
  </r>
  <r>
    <x v="410"/>
    <s v="2023-02-02"/>
    <s v="Уход за волосами"/>
    <n v="275"/>
    <d v="2023-02-02T00:00:00"/>
    <n v="70"/>
  </r>
  <r>
    <x v="7"/>
    <s v="2022-02-25"/>
    <s v="Уход за волосами"/>
    <n v="449"/>
    <d v="2022-02-25T00:00:00"/>
    <n v="412"/>
  </r>
  <r>
    <x v="860"/>
    <s v="2022-02-16"/>
    <s v="Макияж"/>
    <n v="890"/>
    <d v="2022-02-16T00:00:00"/>
    <n v="421"/>
  </r>
  <r>
    <x v="861"/>
    <s v="2021-01-04"/>
    <s v="Уход за волосами"/>
    <n v="918"/>
    <d v="2021-01-04T00:00:00"/>
    <n v="829"/>
  </r>
  <r>
    <x v="862"/>
    <s v="2021-10-05"/>
    <s v="Уход"/>
    <n v="5978"/>
    <d v="2021-10-05T00:00:00"/>
    <n v="555"/>
  </r>
  <r>
    <x v="863"/>
    <s v="2021-07-25"/>
    <s v="Уход за волосами"/>
    <n v="4062"/>
    <d v="2021-07-25T00:00:00"/>
    <n v="627"/>
  </r>
  <r>
    <x v="864"/>
    <s v="2019-08-31"/>
    <s v="Одежда и аксессуары"/>
    <n v="774"/>
    <d v="2019-08-31T00:00:00"/>
    <n v="1321"/>
  </r>
  <r>
    <x v="865"/>
    <s v="2021-08-19"/>
    <s v="Уход за волосами"/>
    <n v="209"/>
    <d v="2021-08-19T00:00:00"/>
    <n v="602"/>
  </r>
  <r>
    <x v="34"/>
    <s v="2021-07-04"/>
    <s v="Детский мир"/>
    <n v="36474"/>
    <d v="2021-07-04T00:00:00"/>
    <n v="648"/>
  </r>
  <r>
    <x v="866"/>
    <s v="2021-08-26"/>
    <s v="Уход"/>
    <n v="2250"/>
    <d v="2021-08-26T00:00:00"/>
    <n v="595"/>
  </r>
  <r>
    <x v="34"/>
    <s v="2016-05-16"/>
    <s v="Детский мир"/>
    <n v="115747.02"/>
    <d v="2016-05-16T00:00:00"/>
    <n v="2523"/>
  </r>
  <r>
    <x v="867"/>
    <s v="2023-03-22"/>
    <s v="Уход за волосами"/>
    <n v="1336"/>
    <d v="2023-03-22T00:00:00"/>
    <n v="22"/>
  </r>
  <r>
    <x v="868"/>
    <s v="2021-04-19"/>
    <s v="Для дома"/>
    <n v="722"/>
    <d v="2021-04-19T00:00:00"/>
    <n v="724"/>
  </r>
  <r>
    <x v="869"/>
    <s v="2019-12-15"/>
    <s v="Уход"/>
    <n v="340"/>
    <d v="2019-12-15T00:00:00"/>
    <n v="1215"/>
  </r>
  <r>
    <x v="870"/>
    <s v="2021-01-21"/>
    <s v="Уход"/>
    <n v="534"/>
    <d v="2021-01-21T00:00:00"/>
    <n v="812"/>
  </r>
  <r>
    <x v="871"/>
    <s v="2023-01-19"/>
    <s v="Уход за волосами"/>
    <n v="588"/>
    <d v="2023-01-19T00:00:00"/>
    <n v="84"/>
  </r>
  <r>
    <x v="872"/>
    <s v="2020-01-08"/>
    <s v="Уход"/>
    <n v="98"/>
    <d v="2020-01-08T00:00:00"/>
    <n v="1191"/>
  </r>
  <r>
    <x v="873"/>
    <s v="2021-07-09"/>
    <s v="Хоз.товары/бытовая химия"/>
    <n v="312"/>
    <d v="2021-07-09T00:00:00"/>
    <n v="643"/>
  </r>
  <r>
    <x v="94"/>
    <s v="2019-06-04"/>
    <s v="Уход"/>
    <n v="218"/>
    <d v="2019-06-04T00:00:00"/>
    <n v="1409"/>
  </r>
  <r>
    <x v="874"/>
    <s v="2021-05-06"/>
    <s v="Детский мир"/>
    <n v="129"/>
    <d v="2021-05-06T00:00:00"/>
    <n v="707"/>
  </r>
  <r>
    <x v="875"/>
    <s v="2022-03-09"/>
    <s v="Уход за волосами"/>
    <n v="3772"/>
    <d v="2022-03-09T00:00:00"/>
    <n v="400"/>
  </r>
  <r>
    <x v="876"/>
    <s v="2020-12-28"/>
    <s v="Уход"/>
    <n v="1419"/>
    <d v="2020-12-28T00:00:00"/>
    <n v="836"/>
  </r>
  <r>
    <x v="877"/>
    <s v="2019-12-14"/>
    <s v="Уход за волосами"/>
    <n v="240"/>
    <d v="2019-12-14T00:00:00"/>
    <n v="1216"/>
  </r>
  <r>
    <x v="878"/>
    <s v="2022-09-29"/>
    <s v="Уход"/>
    <n v="3782"/>
    <d v="2022-09-29T00:00:00"/>
    <n v="196"/>
  </r>
  <r>
    <x v="450"/>
    <s v="2021-10-24"/>
    <s v="Уход"/>
    <n v="648"/>
    <d v="2021-10-24T00:00:00"/>
    <n v="536"/>
  </r>
  <r>
    <x v="879"/>
    <s v="2023-04-04"/>
    <s v="Уход за волосами"/>
    <n v="3000"/>
    <d v="2023-04-04T00:00:00"/>
    <n v="9"/>
  </r>
  <r>
    <x v="244"/>
    <s v="2020-04-25"/>
    <s v="Для дома"/>
    <n v="518"/>
    <d v="2020-04-25T00:00:00"/>
    <n v="1083"/>
  </r>
  <r>
    <x v="880"/>
    <s v="2020-10-25"/>
    <s v="Макияж"/>
    <n v="561"/>
    <d v="2020-10-25T00:00:00"/>
    <n v="900"/>
  </r>
  <r>
    <x v="881"/>
    <s v="2022-01-23"/>
    <s v="Уход за волосами"/>
    <n v="419"/>
    <d v="2022-01-23T00:00:00"/>
    <n v="445"/>
  </r>
  <r>
    <x v="882"/>
    <s v="2021-12-08"/>
    <s v="Уход"/>
    <n v="7250"/>
    <d v="2021-12-08T00:00:00"/>
    <n v="491"/>
  </r>
  <r>
    <x v="685"/>
    <s v="2020-12-06"/>
    <s v="Уход"/>
    <n v="1555"/>
    <d v="2020-12-06T00:00:00"/>
    <n v="858"/>
  </r>
  <r>
    <x v="883"/>
    <s v="2022-05-02"/>
    <s v="Для дома"/>
    <n v="198"/>
    <d v="2022-05-02T00:00:00"/>
    <n v="346"/>
  </r>
  <r>
    <x v="884"/>
    <s v="2021-08-21"/>
    <s v="Одежда и аксессуары"/>
    <n v="119"/>
    <d v="2021-08-21T00:00:00"/>
    <n v="600"/>
  </r>
  <r>
    <x v="885"/>
    <s v="2022-09-25"/>
    <s v="Детский мир"/>
    <n v="564"/>
    <d v="2022-09-25T00:00:00"/>
    <n v="200"/>
  </r>
  <r>
    <x v="886"/>
    <s v="2022-12-22"/>
    <s v="Для дома"/>
    <n v="6012"/>
    <d v="2022-12-22T00:00:00"/>
    <n v="112"/>
  </r>
  <r>
    <x v="887"/>
    <s v="2022-07-05"/>
    <s v="Уход за волосами"/>
    <n v="6740"/>
    <d v="2022-07-05T00:00:00"/>
    <n v="282"/>
  </r>
  <r>
    <x v="888"/>
    <s v="2022-11-23"/>
    <s v="Уход за волосами"/>
    <n v="1323"/>
    <d v="2022-11-23T00:00:00"/>
    <n v="141"/>
  </r>
  <r>
    <x v="889"/>
    <s v="2022-03-09"/>
    <s v="Уход за волосами"/>
    <n v="11324"/>
    <d v="2022-03-09T00:00:00"/>
    <n v="400"/>
  </r>
  <r>
    <x v="890"/>
    <s v="2022-06-09"/>
    <s v="Детский мир"/>
    <n v="229"/>
    <d v="2022-06-09T00:00:00"/>
    <n v="308"/>
  </r>
  <r>
    <x v="624"/>
    <s v="2019-11-22"/>
    <s v="Для дома"/>
    <n v="479"/>
    <d v="2019-11-22T00:00:00"/>
    <n v="1238"/>
  </r>
  <r>
    <x v="482"/>
    <s v="2023-01-04"/>
    <s v="Для дома"/>
    <n v="4680"/>
    <d v="2023-01-04T00:00:00"/>
    <n v="99"/>
  </r>
  <r>
    <x v="891"/>
    <s v="2021-05-29"/>
    <s v="Уход за волосами"/>
    <n v="954"/>
    <d v="2021-05-29T00:00:00"/>
    <n v="684"/>
  </r>
  <r>
    <x v="892"/>
    <s v="2020-01-18"/>
    <s v="Одежда и аксессуары"/>
    <n v="612"/>
    <d v="2020-01-18T00:00:00"/>
    <n v="1181"/>
  </r>
  <r>
    <x v="53"/>
    <s v="2023-02-14"/>
    <s v="Хоз.товары/бытовая химия"/>
    <n v="84"/>
    <d v="2023-02-14T00:00:00"/>
    <n v="58"/>
  </r>
  <r>
    <x v="893"/>
    <s v="2022-03-26"/>
    <s v="Макияж"/>
    <n v="2376"/>
    <d v="2022-03-26T00:00:00"/>
    <n v="383"/>
  </r>
  <r>
    <x v="894"/>
    <s v="2023-02-13"/>
    <s v="Уход"/>
    <n v="2691"/>
    <d v="2023-02-13T00:00:00"/>
    <n v="59"/>
  </r>
  <r>
    <x v="161"/>
    <s v="2021-03-10"/>
    <s v="Уход за волосами"/>
    <n v="548"/>
    <d v="2021-03-10T00:00:00"/>
    <n v="764"/>
  </r>
  <r>
    <x v="55"/>
    <s v="2021-05-13"/>
    <s v="Для дома"/>
    <n v="1071"/>
    <d v="2021-05-13T00:00:00"/>
    <n v="700"/>
  </r>
  <r>
    <x v="871"/>
    <s v="2022-09-18"/>
    <s v="Уход"/>
    <n v="940"/>
    <d v="2022-09-18T00:00:00"/>
    <n v="207"/>
  </r>
  <r>
    <x v="39"/>
    <s v="2020-06-04"/>
    <s v="Одежда и аксессуары"/>
    <n v="98"/>
    <d v="2020-06-04T00:00:00"/>
    <n v="1043"/>
  </r>
  <r>
    <x v="895"/>
    <s v="2021-01-02"/>
    <s v="Уход за волосами"/>
    <n v="526"/>
    <d v="2021-01-02T00:00:00"/>
    <n v="831"/>
  </r>
  <r>
    <x v="896"/>
    <s v="2021-10-29"/>
    <s v="Хоз.товары/бытовая химия"/>
    <n v="513"/>
    <d v="2021-10-29T00:00:00"/>
    <n v="531"/>
  </r>
  <r>
    <x v="897"/>
    <s v="2021-10-01"/>
    <s v="Для дома"/>
    <n v="69"/>
    <d v="2021-10-01T00:00:00"/>
    <n v="559"/>
  </r>
  <r>
    <x v="898"/>
    <s v="2020-10-01"/>
    <s v="Уход за волосами"/>
    <n v="2216"/>
    <d v="2020-10-01T00:00:00"/>
    <n v="924"/>
  </r>
  <r>
    <x v="470"/>
    <s v="2021-05-04"/>
    <s v="Уход за волосами"/>
    <n v="349"/>
    <d v="2021-05-04T00:00:00"/>
    <n v="709"/>
  </r>
  <r>
    <x v="707"/>
    <s v="2020-06-06"/>
    <s v="Уход за волосами"/>
    <n v="2068"/>
    <d v="2020-06-06T00:00:00"/>
    <n v="1041"/>
  </r>
  <r>
    <x v="744"/>
    <s v="2021-02-19"/>
    <s v="Уход за волосами"/>
    <n v="3149"/>
    <d v="2021-02-19T00:00:00"/>
    <n v="783"/>
  </r>
  <r>
    <x v="223"/>
    <s v="2022-07-04"/>
    <s v="Уход"/>
    <n v="499"/>
    <d v="2022-07-04T00:00:00"/>
    <n v="283"/>
  </r>
  <r>
    <x v="899"/>
    <s v="2022-02-06"/>
    <s v="Уход"/>
    <n v="2244"/>
    <d v="2022-02-06T00:00:00"/>
    <n v="431"/>
  </r>
  <r>
    <x v="537"/>
    <s v="2021-10-06"/>
    <s v="Уход"/>
    <n v="504"/>
    <d v="2021-10-06T00:00:00"/>
    <n v="554"/>
  </r>
  <r>
    <x v="316"/>
    <s v="2021-03-30"/>
    <s v="Для дома"/>
    <n v="490"/>
    <d v="2021-03-30T00:00:00"/>
    <n v="744"/>
  </r>
  <r>
    <x v="900"/>
    <s v="2023-01-09"/>
    <s v="Уход за волосами"/>
    <n v="2104"/>
    <d v="2023-01-09T00:00:00"/>
    <n v="94"/>
  </r>
  <r>
    <x v="901"/>
    <s v="2019-12-27"/>
    <s v="Уход за волосами"/>
    <n v="380"/>
    <d v="2019-12-27T00:00:00"/>
    <n v="1203"/>
  </r>
  <r>
    <x v="354"/>
    <s v="2021-03-10"/>
    <s v="Уход за волосами"/>
    <n v="867"/>
    <d v="2021-03-10T00:00:00"/>
    <n v="764"/>
  </r>
  <r>
    <x v="902"/>
    <s v="2023-03-24"/>
    <s v="Макияж"/>
    <n v="2667"/>
    <d v="2023-03-24T00:00:00"/>
    <n v="20"/>
  </r>
  <r>
    <x v="414"/>
    <s v="2022-08-14"/>
    <s v="Уход за волосами"/>
    <n v="1120"/>
    <d v="2022-08-14T00:00:00"/>
    <n v="242"/>
  </r>
  <r>
    <x v="903"/>
    <s v="2019-12-15"/>
    <s v="Одежда и аксессуары"/>
    <n v="443"/>
    <d v="2019-12-15T00:00:00"/>
    <n v="1215"/>
  </r>
  <r>
    <x v="904"/>
    <s v="2021-01-05"/>
    <s v="Уход за волосами"/>
    <n v="1478"/>
    <d v="2021-01-05T00:00:00"/>
    <n v="828"/>
  </r>
  <r>
    <x v="905"/>
    <s v="2020-08-02"/>
    <s v="Детский мир"/>
    <n v="1053"/>
    <d v="2020-08-02T00:00:00"/>
    <n v="984"/>
  </r>
  <r>
    <x v="906"/>
    <s v="2021-10-02"/>
    <s v="Уход за волосами"/>
    <n v="3000"/>
    <d v="2021-10-02T00:00:00"/>
    <n v="558"/>
  </r>
  <r>
    <x v="907"/>
    <s v="2020-03-25"/>
    <s v="Уход за волосами"/>
    <n v="635"/>
    <d v="2020-03-25T00:00:00"/>
    <n v="1114"/>
  </r>
  <r>
    <x v="117"/>
    <s v="2022-07-31"/>
    <s v="Макияж"/>
    <n v="8377"/>
    <d v="2022-07-31T00:00:00"/>
    <n v="256"/>
  </r>
  <r>
    <x v="599"/>
    <s v="2022-11-11"/>
    <s v="Для дома"/>
    <n v="485"/>
    <d v="2022-11-11T00:00:00"/>
    <n v="153"/>
  </r>
  <r>
    <x v="740"/>
    <s v="2019-12-31"/>
    <s v="Для дома"/>
    <n v="50"/>
    <d v="2019-12-31T00:00:00"/>
    <n v="1199"/>
  </r>
  <r>
    <x v="34"/>
    <s v="2016-05-11"/>
    <s v="Хоз.товары/бытовая химия"/>
    <n v="62760"/>
    <d v="2016-05-11T00:00:00"/>
    <n v="2528"/>
  </r>
  <r>
    <x v="908"/>
    <s v="2021-01-22"/>
    <s v="Одежда и аксессуары"/>
    <n v="1990"/>
    <d v="2021-01-22T00:00:00"/>
    <n v="811"/>
  </r>
  <r>
    <x v="909"/>
    <s v="2020-11-29"/>
    <s v="Хоз.товары/бытовая химия"/>
    <n v="249"/>
    <d v="2020-11-29T00:00:00"/>
    <n v="865"/>
  </r>
  <r>
    <x v="910"/>
    <s v="2021-09-24"/>
    <s v="Уход"/>
    <n v="2510"/>
    <d v="2021-09-24T00:00:00"/>
    <n v="566"/>
  </r>
  <r>
    <x v="911"/>
    <s v="2021-03-17"/>
    <s v="Уход"/>
    <n v="366"/>
    <d v="2021-03-17T00:00:00"/>
    <n v="757"/>
  </r>
  <r>
    <x v="912"/>
    <s v="2021-12-24"/>
    <s v="Уход за волосами"/>
    <n v="162"/>
    <d v="2021-12-24T00:00:00"/>
    <n v="475"/>
  </r>
  <r>
    <x v="34"/>
    <s v="2018-10-30"/>
    <s v="Одежда и аксессуары"/>
    <n v="225093.6"/>
    <d v="2018-10-30T00:00:00"/>
    <n v="1626"/>
  </r>
  <r>
    <x v="913"/>
    <s v="2022-01-21"/>
    <s v="Уход"/>
    <n v="390"/>
    <d v="2022-01-21T00:00:00"/>
    <n v="447"/>
  </r>
  <r>
    <x v="914"/>
    <s v="2022-06-03"/>
    <s v="Детский мир"/>
    <n v="532"/>
    <d v="2022-06-03T00:00:00"/>
    <n v="314"/>
  </r>
  <r>
    <x v="719"/>
    <s v="2019-11-04"/>
    <s v="Одежда и аксессуары"/>
    <n v="546"/>
    <d v="2019-11-04T00:00:00"/>
    <n v="1256"/>
  </r>
  <r>
    <x v="915"/>
    <s v="2023-03-26"/>
    <s v="Уход"/>
    <n v="1563"/>
    <d v="2023-03-26T00:00:00"/>
    <n v="18"/>
  </r>
  <r>
    <x v="916"/>
    <s v="2021-11-23"/>
    <s v="Хоз.товары/бытовая химия"/>
    <n v="78"/>
    <d v="2021-11-23T00:00:00"/>
    <n v="506"/>
  </r>
  <r>
    <x v="917"/>
    <s v="2019-08-30"/>
    <s v="Уход"/>
    <n v="870"/>
    <d v="2019-08-30T00:00:00"/>
    <n v="1322"/>
  </r>
  <r>
    <x v="34"/>
    <s v="2018-06-04"/>
    <s v="Уход за волосами"/>
    <n v="1860077.97"/>
    <d v="2018-06-04T00:00:00"/>
    <n v="1774"/>
  </r>
  <r>
    <x v="237"/>
    <s v="2021-11-13"/>
    <s v="Хоз.товары/бытовая химия"/>
    <n v="98"/>
    <d v="2021-11-13T00:00:00"/>
    <n v="516"/>
  </r>
  <r>
    <x v="17"/>
    <s v="2020-04-17"/>
    <s v="Макияж"/>
    <n v="185"/>
    <d v="2020-04-17T00:00:00"/>
    <n v="1091"/>
  </r>
  <r>
    <x v="918"/>
    <s v="2021-02-01"/>
    <s v="Уход"/>
    <n v="5067"/>
    <d v="2021-02-01T00:00:00"/>
    <n v="801"/>
  </r>
  <r>
    <x v="919"/>
    <s v="2022-11-12"/>
    <s v="Уход за волосами"/>
    <n v="9144"/>
    <d v="2022-11-12T00:00:00"/>
    <n v="152"/>
  </r>
  <r>
    <x v="906"/>
    <s v="2022-03-27"/>
    <s v="Уход за волосами"/>
    <n v="1580"/>
    <d v="2022-03-27T00:00:00"/>
    <n v="382"/>
  </r>
  <r>
    <x v="920"/>
    <s v="2021-11-27"/>
    <s v="Уход"/>
    <n v="2187"/>
    <d v="2021-11-27T00:00:00"/>
    <n v="502"/>
  </r>
  <r>
    <x v="921"/>
    <s v="2021-04-14"/>
    <s v="Уход за волосами"/>
    <n v="795"/>
    <d v="2021-04-14T00:00:00"/>
    <n v="729"/>
  </r>
  <r>
    <x v="922"/>
    <s v="2020-11-01"/>
    <s v="Хоз.товары/бытовая химия"/>
    <n v="175"/>
    <d v="2020-11-01T00:00:00"/>
    <n v="893"/>
  </r>
  <r>
    <x v="923"/>
    <s v="2021-12-02"/>
    <s v="Уход за волосами"/>
    <n v="349"/>
    <d v="2021-12-02T00:00:00"/>
    <n v="497"/>
  </r>
  <r>
    <x v="924"/>
    <s v="2020-11-03"/>
    <s v="Уход за волосами"/>
    <n v="2166"/>
    <d v="2020-11-03T00:00:00"/>
    <n v="891"/>
  </r>
  <r>
    <x v="925"/>
    <s v="2021-11-19"/>
    <s v="Уход"/>
    <n v="469"/>
    <d v="2021-11-19T00:00:00"/>
    <n v="510"/>
  </r>
  <r>
    <x v="926"/>
    <s v="2022-01-04"/>
    <s v="Макияж"/>
    <n v="338"/>
    <d v="2022-01-04T00:00:00"/>
    <n v="464"/>
  </r>
  <r>
    <x v="927"/>
    <s v="2022-05-26"/>
    <s v="Уход за волосами"/>
    <n v="1790"/>
    <d v="2022-05-26T00:00:00"/>
    <n v="322"/>
  </r>
  <r>
    <x v="928"/>
    <s v="2022-05-21"/>
    <s v="Уход за волосами"/>
    <n v="2712"/>
    <d v="2022-05-21T00:00:00"/>
    <n v="327"/>
  </r>
  <r>
    <x v="929"/>
    <s v="2023-03-12"/>
    <s v="Уход за волосами"/>
    <n v="2940"/>
    <d v="2023-03-12T00:00:00"/>
    <n v="32"/>
  </r>
  <r>
    <x v="504"/>
    <s v="2023-02-14"/>
    <s v="Уход"/>
    <n v="5463"/>
    <d v="2023-02-14T00:00:00"/>
    <n v="58"/>
  </r>
  <r>
    <x v="930"/>
    <s v="2022-06-30"/>
    <s v="Уход"/>
    <n v="2248"/>
    <d v="2022-06-30T00:00:00"/>
    <n v="287"/>
  </r>
  <r>
    <x v="931"/>
    <s v="2021-07-13"/>
    <s v="Уход"/>
    <n v="61"/>
    <d v="2021-07-13T00:00:00"/>
    <n v="639"/>
  </r>
  <r>
    <x v="487"/>
    <s v="2021-07-18"/>
    <s v="Уход за волосами"/>
    <n v="399"/>
    <d v="2021-07-18T00:00:00"/>
    <n v="634"/>
  </r>
  <r>
    <x v="932"/>
    <s v="2019-11-10"/>
    <s v="Для дома"/>
    <n v="428"/>
    <d v="2019-11-10T00:00:00"/>
    <n v="1250"/>
  </r>
  <r>
    <x v="933"/>
    <s v="2020-08-03"/>
    <s v="Уход"/>
    <n v="1185"/>
    <d v="2020-08-03T00:00:00"/>
    <n v="983"/>
  </r>
  <r>
    <x v="934"/>
    <s v="2020-09-07"/>
    <s v="Уход"/>
    <n v="985"/>
    <d v="2020-09-07T00:00:00"/>
    <n v="948"/>
  </r>
  <r>
    <x v="935"/>
    <s v="2022-04-29"/>
    <s v="Уход за волосами"/>
    <n v="916"/>
    <d v="2022-04-29T00:00:00"/>
    <n v="349"/>
  </r>
  <r>
    <x v="936"/>
    <s v="2022-06-25"/>
    <s v="Уход"/>
    <n v="498"/>
    <d v="2022-06-25T00:00:00"/>
    <n v="292"/>
  </r>
  <r>
    <x v="937"/>
    <s v="2022-05-11"/>
    <s v="Уход"/>
    <n v="1839"/>
    <d v="2022-05-11T00:00:00"/>
    <n v="337"/>
  </r>
  <r>
    <x v="747"/>
    <s v="2021-04-08"/>
    <s v="Уход за волосами"/>
    <n v="181"/>
    <d v="2021-04-08T00:00:00"/>
    <n v="735"/>
  </r>
  <r>
    <x v="938"/>
    <s v="2022-07-29"/>
    <s v="Для дома"/>
    <n v="3660"/>
    <d v="2022-07-29T00:00:00"/>
    <n v="258"/>
  </r>
  <r>
    <x v="939"/>
    <s v="2023-02-21"/>
    <s v="Уход"/>
    <n v="4148"/>
    <d v="2023-02-21T00:00:00"/>
    <n v="51"/>
  </r>
  <r>
    <x v="940"/>
    <s v="2020-08-31"/>
    <s v="Уход за волосами"/>
    <n v="5040"/>
    <d v="2020-08-31T00:00:00"/>
    <n v="955"/>
  </r>
  <r>
    <x v="941"/>
    <s v="2022-05-30"/>
    <s v="Уход"/>
    <n v="3760"/>
    <d v="2022-05-30T00:00:00"/>
    <n v="318"/>
  </r>
  <r>
    <x v="942"/>
    <s v="2021-05-30"/>
    <s v="Уход"/>
    <n v="7833"/>
    <d v="2021-05-30T00:00:00"/>
    <n v="683"/>
  </r>
  <r>
    <x v="943"/>
    <s v="2021-01-10"/>
    <s v="Для дома"/>
    <n v="391"/>
    <d v="2021-01-10T00:00:00"/>
    <n v="823"/>
  </r>
  <r>
    <x v="944"/>
    <s v="2021-09-23"/>
    <s v="Уход"/>
    <n v="1137"/>
    <d v="2021-09-23T00:00:00"/>
    <n v="567"/>
  </r>
  <r>
    <x v="945"/>
    <s v="2022-09-11"/>
    <s v="Уход за волосами"/>
    <n v="1448"/>
    <d v="2022-09-11T00:00:00"/>
    <n v="214"/>
  </r>
  <r>
    <x v="946"/>
    <s v="2021-05-27"/>
    <s v="Уход за волосами"/>
    <n v="483"/>
    <d v="2021-05-27T00:00:00"/>
    <n v="686"/>
  </r>
  <r>
    <x v="947"/>
    <s v="2022-06-11"/>
    <s v="Уход"/>
    <n v="1898"/>
    <d v="2022-06-11T00:00:00"/>
    <n v="306"/>
  </r>
  <r>
    <x v="948"/>
    <s v="2021-11-04"/>
    <s v="Хоз.товары/бытовая химия"/>
    <n v="23"/>
    <d v="2021-11-04T00:00:00"/>
    <n v="525"/>
  </r>
  <r>
    <x v="949"/>
    <s v="2022-12-30"/>
    <s v="Уход"/>
    <n v="875"/>
    <d v="2022-12-30T00:00:00"/>
    <n v="104"/>
  </r>
  <r>
    <x v="950"/>
    <s v="2022-02-24"/>
    <s v="Для дома"/>
    <n v="190"/>
    <d v="2022-02-24T00:00:00"/>
    <n v="413"/>
  </r>
  <r>
    <x v="951"/>
    <s v="2021-05-05"/>
    <s v="Для дома"/>
    <n v="31"/>
    <d v="2021-05-05T00:00:00"/>
    <n v="708"/>
  </r>
  <r>
    <x v="952"/>
    <s v="2021-10-10"/>
    <s v="Уход за волосами"/>
    <n v="3703"/>
    <d v="2021-10-10T00:00:00"/>
    <n v="550"/>
  </r>
  <r>
    <x v="953"/>
    <s v="2023-04-03"/>
    <s v="Уход за волосами"/>
    <n v="1578"/>
    <d v="2023-04-03T00:00:00"/>
    <n v="10"/>
  </r>
  <r>
    <x v="954"/>
    <s v="2020-06-13"/>
    <s v="Для дома"/>
    <n v="49"/>
    <d v="2020-06-13T00:00:00"/>
    <n v="1034"/>
  </r>
  <r>
    <x v="955"/>
    <s v="2022-09-06"/>
    <s v="Одежда и аксессуары"/>
    <n v="580"/>
    <d v="2022-09-06T00:00:00"/>
    <n v="219"/>
  </r>
  <r>
    <x v="956"/>
    <s v="2022-03-11"/>
    <s v="Уход"/>
    <n v="335"/>
    <d v="2022-03-11T00:00:00"/>
    <n v="398"/>
  </r>
  <r>
    <x v="957"/>
    <s v="2021-09-05"/>
    <s v="Уход"/>
    <n v="299"/>
    <d v="2021-09-05T00:00:00"/>
    <n v="585"/>
  </r>
  <r>
    <x v="376"/>
    <s v="2020-01-17"/>
    <s v="Уход за волосами"/>
    <n v="1810"/>
    <d v="2020-01-17T00:00:00"/>
    <n v="1182"/>
  </r>
  <r>
    <x v="958"/>
    <s v="2020-09-05"/>
    <s v="Детский мир"/>
    <n v="45"/>
    <d v="2020-09-05T00:00:00"/>
    <n v="950"/>
  </r>
  <r>
    <x v="959"/>
    <s v="2022-09-27"/>
    <s v="Уход за волосами"/>
    <n v="3535"/>
    <d v="2022-09-27T00:00:00"/>
    <n v="198"/>
  </r>
  <r>
    <x v="960"/>
    <s v="2021-12-04"/>
    <s v="Для дома"/>
    <n v="25"/>
    <d v="2021-12-04T00:00:00"/>
    <n v="495"/>
  </r>
  <r>
    <x v="961"/>
    <s v="2022-05-20"/>
    <s v="Для дома"/>
    <n v="258"/>
    <d v="2022-05-20T00:00:00"/>
    <n v="328"/>
  </r>
  <r>
    <x v="962"/>
    <s v="2020-06-04"/>
    <s v="Уход"/>
    <n v="1077"/>
    <d v="2020-06-04T00:00:00"/>
    <n v="1043"/>
  </r>
  <r>
    <x v="963"/>
    <s v="2021-12-18"/>
    <s v="Для дома"/>
    <n v="558"/>
    <d v="2021-12-18T00:00:00"/>
    <n v="481"/>
  </r>
  <r>
    <x v="964"/>
    <s v="2020-11-16"/>
    <s v="Уход"/>
    <n v="888"/>
    <d v="2020-11-16T00:00:00"/>
    <n v="878"/>
  </r>
  <r>
    <x v="965"/>
    <s v="2022-04-26"/>
    <s v="Уход за волосами"/>
    <n v="290"/>
    <d v="2022-04-26T00:00:00"/>
    <n v="352"/>
  </r>
  <r>
    <x v="597"/>
    <s v="2022-05-28"/>
    <s v="Уход"/>
    <n v="1096"/>
    <d v="2022-05-28T00:00:00"/>
    <n v="320"/>
  </r>
  <r>
    <x v="966"/>
    <s v="2022-07-18"/>
    <s v="Уход за волосами"/>
    <n v="179"/>
    <d v="2022-07-18T00:00:00"/>
    <n v="269"/>
  </r>
  <r>
    <x v="967"/>
    <s v="2022-08-30"/>
    <s v="Уход"/>
    <n v="9045"/>
    <d v="2022-08-30T00:00:00"/>
    <n v="226"/>
  </r>
  <r>
    <x v="968"/>
    <s v="2021-12-17"/>
    <s v="Уход за волосами"/>
    <n v="1000"/>
    <d v="2021-12-17T00:00:00"/>
    <n v="482"/>
  </r>
  <r>
    <x v="921"/>
    <s v="2019-12-30"/>
    <s v="Макияж"/>
    <n v="1704"/>
    <d v="2019-12-30T00:00:00"/>
    <n v="1200"/>
  </r>
  <r>
    <x v="969"/>
    <s v="2022-02-13"/>
    <s v="Уход"/>
    <n v="4457"/>
    <d v="2022-02-13T00:00:00"/>
    <n v="424"/>
  </r>
  <r>
    <x v="970"/>
    <s v="2022-01-27"/>
    <s v="Уход за волосами"/>
    <n v="349"/>
    <d v="2022-01-27T00:00:00"/>
    <n v="441"/>
  </r>
  <r>
    <x v="971"/>
    <s v="2021-11-19"/>
    <s v="Уход"/>
    <n v="248"/>
    <d v="2021-11-19T00:00:00"/>
    <n v="510"/>
  </r>
  <r>
    <x v="972"/>
    <s v="2021-08-13"/>
    <s v="Для дома"/>
    <n v="690"/>
    <d v="2021-08-13T00:00:00"/>
    <n v="608"/>
  </r>
  <r>
    <x v="973"/>
    <s v="2020-06-17"/>
    <s v="Уход за волосами"/>
    <n v="3290"/>
    <d v="2020-06-17T00:00:00"/>
    <n v="1030"/>
  </r>
  <r>
    <x v="758"/>
    <s v="2021-07-08"/>
    <s v="Уход"/>
    <n v="5496"/>
    <d v="2021-07-08T00:00:00"/>
    <n v="644"/>
  </r>
  <r>
    <x v="974"/>
    <s v="2022-06-29"/>
    <s v="Для дома"/>
    <n v="929"/>
    <d v="2022-06-29T00:00:00"/>
    <n v="288"/>
  </r>
  <r>
    <x v="759"/>
    <s v="2019-12-22"/>
    <s v="Уход"/>
    <n v="312"/>
    <d v="2019-12-22T00:00:00"/>
    <n v="1208"/>
  </r>
  <r>
    <x v="127"/>
    <s v="2022-11-26"/>
    <s v="Детский мир"/>
    <n v="200"/>
    <d v="2022-11-26T00:00:00"/>
    <n v="138"/>
  </r>
  <r>
    <x v="975"/>
    <s v="2021-10-04"/>
    <s v="Уход"/>
    <n v="6732"/>
    <d v="2021-10-04T00:00:00"/>
    <n v="556"/>
  </r>
  <r>
    <x v="976"/>
    <s v="2023-01-27"/>
    <s v="Уход"/>
    <n v="1950"/>
    <d v="2023-01-27T00:00:00"/>
    <n v="76"/>
  </r>
  <r>
    <x v="977"/>
    <s v="2022-04-12"/>
    <s v="Для дома"/>
    <n v="525"/>
    <d v="2022-04-12T00:00:00"/>
    <n v="366"/>
  </r>
  <r>
    <x v="34"/>
    <s v="2020-05-11"/>
    <s v="Детский мир"/>
    <n v="4432"/>
    <d v="2020-05-11T00:00:00"/>
    <n v="1067"/>
  </r>
  <r>
    <x v="978"/>
    <s v="2021-10-10"/>
    <s v="Уход"/>
    <n v="987"/>
    <d v="2021-10-10T00:00:00"/>
    <n v="550"/>
  </r>
  <r>
    <x v="979"/>
    <s v="2021-10-08"/>
    <s v="Одежда и аксессуары"/>
    <n v="1026"/>
    <d v="2021-10-08T00:00:00"/>
    <n v="552"/>
  </r>
  <r>
    <x v="980"/>
    <s v="2021-09-10"/>
    <s v="Уход"/>
    <n v="479"/>
    <d v="2021-09-10T00:00:00"/>
    <n v="580"/>
  </r>
  <r>
    <x v="902"/>
    <s v="2021-11-10"/>
    <s v="Уход за волосами"/>
    <n v="119"/>
    <d v="2021-11-10T00:00:00"/>
    <n v="519"/>
  </r>
  <r>
    <x v="981"/>
    <s v="2020-12-09"/>
    <s v="Уход"/>
    <n v="1990"/>
    <d v="2020-12-09T00:00:00"/>
    <n v="855"/>
  </r>
  <r>
    <x v="561"/>
    <s v="2021-08-28"/>
    <s v="Для дома"/>
    <n v="1950"/>
    <d v="2021-08-28T00:00:00"/>
    <n v="593"/>
  </r>
  <r>
    <x v="982"/>
    <s v="2020-06-05"/>
    <s v="Для дома"/>
    <n v="1650"/>
    <d v="2020-06-05T00:00:00"/>
    <n v="1042"/>
  </r>
  <r>
    <x v="444"/>
    <s v="2021-12-08"/>
    <s v="Уход за волосами"/>
    <n v="910"/>
    <d v="2021-12-08T00:00:00"/>
    <n v="491"/>
  </r>
  <r>
    <x v="983"/>
    <s v="2021-09-10"/>
    <s v="Уход"/>
    <n v="12720"/>
    <d v="2021-09-10T00:00:00"/>
    <n v="580"/>
  </r>
  <r>
    <x v="636"/>
    <s v="2023-03-22"/>
    <s v="Уход"/>
    <n v="886"/>
    <d v="2023-03-22T00:00:00"/>
    <n v="22"/>
  </r>
  <r>
    <x v="984"/>
    <s v="2020-07-01"/>
    <s v="Уход"/>
    <n v="317"/>
    <d v="2020-07-01T00:00:00"/>
    <n v="1016"/>
  </r>
  <r>
    <x v="985"/>
    <s v="2022-07-01"/>
    <s v="Уход"/>
    <n v="278"/>
    <d v="2022-07-01T00:00:00"/>
    <n v="286"/>
  </r>
  <r>
    <x v="986"/>
    <s v="2022-07-25"/>
    <s v="Уход"/>
    <n v="211"/>
    <d v="2022-07-25T00:00:00"/>
    <n v="262"/>
  </r>
  <r>
    <x v="987"/>
    <s v="2022-07-30"/>
    <s v="Уход"/>
    <n v="2246"/>
    <d v="2022-07-30T00:00:00"/>
    <n v="257"/>
  </r>
  <r>
    <x v="988"/>
    <s v="2020-02-16"/>
    <s v="Уход"/>
    <n v="126"/>
    <d v="2020-02-16T00:00:00"/>
    <n v="1152"/>
  </r>
  <r>
    <x v="698"/>
    <s v="2020-02-28"/>
    <s v="Уход"/>
    <n v="841"/>
    <d v="2020-02-28T00:00:00"/>
    <n v="1140"/>
  </r>
  <r>
    <x v="989"/>
    <s v="2022-05-29"/>
    <s v="Для дома"/>
    <n v="390"/>
    <d v="2022-05-29T00:00:00"/>
    <n v="319"/>
  </r>
  <r>
    <x v="408"/>
    <s v="2021-11-14"/>
    <s v="Уход за волосами"/>
    <n v="7099"/>
    <d v="2021-11-14T00:00:00"/>
    <n v="515"/>
  </r>
  <r>
    <x v="990"/>
    <s v="2020-06-26"/>
    <s v="Хоз.товары/бытовая химия"/>
    <n v="93"/>
    <d v="2020-06-26T00:00:00"/>
    <n v="1021"/>
  </r>
  <r>
    <x v="991"/>
    <s v="2021-06-27"/>
    <s v="Уход"/>
    <n v="728"/>
    <d v="2021-06-27T00:00:00"/>
    <n v="655"/>
  </r>
  <r>
    <x v="992"/>
    <s v="2020-09-03"/>
    <s v="Уход за волосами"/>
    <n v="687"/>
    <d v="2020-09-03T00:00:00"/>
    <n v="952"/>
  </r>
  <r>
    <x v="993"/>
    <s v="2021-03-01"/>
    <s v="Уход"/>
    <n v="176"/>
    <d v="2021-03-01T00:00:00"/>
    <n v="773"/>
  </r>
  <r>
    <x v="994"/>
    <s v="2019-12-29"/>
    <s v="Уход за волосами"/>
    <n v="8208"/>
    <d v="2019-12-29T00:00:00"/>
    <n v="1201"/>
  </r>
  <r>
    <x v="227"/>
    <s v="2021-08-05"/>
    <s v="Уход за волосами"/>
    <n v="9660"/>
    <d v="2021-08-05T00:00:00"/>
    <n v="616"/>
  </r>
  <r>
    <x v="598"/>
    <s v="2020-03-06"/>
    <s v="Уход за волосами"/>
    <n v="305"/>
    <d v="2020-03-06T00:00:00"/>
    <n v="1133"/>
  </r>
  <r>
    <x v="344"/>
    <s v="2022-03-30"/>
    <s v="Макияж"/>
    <n v="3382"/>
    <d v="2022-03-30T00:00:00"/>
    <n v="379"/>
  </r>
  <r>
    <x v="995"/>
    <s v="2021-05-26"/>
    <s v="Для дома"/>
    <n v="4020"/>
    <d v="2021-05-26T00:00:00"/>
    <n v="687"/>
  </r>
  <r>
    <x v="996"/>
    <s v="2022-09-04"/>
    <s v="Уход за волосами"/>
    <n v="3340"/>
    <d v="2022-09-04T00:00:00"/>
    <n v="221"/>
  </r>
  <r>
    <x v="86"/>
    <s v="2021-11-20"/>
    <s v="Уход за волосами"/>
    <n v="2886"/>
    <d v="2021-11-20T00:00:00"/>
    <n v="509"/>
  </r>
  <r>
    <x v="997"/>
    <s v="2021-03-11"/>
    <s v="Уход за волосами"/>
    <n v="1140"/>
    <d v="2021-03-11T00:00:00"/>
    <n v="763"/>
  </r>
  <r>
    <x v="998"/>
    <s v="2021-01-14"/>
    <s v="Уход"/>
    <n v="1053"/>
    <d v="2021-01-14T00:00:00"/>
    <n v="819"/>
  </r>
  <r>
    <x v="999"/>
    <s v="2023-03-01"/>
    <s v="Уход за волосами"/>
    <n v="13757"/>
    <d v="2023-03-01T00:00:00"/>
    <n v="43"/>
  </r>
  <r>
    <x v="962"/>
    <s v="2021-01-15"/>
    <s v="Для дома"/>
    <n v="183"/>
    <d v="2021-01-15T00:00:00"/>
    <n v="818"/>
  </r>
  <r>
    <x v="277"/>
    <s v="2022-02-16"/>
    <s v="Уход"/>
    <n v="295"/>
    <d v="2022-02-16T00:00:00"/>
    <n v="421"/>
  </r>
  <r>
    <x v="1000"/>
    <s v="2021-11-20"/>
    <s v="Уход за волосами"/>
    <n v="219"/>
    <d v="2021-11-20T00:00:00"/>
    <n v="509"/>
  </r>
  <r>
    <x v="1001"/>
    <s v="2023-03-03"/>
    <s v="Уход"/>
    <n v="2261"/>
    <d v="2023-03-03T00:00:00"/>
    <n v="41"/>
  </r>
  <r>
    <x v="1002"/>
    <s v="2020-10-29"/>
    <s v="Уход"/>
    <n v="807"/>
    <d v="2020-10-29T00:00:00"/>
    <n v="896"/>
  </r>
  <r>
    <x v="199"/>
    <s v="2022-07-07"/>
    <s v="Для дома"/>
    <n v="99"/>
    <d v="2022-07-07T00:00:00"/>
    <n v="280"/>
  </r>
  <r>
    <x v="910"/>
    <s v="2023-04-01"/>
    <s v="Для дома"/>
    <n v="447"/>
    <d v="2023-04-01T00:00:00"/>
    <n v="12"/>
  </r>
  <r>
    <x v="87"/>
    <s v="2023-02-17"/>
    <s v="Уход"/>
    <n v="1680"/>
    <d v="2023-02-17T00:00:00"/>
    <n v="55"/>
  </r>
  <r>
    <x v="1003"/>
    <s v="2021-10-16"/>
    <s v="Для дома"/>
    <n v="1677"/>
    <d v="2021-10-16T00:00:00"/>
    <n v="544"/>
  </r>
  <r>
    <x v="1004"/>
    <s v="2022-02-02"/>
    <s v="Уход за волосами"/>
    <n v="1730"/>
    <d v="2022-02-02T00:00:00"/>
    <n v="435"/>
  </r>
  <r>
    <x v="34"/>
    <s v="2018-06-13"/>
    <s v="Одежда и аксессуары"/>
    <n v="244311.6"/>
    <d v="2018-06-13T00:00:00"/>
    <n v="1765"/>
  </r>
  <r>
    <x v="705"/>
    <s v="2021-06-19"/>
    <s v="Уход за волосами"/>
    <n v="399"/>
    <d v="2021-06-19T00:00:00"/>
    <n v="663"/>
  </r>
  <r>
    <x v="1005"/>
    <s v="2020-03-19"/>
    <s v="Уход"/>
    <n v="2677"/>
    <d v="2020-03-19T00:00:00"/>
    <n v="1120"/>
  </r>
  <r>
    <x v="899"/>
    <s v="2023-03-30"/>
    <s v="Уход за волосами"/>
    <n v="490"/>
    <d v="2023-03-30T00:00:00"/>
    <n v="14"/>
  </r>
  <r>
    <x v="1006"/>
    <s v="2023-03-03"/>
    <s v="Уход за волосами"/>
    <n v="4035"/>
    <d v="2023-03-03T00:00:00"/>
    <n v="41"/>
  </r>
  <r>
    <x v="1007"/>
    <s v="2021-05-09"/>
    <s v="Макияж"/>
    <n v="890"/>
    <d v="2021-05-09T00:00:00"/>
    <n v="704"/>
  </r>
  <r>
    <x v="1008"/>
    <s v="2020-10-11"/>
    <s v="Уход"/>
    <n v="398"/>
    <d v="2020-10-11T00:00:00"/>
    <n v="914"/>
  </r>
  <r>
    <x v="1009"/>
    <s v="2022-08-27"/>
    <s v="Уход за волосами"/>
    <n v="687"/>
    <d v="2022-08-27T00:00:00"/>
    <n v="229"/>
  </r>
  <r>
    <x v="1010"/>
    <s v="2022-12-02"/>
    <s v="Уход за волосами"/>
    <n v="1368"/>
    <d v="2022-12-02T00:00:00"/>
    <n v="132"/>
  </r>
  <r>
    <x v="229"/>
    <s v="2023-04-03"/>
    <s v="Уход за волосами"/>
    <n v="504"/>
    <d v="2023-04-03T00:00:00"/>
    <n v="10"/>
  </r>
  <r>
    <x v="1011"/>
    <s v="2022-12-31"/>
    <s v="Уход"/>
    <n v="1504"/>
    <d v="2022-12-31T00:00:00"/>
    <n v="103"/>
  </r>
  <r>
    <x v="1012"/>
    <s v="2021-08-15"/>
    <s v="Одежда и аксессуары"/>
    <n v="629"/>
    <d v="2021-08-15T00:00:00"/>
    <n v="606"/>
  </r>
  <r>
    <x v="1013"/>
    <s v="2022-07-27"/>
    <s v="Для дома"/>
    <n v="231"/>
    <d v="2022-07-27T00:00:00"/>
    <n v="260"/>
  </r>
  <r>
    <x v="635"/>
    <s v="2022-05-17"/>
    <s v="Уход за волосами"/>
    <n v="4170"/>
    <d v="2022-05-17T00:00:00"/>
    <n v="331"/>
  </r>
  <r>
    <x v="1014"/>
    <s v="2022-07-27"/>
    <s v="Уход"/>
    <n v="169"/>
    <d v="2022-07-27T00:00:00"/>
    <n v="260"/>
  </r>
  <r>
    <x v="1015"/>
    <s v="2023-01-24"/>
    <s v="Для дома"/>
    <n v="1000"/>
    <d v="2023-01-24T00:00:00"/>
    <n v="79"/>
  </r>
  <r>
    <x v="1016"/>
    <s v="2022-02-01"/>
    <s v="Хоз.товары/бытовая химия"/>
    <n v="203"/>
    <d v="2022-02-01T00:00:00"/>
    <n v="436"/>
  </r>
  <r>
    <x v="1017"/>
    <s v="2022-12-29"/>
    <s v="Хоз.товары/бытовая химия"/>
    <n v="197"/>
    <d v="2022-12-29T00:00:00"/>
    <n v="105"/>
  </r>
  <r>
    <x v="11"/>
    <s v="2020-09-26"/>
    <s v="Уход"/>
    <n v="399"/>
    <d v="2020-09-26T00:00:00"/>
    <n v="929"/>
  </r>
  <r>
    <x v="1018"/>
    <s v="2022-06-22"/>
    <s v="Уход"/>
    <n v="80"/>
    <d v="2022-06-22T00:00:00"/>
    <n v="295"/>
  </r>
  <r>
    <x v="1019"/>
    <s v="2021-08-29"/>
    <s v="Уход за волосами"/>
    <n v="449"/>
    <d v="2021-08-29T00:00:00"/>
    <n v="592"/>
  </r>
  <r>
    <x v="944"/>
    <s v="2019-12-27"/>
    <s v="Уход"/>
    <n v="477"/>
    <d v="2019-12-27T00:00:00"/>
    <n v="1203"/>
  </r>
  <r>
    <x v="1020"/>
    <s v="2022-02-12"/>
    <s v="Для дома"/>
    <n v="4080"/>
    <d v="2022-02-12T00:00:00"/>
    <n v="425"/>
  </r>
  <r>
    <x v="1021"/>
    <s v="2023-02-26"/>
    <s v="Уход"/>
    <n v="3691"/>
    <d v="2023-02-26T00:00:00"/>
    <n v="46"/>
  </r>
  <r>
    <x v="1022"/>
    <s v="2021-12-09"/>
    <s v="Уход за волосами"/>
    <n v="4265"/>
    <d v="2021-12-09T00:00:00"/>
    <n v="490"/>
  </r>
  <r>
    <x v="1023"/>
    <s v="2022-12-04"/>
    <s v="Уход за волосами"/>
    <n v="592"/>
    <d v="2022-12-04T00:00:00"/>
    <n v="130"/>
  </r>
  <r>
    <x v="1024"/>
    <s v="2023-03-26"/>
    <s v="Детский мир"/>
    <n v="691"/>
    <d v="2023-03-26T00:00:00"/>
    <n v="18"/>
  </r>
  <r>
    <x v="1025"/>
    <s v="2021-02-24"/>
    <s v="Уход за волосами"/>
    <n v="4760"/>
    <d v="2021-02-24T00:00:00"/>
    <n v="778"/>
  </r>
  <r>
    <x v="267"/>
    <s v="2021-04-05"/>
    <s v="Уход"/>
    <n v="1044"/>
    <d v="2021-04-05T00:00:00"/>
    <n v="738"/>
  </r>
  <r>
    <x v="1026"/>
    <s v="2020-09-14"/>
    <s v="Одежда и аксессуары"/>
    <n v="409"/>
    <d v="2020-09-14T00:00:00"/>
    <n v="941"/>
  </r>
  <r>
    <x v="1027"/>
    <s v="2022-08-01"/>
    <s v="Хоз.товары/бытовая химия"/>
    <n v="49"/>
    <d v="2022-08-01T00:00:00"/>
    <n v="255"/>
  </r>
  <r>
    <x v="1028"/>
    <s v="2021-03-01"/>
    <s v="Уход за волосами"/>
    <n v="1930"/>
    <d v="2021-03-01T00:00:00"/>
    <n v="773"/>
  </r>
  <r>
    <x v="1029"/>
    <s v="2022-09-26"/>
    <s v="Уход за волосами"/>
    <n v="419"/>
    <d v="2022-09-26T00:00:00"/>
    <n v="199"/>
  </r>
  <r>
    <x v="1030"/>
    <s v="2022-06-19"/>
    <s v="Уход"/>
    <n v="199"/>
    <d v="2022-06-19T00:00:00"/>
    <n v="298"/>
  </r>
  <r>
    <x v="34"/>
    <s v="2018-02-27"/>
    <s v="Уход"/>
    <n v="922799"/>
    <d v="2018-02-27T00:00:00"/>
    <n v="1871"/>
  </r>
  <r>
    <x v="1031"/>
    <s v="2022-08-15"/>
    <s v="Уход"/>
    <n v="1107"/>
    <d v="2022-08-15T00:00:00"/>
    <n v="241"/>
  </r>
  <r>
    <x v="1032"/>
    <s v="2021-10-03"/>
    <s v="Уход за волосами"/>
    <n v="903"/>
    <d v="2021-10-03T00:00:00"/>
    <n v="557"/>
  </r>
  <r>
    <x v="1033"/>
    <s v="2020-03-05"/>
    <s v="Макияж"/>
    <n v="544"/>
    <d v="2020-03-05T00:00:00"/>
    <n v="1134"/>
  </r>
  <r>
    <x v="34"/>
    <s v="2016-12-21"/>
    <s v="Для дома"/>
    <n v="454909.1"/>
    <d v="2016-12-21T00:00:00"/>
    <n v="2304"/>
  </r>
  <r>
    <x v="1034"/>
    <s v="2021-04-20"/>
    <s v="Уход за волосами"/>
    <n v="6387"/>
    <d v="2021-04-20T00:00:00"/>
    <n v="723"/>
  </r>
  <r>
    <x v="499"/>
    <s v="2022-11-03"/>
    <s v="Уход"/>
    <n v="4206"/>
    <d v="2022-11-03T00:00:00"/>
    <n v="161"/>
  </r>
  <r>
    <x v="1035"/>
    <s v="2022-09-30"/>
    <s v="Для дома"/>
    <n v="1690"/>
    <d v="2022-09-30T00:00:00"/>
    <n v="195"/>
  </r>
  <r>
    <x v="1036"/>
    <s v="2021-12-10"/>
    <s v="Уход за волосами"/>
    <n v="643"/>
    <d v="2021-12-10T00:00:00"/>
    <n v="489"/>
  </r>
  <r>
    <x v="1037"/>
    <s v="2020-04-30"/>
    <s v="Уход"/>
    <n v="1380"/>
    <d v="2020-04-30T00:00:00"/>
    <n v="1078"/>
  </r>
  <r>
    <x v="1038"/>
    <s v="2023-01-01"/>
    <s v="Для дома"/>
    <n v="1482"/>
    <d v="2023-01-01T00:00:00"/>
    <n v="102"/>
  </r>
  <r>
    <x v="1039"/>
    <s v="2021-10-21"/>
    <s v="Уход"/>
    <n v="234"/>
    <d v="2021-10-21T00:00:00"/>
    <n v="539"/>
  </r>
  <r>
    <x v="1040"/>
    <s v="2020-05-27"/>
    <s v="Хоз.товары/бытовая химия"/>
    <n v="164"/>
    <d v="2020-05-27T00:00:00"/>
    <n v="1051"/>
  </r>
  <r>
    <x v="1041"/>
    <s v="2021-08-19"/>
    <s v="Уход"/>
    <n v="459"/>
    <d v="2021-08-19T00:00:00"/>
    <n v="602"/>
  </r>
  <r>
    <x v="1042"/>
    <s v="2022-06-28"/>
    <s v="Для дома"/>
    <n v="824"/>
    <d v="2022-06-28T00:00:00"/>
    <n v="289"/>
  </r>
  <r>
    <x v="1043"/>
    <s v="2022-04-20"/>
    <s v="Уход за волосами"/>
    <n v="220"/>
    <d v="2022-04-20T00:00:00"/>
    <n v="358"/>
  </r>
  <r>
    <x v="1044"/>
    <s v="2019-10-26"/>
    <s v="Детский мир"/>
    <n v="186"/>
    <d v="2019-10-26T00:00:00"/>
    <n v="1265"/>
  </r>
  <r>
    <x v="70"/>
    <s v="2022-10-04"/>
    <s v="Детский мир"/>
    <n v="837"/>
    <d v="2022-10-04T00:00:00"/>
    <n v="191"/>
  </r>
  <r>
    <x v="1045"/>
    <s v="2020-03-11"/>
    <s v="Одежда и аксессуары"/>
    <n v="199"/>
    <d v="2020-03-11T00:00:00"/>
    <n v="1128"/>
  </r>
  <r>
    <x v="1046"/>
    <s v="2021-10-07"/>
    <s v="Уход за волосами"/>
    <n v="1365"/>
    <d v="2021-10-07T00:00:00"/>
    <n v="553"/>
  </r>
  <r>
    <x v="1047"/>
    <s v="2020-07-02"/>
    <s v="Детский мир"/>
    <n v="207"/>
    <d v="2020-07-02T00:00:00"/>
    <n v="1015"/>
  </r>
  <r>
    <x v="1048"/>
    <s v="2020-07-03"/>
    <s v="Макияж"/>
    <n v="561"/>
    <d v="2020-07-03T00:00:00"/>
    <n v="1014"/>
  </r>
  <r>
    <x v="244"/>
    <s v="2021-07-18"/>
    <s v="Уход за волосами"/>
    <n v="1379"/>
    <d v="2021-07-18T00:00:00"/>
    <n v="634"/>
  </r>
  <r>
    <x v="50"/>
    <s v="2020-09-05"/>
    <s v="Одежда и аксессуары"/>
    <n v="1111"/>
    <d v="2020-09-05T00:00:00"/>
    <n v="950"/>
  </r>
  <r>
    <x v="1049"/>
    <s v="2020-03-25"/>
    <s v="Уход"/>
    <n v="14193"/>
    <d v="2020-03-25T00:00:00"/>
    <n v="1114"/>
  </r>
  <r>
    <x v="1050"/>
    <s v="2021-12-21"/>
    <s v="Уход за волосами"/>
    <n v="1408"/>
    <d v="2021-12-21T00:00:00"/>
    <n v="478"/>
  </r>
  <r>
    <x v="124"/>
    <s v="2022-05-21"/>
    <s v="Уход за волосами"/>
    <n v="9679"/>
    <d v="2022-05-21T00:00:00"/>
    <n v="327"/>
  </r>
  <r>
    <x v="370"/>
    <s v="2021-10-20"/>
    <s v="Уход за волосами"/>
    <n v="3921"/>
    <d v="2021-10-20T00:00:00"/>
    <n v="540"/>
  </r>
  <r>
    <x v="1051"/>
    <s v="2022-03-23"/>
    <s v="Уход"/>
    <n v="2572"/>
    <d v="2022-03-23T00:00:00"/>
    <n v="386"/>
  </r>
  <r>
    <x v="1052"/>
    <s v="2021-08-11"/>
    <s v="Уход за волосами"/>
    <n v="2440"/>
    <d v="2021-08-11T00:00:00"/>
    <n v="610"/>
  </r>
  <r>
    <x v="1053"/>
    <s v="2023-04-10"/>
    <s v="Уход за волосами"/>
    <n v="33198"/>
    <d v="2023-04-10T00:00:00"/>
    <n v="3"/>
  </r>
  <r>
    <x v="1054"/>
    <s v="2023-03-22"/>
    <s v="Для дома"/>
    <n v="1740"/>
    <d v="2023-03-22T00:00:00"/>
    <n v="22"/>
  </r>
  <r>
    <x v="1055"/>
    <s v="2023-01-04"/>
    <s v="Для дома"/>
    <n v="177.33"/>
    <d v="2023-01-04T00:00:00"/>
    <n v="99"/>
  </r>
  <r>
    <x v="567"/>
    <s v="2020-09-30"/>
    <s v="Уход"/>
    <n v="436"/>
    <d v="2020-09-30T00:00:00"/>
    <n v="925"/>
  </r>
  <r>
    <x v="1056"/>
    <s v="2021-05-04"/>
    <s v="Уход за волосами"/>
    <n v="1357"/>
    <d v="2021-05-04T00:00:00"/>
    <n v="709"/>
  </r>
  <r>
    <x v="1057"/>
    <s v="2020-03-13"/>
    <s v="Для дома"/>
    <n v="268"/>
    <d v="2020-03-13T00:00:00"/>
    <n v="1126"/>
  </r>
  <r>
    <x v="660"/>
    <s v="2022-07-29"/>
    <s v="Уход"/>
    <n v="699"/>
    <d v="2022-07-29T00:00:00"/>
    <n v="258"/>
  </r>
  <r>
    <x v="1058"/>
    <s v="2022-10-20"/>
    <s v="Уход за волосами"/>
    <n v="0"/>
    <d v="2022-10-20T00:00:00"/>
    <n v="175"/>
  </r>
  <r>
    <x v="552"/>
    <s v="2021-10-21"/>
    <s v="Уход за волосами"/>
    <n v="2671"/>
    <d v="2021-10-21T00:00:00"/>
    <n v="539"/>
  </r>
  <r>
    <x v="1059"/>
    <s v="2023-03-04"/>
    <s v="Для дома"/>
    <n v="1530"/>
    <d v="2023-03-04T00:00:00"/>
    <n v="40"/>
  </r>
  <r>
    <x v="1060"/>
    <s v="2021-08-07"/>
    <s v="Уход"/>
    <n v="846"/>
    <d v="2021-08-07T00:00:00"/>
    <n v="614"/>
  </r>
  <r>
    <x v="1061"/>
    <s v="2022-06-21"/>
    <s v="Уход за волосами"/>
    <n v="1591"/>
    <d v="2022-06-21T00:00:00"/>
    <n v="296"/>
  </r>
  <r>
    <x v="101"/>
    <s v="2022-01-15"/>
    <s v="Уход"/>
    <n v="1800"/>
    <d v="2022-01-15T00:00:00"/>
    <n v="453"/>
  </r>
  <r>
    <x v="1062"/>
    <s v="2021-11-20"/>
    <s v="Уход за волосами"/>
    <n v="3289"/>
    <d v="2021-11-20T00:00:00"/>
    <n v="509"/>
  </r>
  <r>
    <x v="34"/>
    <s v="2016-08-06"/>
    <s v="Одежда и аксессуары"/>
    <n v="147132"/>
    <d v="2016-08-06T00:00:00"/>
    <n v="2441"/>
  </r>
  <r>
    <x v="1063"/>
    <s v="2021-09-22"/>
    <s v="Для дома"/>
    <n v="228"/>
    <d v="2021-09-22T00:00:00"/>
    <n v="568"/>
  </r>
  <r>
    <x v="1053"/>
    <s v="2022-11-08"/>
    <s v="Для дома"/>
    <n v="1542"/>
    <d v="2022-11-08T00:00:00"/>
    <n v="156"/>
  </r>
  <r>
    <x v="1064"/>
    <s v="2022-05-19"/>
    <s v="Уход"/>
    <n v="3033"/>
    <d v="2022-05-19T00:00:00"/>
    <n v="329"/>
  </r>
  <r>
    <x v="1065"/>
    <s v="2019-11-27"/>
    <s v="Для дома"/>
    <n v="478"/>
    <d v="2019-11-27T00:00:00"/>
    <n v="1233"/>
  </r>
  <r>
    <x v="1066"/>
    <s v="2020-03-19"/>
    <s v="Одежда и аксессуары"/>
    <n v="224"/>
    <d v="2020-03-19T00:00:00"/>
    <n v="1120"/>
  </r>
  <r>
    <x v="1067"/>
    <s v="2022-09-29"/>
    <s v="Уход"/>
    <n v="1538"/>
    <d v="2022-09-29T00:00:00"/>
    <n v="196"/>
  </r>
  <r>
    <x v="1068"/>
    <s v="2021-01-21"/>
    <s v="Уход за волосами"/>
    <n v="6550"/>
    <d v="2021-01-21T00:00:00"/>
    <n v="812"/>
  </r>
  <r>
    <x v="1069"/>
    <s v="2022-06-29"/>
    <s v="Уход за волосами"/>
    <n v="938"/>
    <d v="2022-06-29T00:00:00"/>
    <n v="288"/>
  </r>
  <r>
    <x v="1070"/>
    <s v="2020-06-26"/>
    <s v="Уход за волосами"/>
    <n v="2150"/>
    <d v="2020-06-26T00:00:00"/>
    <n v="1021"/>
  </r>
  <r>
    <x v="1071"/>
    <s v="2020-02-10"/>
    <s v="Хоз.товары/бытовая химия"/>
    <n v="78"/>
    <d v="2020-02-10T00:00:00"/>
    <n v="1158"/>
  </r>
  <r>
    <x v="305"/>
    <s v="2022-05-19"/>
    <s v="Уход"/>
    <n v="629"/>
    <d v="2022-05-19T00:00:00"/>
    <n v="329"/>
  </r>
  <r>
    <x v="34"/>
    <s v="2018-01-25"/>
    <s v="Для дома"/>
    <n v="300973.5"/>
    <d v="2018-01-25T00:00:00"/>
    <n v="1904"/>
  </r>
  <r>
    <x v="1072"/>
    <s v="2021-04-18"/>
    <s v="Уход"/>
    <n v="2083"/>
    <d v="2021-04-18T00:00:00"/>
    <n v="725"/>
  </r>
  <r>
    <x v="678"/>
    <s v="2021-06-22"/>
    <s v="Уход за волосами"/>
    <n v="4101"/>
    <d v="2021-06-22T00:00:00"/>
    <n v="660"/>
  </r>
  <r>
    <x v="1073"/>
    <s v="2023-01-14"/>
    <s v="Уход за волосами"/>
    <n v="1406"/>
    <d v="2023-01-14T00:00:00"/>
    <n v="89"/>
  </r>
  <r>
    <x v="1008"/>
    <s v="2022-04-08"/>
    <s v="Уход за волосами"/>
    <n v="4149"/>
    <d v="2022-04-08T00:00:00"/>
    <n v="370"/>
  </r>
  <r>
    <x v="34"/>
    <s v="2019-07-12"/>
    <s v="Хоз.товары/бытовая химия"/>
    <n v="52717.46"/>
    <d v="2019-07-12T00:00:00"/>
    <n v="1371"/>
  </r>
  <r>
    <x v="1074"/>
    <s v="2021-04-22"/>
    <s v="Уход за волосами"/>
    <n v="2622"/>
    <d v="2021-04-22T00:00:00"/>
    <n v="721"/>
  </r>
  <r>
    <x v="1075"/>
    <s v="2021-05-20"/>
    <s v="Уход"/>
    <n v="2556"/>
    <d v="2021-05-20T00:00:00"/>
    <n v="693"/>
  </r>
  <r>
    <x v="1076"/>
    <s v="2022-04-17"/>
    <s v="Уход"/>
    <n v="478"/>
    <d v="2022-04-17T00:00:00"/>
    <n v="361"/>
  </r>
  <r>
    <x v="1077"/>
    <s v="2020-12-21"/>
    <s v="Уход за волосами"/>
    <n v="270"/>
    <d v="2020-12-21T00:00:00"/>
    <n v="843"/>
  </r>
  <r>
    <x v="1078"/>
    <s v="2021-04-15"/>
    <s v="Уход за волосами"/>
    <n v="1524"/>
    <d v="2021-04-15T00:00:00"/>
    <n v="728"/>
  </r>
  <r>
    <x v="931"/>
    <s v="2020-10-16"/>
    <s v="Для дома"/>
    <n v="55"/>
    <d v="2020-10-16T00:00:00"/>
    <n v="909"/>
  </r>
  <r>
    <x v="129"/>
    <s v="2021-11-25"/>
    <s v="Для дома"/>
    <n v="5592"/>
    <d v="2021-11-25T00:00:00"/>
    <n v="504"/>
  </r>
  <r>
    <x v="409"/>
    <s v="2022-12-30"/>
    <s v="Для дома"/>
    <n v="1294"/>
    <d v="2022-12-30T00:00:00"/>
    <n v="104"/>
  </r>
  <r>
    <x v="1079"/>
    <s v="2021-12-13"/>
    <s v="Уход за волосами"/>
    <n v="803"/>
    <d v="2021-12-13T00:00:00"/>
    <n v="486"/>
  </r>
  <r>
    <x v="1080"/>
    <s v="2021-10-13"/>
    <s v="Уход"/>
    <n v="6297"/>
    <d v="2021-10-13T00:00:00"/>
    <n v="547"/>
  </r>
  <r>
    <x v="577"/>
    <s v="2022-02-27"/>
    <s v="Уход"/>
    <n v="460"/>
    <d v="2022-02-27T00:00:00"/>
    <n v="410"/>
  </r>
  <r>
    <x v="1081"/>
    <s v="2022-12-31"/>
    <s v="Уход за волосами"/>
    <n v="9672"/>
    <d v="2022-12-31T00:00:00"/>
    <n v="103"/>
  </r>
  <r>
    <x v="268"/>
    <s v="2020-01-09"/>
    <s v="Уход"/>
    <n v="4401"/>
    <d v="2020-01-09T00:00:00"/>
    <n v="1190"/>
  </r>
  <r>
    <x v="1082"/>
    <s v="2020-09-08"/>
    <s v="Уход"/>
    <n v="1199"/>
    <d v="2020-09-08T00:00:00"/>
    <n v="947"/>
  </r>
  <r>
    <x v="1083"/>
    <s v="2022-02-18"/>
    <s v="Уход"/>
    <n v="299"/>
    <d v="2022-02-18T00:00:00"/>
    <n v="419"/>
  </r>
  <r>
    <x v="1084"/>
    <s v="2022-03-16"/>
    <s v="Хоз.товары/бытовая химия"/>
    <n v="49"/>
    <d v="2022-03-16T00:00:00"/>
    <n v="393"/>
  </r>
  <r>
    <x v="1085"/>
    <s v="2020-02-27"/>
    <s v="Уход за волосами"/>
    <n v="1527"/>
    <d v="2020-02-27T00:00:00"/>
    <n v="1141"/>
  </r>
  <r>
    <x v="1086"/>
    <s v="2020-03-05"/>
    <s v="Хоз.товары/бытовая химия"/>
    <n v="67"/>
    <d v="2020-03-05T00:00:00"/>
    <n v="1134"/>
  </r>
  <r>
    <x v="1087"/>
    <s v="2022-06-11"/>
    <s v="Уход за волосами"/>
    <n v="2370"/>
    <d v="2022-06-11T00:00:00"/>
    <n v="306"/>
  </r>
  <r>
    <x v="918"/>
    <s v="2022-08-27"/>
    <s v="Одежда и аксессуары"/>
    <n v="7600"/>
    <d v="2022-08-27T00:00:00"/>
    <n v="229"/>
  </r>
  <r>
    <x v="1088"/>
    <s v="2020-07-27"/>
    <s v="Уход за волосами"/>
    <n v="445"/>
    <d v="2020-07-27T00:00:00"/>
    <n v="990"/>
  </r>
  <r>
    <x v="1089"/>
    <s v="2020-05-09"/>
    <s v="Уход"/>
    <n v="2075"/>
    <d v="2020-05-09T00:00:00"/>
    <n v="1069"/>
  </r>
  <r>
    <x v="1090"/>
    <s v="2023-01-02"/>
    <s v="Уход"/>
    <n v="1295"/>
    <d v="2023-01-02T00:00:00"/>
    <n v="101"/>
  </r>
  <r>
    <x v="1091"/>
    <s v="2023-03-01"/>
    <s v="Макияж"/>
    <n v="2970"/>
    <d v="2023-03-01T00:00:00"/>
    <n v="43"/>
  </r>
  <r>
    <x v="432"/>
    <s v="2022-05-30"/>
    <s v="Уход"/>
    <n v="697"/>
    <d v="2022-05-30T00:00:00"/>
    <n v="318"/>
  </r>
  <r>
    <x v="1092"/>
    <s v="2022-12-17"/>
    <s v="Уход за волосами"/>
    <n v="3944"/>
    <d v="2022-12-17T00:00:00"/>
    <n v="117"/>
  </r>
  <r>
    <x v="1093"/>
    <s v="2022-01-23"/>
    <s v="Для дома"/>
    <n v="690"/>
    <d v="2022-01-23T00:00:00"/>
    <n v="445"/>
  </r>
  <r>
    <x v="1094"/>
    <s v="2021-08-23"/>
    <s v="Уход за волосами"/>
    <n v="355"/>
    <d v="2021-08-23T00:00:00"/>
    <n v="598"/>
  </r>
  <r>
    <x v="1095"/>
    <s v="2022-11-18"/>
    <s v="Уход"/>
    <n v="420"/>
    <d v="2022-11-18T00:00:00"/>
    <n v="146"/>
  </r>
  <r>
    <x v="57"/>
    <s v="2022-05-04"/>
    <s v="Уход"/>
    <n v="1744"/>
    <d v="2022-05-04T00:00:00"/>
    <n v="344"/>
  </r>
  <r>
    <x v="1096"/>
    <s v="2022-05-28"/>
    <s v="Для дома"/>
    <n v="218"/>
    <d v="2022-05-28T00:00:00"/>
    <n v="320"/>
  </r>
  <r>
    <x v="1097"/>
    <s v="2022-10-29"/>
    <s v="Хоз.товары/бытовая химия"/>
    <n v="660"/>
    <d v="2022-10-29T00:00:00"/>
    <n v="166"/>
  </r>
  <r>
    <x v="1082"/>
    <s v="2019-06-17"/>
    <s v="Уход"/>
    <n v="1078"/>
    <d v="2019-06-17T00:00:00"/>
    <n v="1396"/>
  </r>
  <r>
    <x v="817"/>
    <s v="2023-01-03"/>
    <s v="Уход за волосами"/>
    <n v="2467"/>
    <d v="2023-01-03T00:00:00"/>
    <n v="100"/>
  </r>
  <r>
    <x v="1098"/>
    <s v="2019-10-29"/>
    <s v="Уход за волосами"/>
    <n v="1022"/>
    <d v="2019-10-29T00:00:00"/>
    <n v="1262"/>
  </r>
  <r>
    <x v="1099"/>
    <s v="2020-08-27"/>
    <s v="Уход"/>
    <n v="258"/>
    <d v="2020-08-27T00:00:00"/>
    <n v="959"/>
  </r>
  <r>
    <x v="1100"/>
    <s v="2023-04-08"/>
    <s v="Уход за волосами"/>
    <n v="3958"/>
    <d v="2023-04-08T00:00:00"/>
    <n v="5"/>
  </r>
  <r>
    <x v="1101"/>
    <s v="2022-09-25"/>
    <s v="Для дома"/>
    <n v="1468"/>
    <d v="2022-09-25T00:00:00"/>
    <n v="200"/>
  </r>
  <r>
    <x v="1102"/>
    <s v="2021-03-08"/>
    <s v="Макияж"/>
    <n v="565"/>
    <d v="2021-03-08T00:00:00"/>
    <n v="766"/>
  </r>
  <r>
    <x v="1103"/>
    <s v="2022-06-27"/>
    <s v="Уход"/>
    <n v="48"/>
    <d v="2022-06-27T00:00:00"/>
    <n v="290"/>
  </r>
  <r>
    <x v="1104"/>
    <s v="2022-10-31"/>
    <s v="Уход"/>
    <n v="1333"/>
    <d v="2022-10-31T00:00:00"/>
    <n v="164"/>
  </r>
  <r>
    <x v="187"/>
    <s v="2021-07-13"/>
    <s v="Уход"/>
    <n v="6362"/>
    <d v="2021-07-13T00:00:00"/>
    <n v="639"/>
  </r>
  <r>
    <x v="1105"/>
    <s v="2022-02-01"/>
    <s v="Уход"/>
    <n v="1028"/>
    <d v="2022-02-01T00:00:00"/>
    <n v="436"/>
  </r>
  <r>
    <x v="1106"/>
    <s v="2020-01-14"/>
    <s v="Уход за волосами"/>
    <n v="199"/>
    <d v="2020-01-14T00:00:00"/>
    <n v="1185"/>
  </r>
  <r>
    <x v="1107"/>
    <s v="2023-02-10"/>
    <s v="Уход"/>
    <n v="148"/>
    <d v="2023-02-10T00:00:00"/>
    <n v="62"/>
  </r>
  <r>
    <x v="1108"/>
    <s v="2021-02-25"/>
    <s v="Для дома"/>
    <n v="168"/>
    <d v="2021-02-25T00:00:00"/>
    <n v="777"/>
  </r>
  <r>
    <x v="1109"/>
    <s v="2023-04-07"/>
    <s v="Уход за волосами"/>
    <n v="2731"/>
    <d v="2023-04-07T00:00:00"/>
    <n v="6"/>
  </r>
  <r>
    <x v="1110"/>
    <s v="2022-10-10"/>
    <s v="Уход"/>
    <n v="767"/>
    <d v="2022-10-10T00:00:00"/>
    <n v="185"/>
  </r>
  <r>
    <x v="1111"/>
    <s v="2021-05-21"/>
    <s v="Уход"/>
    <n v="900"/>
    <d v="2021-05-21T00:00:00"/>
    <n v="692"/>
  </r>
  <r>
    <x v="386"/>
    <s v="2023-02-12"/>
    <s v="Уход"/>
    <n v="6573"/>
    <d v="2023-02-12T00:00:00"/>
    <n v="60"/>
  </r>
  <r>
    <x v="1112"/>
    <s v="2021-06-20"/>
    <s v="Детский мир"/>
    <n v="400"/>
    <d v="2021-06-20T00:00:00"/>
    <n v="662"/>
  </r>
  <r>
    <x v="1113"/>
    <s v="2020-07-09"/>
    <s v="Уход"/>
    <n v="699"/>
    <d v="2020-07-09T00:00:00"/>
    <n v="1008"/>
  </r>
  <r>
    <x v="1114"/>
    <s v="2020-10-18"/>
    <s v="Хоз.товары/бытовая химия"/>
    <n v="258"/>
    <d v="2020-10-18T00:00:00"/>
    <n v="907"/>
  </r>
  <r>
    <x v="1115"/>
    <s v="2021-09-26"/>
    <s v="Уход"/>
    <n v="655"/>
    <d v="2021-09-26T00:00:00"/>
    <n v="564"/>
  </r>
  <r>
    <x v="1116"/>
    <s v="2020-01-21"/>
    <s v="Одежда и аксессуары"/>
    <n v="259"/>
    <d v="2020-01-21T00:00:00"/>
    <n v="1178"/>
  </r>
  <r>
    <x v="1117"/>
    <s v="2023-04-06"/>
    <s v="Одежда и аксессуары"/>
    <n v="573"/>
    <d v="2023-04-06T00:00:00"/>
    <n v="7"/>
  </r>
  <r>
    <x v="1118"/>
    <s v="2022-02-23"/>
    <s v="Уход за волосами"/>
    <n v="1663"/>
    <d v="2022-02-23T00:00:00"/>
    <n v="414"/>
  </r>
  <r>
    <x v="1119"/>
    <s v="2020-08-03"/>
    <s v="Уход за волосами"/>
    <n v="1696"/>
    <d v="2020-08-03T00:00:00"/>
    <n v="983"/>
  </r>
  <r>
    <x v="317"/>
    <s v="2021-05-24"/>
    <s v="Уход"/>
    <n v="1490"/>
    <d v="2021-05-24T00:00:00"/>
    <n v="689"/>
  </r>
  <r>
    <x v="1120"/>
    <s v="2020-01-11"/>
    <s v="Уход"/>
    <n v="1733"/>
    <d v="2020-01-11T00:00:00"/>
    <n v="1188"/>
  </r>
  <r>
    <x v="1121"/>
    <s v="2021-11-13"/>
    <s v="Уход за волосами"/>
    <n v="70"/>
    <d v="2021-11-13T00:00:00"/>
    <n v="516"/>
  </r>
  <r>
    <x v="34"/>
    <s v="2016-12-10"/>
    <s v="Парфюмерия"/>
    <n v="2245"/>
    <d v="2016-12-10T00:00:00"/>
    <n v="2315"/>
  </r>
  <r>
    <x v="1122"/>
    <s v="2022-11-17"/>
    <s v="Уход"/>
    <n v="3040"/>
    <d v="2022-11-17T00:00:00"/>
    <n v="147"/>
  </r>
  <r>
    <x v="1123"/>
    <s v="2021-06-03"/>
    <s v="Уход за волосами"/>
    <n v="0"/>
    <d v="2021-06-03T00:00:00"/>
    <n v="679"/>
  </r>
  <r>
    <x v="614"/>
    <s v="2021-12-29"/>
    <s v="Для дома"/>
    <n v="208"/>
    <d v="2021-12-29T00:00:00"/>
    <n v="470"/>
  </r>
  <r>
    <x v="1124"/>
    <s v="2022-10-19"/>
    <s v="Уход"/>
    <n v="560"/>
    <d v="2022-10-19T00:00:00"/>
    <n v="176"/>
  </r>
  <r>
    <x v="914"/>
    <s v="2023-04-07"/>
    <s v="Уход за волосами"/>
    <n v="1320"/>
    <d v="2023-04-07T00:00:00"/>
    <n v="6"/>
  </r>
  <r>
    <x v="995"/>
    <s v="2021-02-04"/>
    <s v="Хоз.товары/бытовая химия"/>
    <n v="29"/>
    <d v="2021-02-04T00:00:00"/>
    <n v="798"/>
  </r>
  <r>
    <x v="21"/>
    <s v="2020-05-30"/>
    <s v="Уход"/>
    <n v="2645"/>
    <d v="2020-05-30T00:00:00"/>
    <n v="1048"/>
  </r>
  <r>
    <x v="1125"/>
    <s v="2022-07-16"/>
    <s v="Уход"/>
    <n v="2490"/>
    <d v="2022-07-16T00:00:00"/>
    <n v="271"/>
  </r>
  <r>
    <x v="1126"/>
    <s v="2020-07-27"/>
    <s v="Одежда и аксессуары"/>
    <n v="147"/>
    <d v="2020-07-27T00:00:00"/>
    <n v="990"/>
  </r>
  <r>
    <x v="1127"/>
    <s v="2020-06-09"/>
    <s v="Уход"/>
    <n v="863"/>
    <d v="2020-06-09T00:00:00"/>
    <n v="1038"/>
  </r>
  <r>
    <x v="847"/>
    <s v="2020-02-15"/>
    <s v="Уход"/>
    <n v="540"/>
    <d v="2020-02-15T00:00:00"/>
    <n v="1153"/>
  </r>
  <r>
    <x v="100"/>
    <s v="2020-07-09"/>
    <s v="Для дома"/>
    <n v="2010"/>
    <d v="2020-07-09T00:00:00"/>
    <n v="1008"/>
  </r>
  <r>
    <x v="1128"/>
    <s v="2022-02-10"/>
    <s v="Уход"/>
    <n v="2030"/>
    <d v="2022-02-10T00:00:00"/>
    <n v="427"/>
  </r>
  <r>
    <x v="1129"/>
    <s v="2021-08-02"/>
    <s v="Уход за волосами"/>
    <n v="1160"/>
    <d v="2021-08-02T00:00:00"/>
    <n v="619"/>
  </r>
  <r>
    <x v="1130"/>
    <s v="2020-12-25"/>
    <s v="Хоз.товары/бытовая химия"/>
    <n v="117"/>
    <d v="2020-12-25T00:00:00"/>
    <n v="839"/>
  </r>
  <r>
    <x v="932"/>
    <s v="2021-09-25"/>
    <s v="Макияж"/>
    <n v="109"/>
    <d v="2021-09-25T00:00:00"/>
    <n v="565"/>
  </r>
  <r>
    <x v="1008"/>
    <s v="2022-10-22"/>
    <s v="Макияж"/>
    <n v="2150"/>
    <d v="2022-10-22T00:00:00"/>
    <n v="173"/>
  </r>
  <r>
    <x v="1131"/>
    <s v="2021-08-14"/>
    <s v="Уход за волосами"/>
    <n v="1948"/>
    <d v="2021-08-14T00:00:00"/>
    <n v="607"/>
  </r>
  <r>
    <x v="57"/>
    <s v="2022-08-16"/>
    <s v="Уход за волосами"/>
    <n v="4472"/>
    <d v="2022-08-16T00:00:00"/>
    <n v="240"/>
  </r>
  <r>
    <x v="1132"/>
    <s v="2022-06-07"/>
    <s v="Для дома"/>
    <n v="129"/>
    <d v="2022-06-07T00:00:00"/>
    <n v="310"/>
  </r>
  <r>
    <x v="1133"/>
    <s v="2021-03-03"/>
    <s v="Уход"/>
    <n v="1314"/>
    <d v="2021-03-03T00:00:00"/>
    <n v="771"/>
  </r>
  <r>
    <x v="228"/>
    <s v="2020-02-12"/>
    <s v="Уход"/>
    <n v="1084"/>
    <d v="2020-02-12T00:00:00"/>
    <n v="1156"/>
  </r>
  <r>
    <x v="1134"/>
    <s v="2019-11-20"/>
    <s v="Уход"/>
    <n v="15714"/>
    <d v="2019-11-20T00:00:00"/>
    <n v="1240"/>
  </r>
  <r>
    <x v="1135"/>
    <s v="2022-04-13"/>
    <s v="Уход"/>
    <n v="1490"/>
    <d v="2022-04-13T00:00:00"/>
    <n v="365"/>
  </r>
  <r>
    <x v="1136"/>
    <s v="2021-04-27"/>
    <s v="Макияж"/>
    <n v="449"/>
    <d v="2021-04-27T00:00:00"/>
    <n v="716"/>
  </r>
  <r>
    <x v="1137"/>
    <s v="2022-07-23"/>
    <s v="Уход"/>
    <n v="5091"/>
    <d v="2022-07-23T00:00:00"/>
    <n v="264"/>
  </r>
  <r>
    <x v="1138"/>
    <s v="2022-09-03"/>
    <s v="Уход за волосами"/>
    <n v="821"/>
    <d v="2022-09-03T00:00:00"/>
    <n v="222"/>
  </r>
  <r>
    <x v="1139"/>
    <s v="2019-07-18"/>
    <s v="Уход за волосами"/>
    <n v="3300"/>
    <d v="2019-07-18T00:00:00"/>
    <n v="1365"/>
  </r>
  <r>
    <x v="1140"/>
    <s v="2021-03-20"/>
    <s v="Уход за волосами"/>
    <n v="3184"/>
    <d v="2021-03-20T00:00:00"/>
    <n v="754"/>
  </r>
  <r>
    <x v="1141"/>
    <s v="2022-12-27"/>
    <s v="Уход за волосами"/>
    <n v="276"/>
    <d v="2022-12-27T00:00:00"/>
    <n v="107"/>
  </r>
  <r>
    <x v="1142"/>
    <s v="2020-03-07"/>
    <s v="Уход"/>
    <n v="900"/>
    <d v="2020-03-07T00:00:00"/>
    <n v="1132"/>
  </r>
  <r>
    <x v="34"/>
    <s v="2020-11-15"/>
    <s v="Уход за волосами"/>
    <n v="804216.2"/>
    <d v="2020-11-15T00:00:00"/>
    <n v="879"/>
  </r>
  <r>
    <x v="943"/>
    <s v="2022-06-19"/>
    <s v="Уход за волосами"/>
    <n v="1449"/>
    <d v="2022-06-19T00:00:00"/>
    <n v="298"/>
  </r>
  <r>
    <x v="93"/>
    <s v="2021-07-08"/>
    <s v="Уход"/>
    <n v="269"/>
    <d v="2021-07-08T00:00:00"/>
    <n v="644"/>
  </r>
  <r>
    <x v="1143"/>
    <s v="2022-05-06"/>
    <s v="Уход за волосами"/>
    <n v="1242"/>
    <d v="2022-05-06T00:00:00"/>
    <n v="342"/>
  </r>
  <r>
    <x v="175"/>
    <s v="2022-06-02"/>
    <s v="Уход"/>
    <n v="183"/>
    <d v="2022-06-02T00:00:00"/>
    <n v="315"/>
  </r>
  <r>
    <x v="1144"/>
    <s v="2022-11-09"/>
    <s v="Одежда и аксессуары"/>
    <n v="726"/>
    <d v="2022-11-09T00:00:00"/>
    <n v="155"/>
  </r>
  <r>
    <x v="1145"/>
    <s v="2023-04-03"/>
    <s v="Уход"/>
    <n v="1404"/>
    <d v="2023-04-03T00:00:00"/>
    <n v="10"/>
  </r>
  <r>
    <x v="1146"/>
    <s v="2021-12-10"/>
    <s v="Для дома"/>
    <n v="151"/>
    <d v="2021-12-10T00:00:00"/>
    <n v="489"/>
  </r>
  <r>
    <x v="1147"/>
    <s v="2020-03-09"/>
    <s v="Уход"/>
    <n v="402"/>
    <d v="2020-03-09T00:00:00"/>
    <n v="1130"/>
  </r>
  <r>
    <x v="1148"/>
    <s v="2019-12-27"/>
    <s v="Уход"/>
    <n v="870"/>
    <d v="2019-12-27T00:00:00"/>
    <n v="1203"/>
  </r>
  <r>
    <x v="989"/>
    <s v="2022-04-27"/>
    <s v="Уход"/>
    <n v="710"/>
    <d v="2022-04-27T00:00:00"/>
    <n v="351"/>
  </r>
  <r>
    <x v="81"/>
    <s v="2020-02-15"/>
    <s v="Уход"/>
    <n v="475"/>
    <d v="2020-02-15T00:00:00"/>
    <n v="1153"/>
  </r>
  <r>
    <x v="502"/>
    <s v="2022-04-17"/>
    <s v="Уход за волосами"/>
    <n v="1032"/>
    <d v="2022-04-17T00:00:00"/>
    <n v="361"/>
  </r>
  <r>
    <x v="902"/>
    <s v="2022-05-05"/>
    <s v="Уход за волосами"/>
    <n v="547"/>
    <d v="2022-05-05T00:00:00"/>
    <n v="343"/>
  </r>
  <r>
    <x v="1149"/>
    <s v="2021-07-17"/>
    <s v="Детский мир"/>
    <n v="572"/>
    <d v="2021-07-17T00:00:00"/>
    <n v="635"/>
  </r>
  <r>
    <x v="1150"/>
    <s v="2022-11-16"/>
    <s v="Уход"/>
    <n v="1448"/>
    <d v="2022-11-16T00:00:00"/>
    <n v="148"/>
  </r>
  <r>
    <x v="1151"/>
    <s v="2021-07-24"/>
    <s v="Уход за волосами"/>
    <n v="7003"/>
    <d v="2021-07-24T00:00:00"/>
    <n v="628"/>
  </r>
  <r>
    <x v="89"/>
    <s v="2020-06-29"/>
    <s v="Уход"/>
    <n v="435"/>
    <d v="2020-06-29T00:00:00"/>
    <n v="1018"/>
  </r>
  <r>
    <x v="1152"/>
    <s v="2022-10-28"/>
    <s v="Хоз.товары/бытовая химия"/>
    <n v="97"/>
    <d v="2022-10-28T00:00:00"/>
    <n v="167"/>
  </r>
  <r>
    <x v="1153"/>
    <s v="2021-10-31"/>
    <s v="Одежда и аксессуары"/>
    <n v="565"/>
    <d v="2021-10-31T00:00:00"/>
    <n v="529"/>
  </r>
  <r>
    <x v="1154"/>
    <s v="2021-08-09"/>
    <s v="Уход"/>
    <n v="3139"/>
    <d v="2021-08-09T00:00:00"/>
    <n v="612"/>
  </r>
  <r>
    <x v="1155"/>
    <s v="2022-02-06"/>
    <s v="Уход"/>
    <n v="2793"/>
    <d v="2022-02-06T00:00:00"/>
    <n v="431"/>
  </r>
  <r>
    <x v="877"/>
    <s v="2020-03-24"/>
    <s v="Для дома"/>
    <n v="482"/>
    <d v="2020-03-24T00:00:00"/>
    <n v="1115"/>
  </r>
  <r>
    <x v="1156"/>
    <s v="2023-02-12"/>
    <s v="Уход"/>
    <n v="1170"/>
    <d v="2023-02-12T00:00:00"/>
    <n v="60"/>
  </r>
  <r>
    <x v="1157"/>
    <s v="2022-12-25"/>
    <s v="Уход"/>
    <n v="579"/>
    <d v="2022-12-25T00:00:00"/>
    <n v="109"/>
  </r>
  <r>
    <x v="147"/>
    <s v="2022-09-06"/>
    <s v="Уход"/>
    <n v="796"/>
    <d v="2022-09-06T00:00:00"/>
    <n v="219"/>
  </r>
  <r>
    <x v="1158"/>
    <s v="2021-10-15"/>
    <s v="Уход за волосами"/>
    <n v="597"/>
    <d v="2021-10-15T00:00:00"/>
    <n v="545"/>
  </r>
  <r>
    <x v="1159"/>
    <s v="2021-05-09"/>
    <s v="Одежда и аксессуары"/>
    <n v="389"/>
    <d v="2021-05-09T00:00:00"/>
    <n v="704"/>
  </r>
  <r>
    <x v="1160"/>
    <s v="2022-10-31"/>
    <s v="Уход за волосами"/>
    <n v="1001"/>
    <d v="2022-10-31T00:00:00"/>
    <n v="164"/>
  </r>
  <r>
    <x v="34"/>
    <s v="2017-06-28"/>
    <s v="Уход за волосами"/>
    <n v="1792407.54"/>
    <d v="2017-06-28T00:00:00"/>
    <n v="2115"/>
  </r>
  <r>
    <x v="1161"/>
    <s v="2023-02-16"/>
    <s v="Уход за волосами"/>
    <n v="1563"/>
    <d v="2023-02-16T00:00:00"/>
    <n v="56"/>
  </r>
  <r>
    <x v="1162"/>
    <s v="2020-08-19"/>
    <s v="Уход"/>
    <n v="413"/>
    <d v="2020-08-19T00:00:00"/>
    <n v="967"/>
  </r>
  <r>
    <x v="1163"/>
    <s v="2021-10-23"/>
    <s v="Макияж"/>
    <n v="654"/>
    <d v="2021-10-23T00:00:00"/>
    <n v="537"/>
  </r>
  <r>
    <x v="1055"/>
    <s v="2021-11-29"/>
    <s v="Уход за волосами"/>
    <n v="1340"/>
    <d v="2021-11-29T00:00:00"/>
    <n v="500"/>
  </r>
  <r>
    <x v="1164"/>
    <s v="2022-02-18"/>
    <s v="Уход"/>
    <n v="110"/>
    <d v="2022-02-18T00:00:00"/>
    <n v="419"/>
  </r>
  <r>
    <x v="289"/>
    <s v="2020-01-15"/>
    <s v="Уход за волосами"/>
    <n v="1015"/>
    <d v="2020-01-15T00:00:00"/>
    <n v="1184"/>
  </r>
  <r>
    <x v="569"/>
    <s v="2022-11-20"/>
    <s v="Уход"/>
    <n v="1125"/>
    <d v="2022-11-20T00:00:00"/>
    <n v="144"/>
  </r>
  <r>
    <x v="775"/>
    <s v="2021-04-30"/>
    <s v="Уход за волосами"/>
    <n v="4490"/>
    <d v="2021-04-30T00:00:00"/>
    <n v="713"/>
  </r>
  <r>
    <x v="1165"/>
    <s v="2020-05-09"/>
    <s v="Уход"/>
    <n v="1657"/>
    <d v="2020-05-09T00:00:00"/>
    <n v="1069"/>
  </r>
  <r>
    <x v="1166"/>
    <s v="2023-03-01"/>
    <s v="Уход"/>
    <n v="2153"/>
    <d v="2023-03-01T00:00:00"/>
    <n v="43"/>
  </r>
  <r>
    <x v="1167"/>
    <s v="2021-05-15"/>
    <s v="Уход"/>
    <n v="1399"/>
    <d v="2021-05-15T00:00:00"/>
    <n v="698"/>
  </r>
  <r>
    <x v="1040"/>
    <s v="2021-07-04"/>
    <s v="Одежда и аксессуары"/>
    <n v="155"/>
    <d v="2021-07-04T00:00:00"/>
    <n v="648"/>
  </r>
  <r>
    <x v="1168"/>
    <s v="2020-09-13"/>
    <s v="Для дома"/>
    <n v="58"/>
    <d v="2020-09-13T00:00:00"/>
    <n v="942"/>
  </r>
  <r>
    <x v="1169"/>
    <s v="2020-10-23"/>
    <s v="Для дома"/>
    <n v="642"/>
    <d v="2020-10-23T00:00:00"/>
    <n v="902"/>
  </r>
  <r>
    <x v="1170"/>
    <s v="2020-09-12"/>
    <s v="Одежда и аксессуары"/>
    <n v="817"/>
    <d v="2020-09-12T00:00:00"/>
    <n v="943"/>
  </r>
  <r>
    <x v="1171"/>
    <s v="2022-06-02"/>
    <s v="Макияж"/>
    <n v="1048"/>
    <d v="2022-06-02T00:00:00"/>
    <n v="315"/>
  </r>
  <r>
    <x v="1172"/>
    <s v="2021-01-21"/>
    <s v="Уход за волосами"/>
    <n v="701"/>
    <d v="2021-01-21T00:00:00"/>
    <n v="812"/>
  </r>
  <r>
    <x v="17"/>
    <s v="2023-02-04"/>
    <s v="Уход"/>
    <n v="2690"/>
    <d v="2023-02-04T00:00:00"/>
    <n v="68"/>
  </r>
  <r>
    <x v="1173"/>
    <s v="2021-10-17"/>
    <s v="Детский мир"/>
    <n v="242"/>
    <d v="2021-10-17T00:00:00"/>
    <n v="543"/>
  </r>
  <r>
    <x v="472"/>
    <s v="2022-02-26"/>
    <s v="Уход за волосами"/>
    <n v="484"/>
    <d v="2022-02-26T00:00:00"/>
    <n v="411"/>
  </r>
  <r>
    <x v="270"/>
    <s v="2022-01-23"/>
    <s v="Макияж"/>
    <n v="990"/>
    <d v="2022-01-23T00:00:00"/>
    <n v="445"/>
  </r>
  <r>
    <x v="1174"/>
    <s v="2022-01-12"/>
    <s v="Для дома"/>
    <n v="25"/>
    <d v="2022-01-12T00:00:00"/>
    <n v="456"/>
  </r>
  <r>
    <x v="215"/>
    <s v="2021-02-01"/>
    <s v="Для дома"/>
    <n v="249"/>
    <d v="2021-02-01T00:00:00"/>
    <n v="801"/>
  </r>
  <r>
    <x v="1175"/>
    <s v="2022-03-20"/>
    <s v="Уход за волосами"/>
    <n v="1595"/>
    <d v="2022-03-20T00:00:00"/>
    <n v="389"/>
  </r>
  <r>
    <x v="1176"/>
    <s v="2021-01-14"/>
    <s v="Уход"/>
    <n v="2075"/>
    <d v="2021-01-14T00:00:00"/>
    <n v="819"/>
  </r>
  <r>
    <x v="690"/>
    <s v="2021-02-25"/>
    <s v="Уход"/>
    <n v="320"/>
    <d v="2021-02-25T00:00:00"/>
    <n v="777"/>
  </r>
  <r>
    <x v="1177"/>
    <s v="2019-10-26"/>
    <s v="Для дома"/>
    <n v="304"/>
    <d v="2019-10-26T00:00:00"/>
    <n v="1265"/>
  </r>
  <r>
    <x v="1135"/>
    <s v="2022-03-14"/>
    <s v="Детский мир"/>
    <n v="330"/>
    <d v="2022-03-14T00:00:00"/>
    <n v="395"/>
  </r>
  <r>
    <x v="259"/>
    <s v="2022-08-23"/>
    <s v="Уход"/>
    <n v="2541"/>
    <d v="2022-08-23T00:00:00"/>
    <n v="233"/>
  </r>
  <r>
    <x v="1040"/>
    <s v="2019-12-17"/>
    <s v="Для дома"/>
    <n v="152"/>
    <d v="2019-12-17T00:00:00"/>
    <n v="1213"/>
  </r>
  <r>
    <x v="188"/>
    <s v="2022-11-15"/>
    <s v="Макияж"/>
    <n v="770"/>
    <d v="2022-11-15T00:00:00"/>
    <n v="149"/>
  </r>
  <r>
    <x v="1178"/>
    <s v="2020-01-23"/>
    <s v="Детский мир"/>
    <n v="317"/>
    <d v="2020-01-23T00:00:00"/>
    <n v="1176"/>
  </r>
  <r>
    <x v="1179"/>
    <s v="2021-04-11"/>
    <s v="Уход за волосами"/>
    <n v="1333"/>
    <d v="2021-04-11T00:00:00"/>
    <n v="732"/>
  </r>
  <r>
    <x v="1180"/>
    <s v="2021-12-11"/>
    <s v="Уход за волосами"/>
    <n v="349"/>
    <d v="2021-12-11T00:00:00"/>
    <n v="488"/>
  </r>
  <r>
    <x v="1030"/>
    <s v="2020-08-08"/>
    <s v="Уход"/>
    <n v="342"/>
    <d v="2020-08-08T00:00:00"/>
    <n v="978"/>
  </r>
  <r>
    <x v="1181"/>
    <s v="2020-08-27"/>
    <s v="Уход за волосами"/>
    <n v="661"/>
    <d v="2020-08-27T00:00:00"/>
    <n v="959"/>
  </r>
  <r>
    <x v="34"/>
    <s v="2020-04-29"/>
    <s v="Хоз.товары/бытовая химия"/>
    <n v="729"/>
    <d v="2020-04-29T00:00:00"/>
    <n v="1079"/>
  </r>
  <r>
    <x v="1182"/>
    <s v="2022-05-28"/>
    <s v="Для дома"/>
    <n v="318"/>
    <d v="2022-05-28T00:00:00"/>
    <n v="320"/>
  </r>
  <r>
    <x v="511"/>
    <s v="2022-07-16"/>
    <s v="Уход"/>
    <n v="358"/>
    <d v="2022-07-16T00:00:00"/>
    <n v="271"/>
  </r>
  <r>
    <x v="1183"/>
    <s v="2022-12-02"/>
    <s v="Уход за волосами"/>
    <n v="1106"/>
    <d v="2022-12-02T00:00:00"/>
    <n v="132"/>
  </r>
  <r>
    <x v="1123"/>
    <s v="2021-10-13"/>
    <s v="Одежда и аксессуары"/>
    <n v="278"/>
    <d v="2021-10-13T00:00:00"/>
    <n v="547"/>
  </r>
  <r>
    <x v="134"/>
    <s v="2021-08-21"/>
    <s v="Для дома"/>
    <n v="590"/>
    <d v="2021-08-21T00:00:00"/>
    <n v="600"/>
  </r>
  <r>
    <x v="1184"/>
    <s v="2022-10-23"/>
    <s v="Уход за волосами"/>
    <n v="1233"/>
    <d v="2022-10-23T00:00:00"/>
    <n v="172"/>
  </r>
  <r>
    <x v="1185"/>
    <s v="2022-05-17"/>
    <s v="Для дома"/>
    <n v="1500"/>
    <d v="2022-05-17T00:00:00"/>
    <n v="331"/>
  </r>
  <r>
    <x v="1186"/>
    <s v="2022-11-27"/>
    <s v="Уход за волосами"/>
    <n v="1402"/>
    <d v="2022-11-27T00:00:00"/>
    <n v="137"/>
  </r>
  <r>
    <x v="1187"/>
    <s v="2020-08-02"/>
    <s v="Уход"/>
    <n v="162"/>
    <d v="2020-08-02T00:00:00"/>
    <n v="984"/>
  </r>
  <r>
    <x v="1188"/>
    <s v="2022-03-27"/>
    <s v="Макияж"/>
    <n v="9165"/>
    <d v="2022-03-27T00:00:00"/>
    <n v="382"/>
  </r>
  <r>
    <x v="1189"/>
    <s v="2021-08-22"/>
    <s v="Уход"/>
    <n v="4130"/>
    <d v="2021-08-22T00:00:00"/>
    <n v="599"/>
  </r>
  <r>
    <x v="503"/>
    <s v="2019-05-23"/>
    <s v="Уход"/>
    <n v="4506"/>
    <d v="2019-05-23T00:00:00"/>
    <n v="1421"/>
  </r>
  <r>
    <x v="1190"/>
    <s v="2023-01-15"/>
    <s v="Уход за волосами"/>
    <n v="177"/>
    <d v="2023-01-15T00:00:00"/>
    <n v="88"/>
  </r>
  <r>
    <x v="1191"/>
    <s v="2021-09-25"/>
    <s v="Уход"/>
    <n v="1378"/>
    <d v="2021-09-25T00:00:00"/>
    <n v="565"/>
  </r>
  <r>
    <x v="34"/>
    <s v="2022-02-06"/>
    <s v="Для дома"/>
    <n v="53008.33"/>
    <d v="2022-02-06T00:00:00"/>
    <n v="431"/>
  </r>
  <r>
    <x v="1192"/>
    <s v="2022-12-09"/>
    <s v="Уход за волосами"/>
    <n v="4890"/>
    <d v="2022-12-09T00:00:00"/>
    <n v="125"/>
  </r>
  <r>
    <x v="517"/>
    <s v="2022-08-01"/>
    <s v="Уход"/>
    <n v="1935"/>
    <d v="2022-08-01T00:00:00"/>
    <n v="255"/>
  </r>
  <r>
    <x v="1193"/>
    <s v="2022-10-13"/>
    <s v="Уход за волосами"/>
    <n v="13024"/>
    <d v="2022-10-13T00:00:00"/>
    <n v="182"/>
  </r>
  <r>
    <x v="34"/>
    <s v="2017-03-24"/>
    <s v="Хоз.товары/бытовая химия"/>
    <n v="50957.4"/>
    <d v="2017-03-24T00:00:00"/>
    <n v="2211"/>
  </r>
  <r>
    <x v="1194"/>
    <s v="2021-02-12"/>
    <s v="Уход"/>
    <n v="497"/>
    <d v="2021-02-12T00:00:00"/>
    <n v="790"/>
  </r>
  <r>
    <x v="1071"/>
    <s v="2023-02-09"/>
    <s v="Уход за волосами"/>
    <n v="405"/>
    <d v="2023-02-09T00:00:00"/>
    <n v="63"/>
  </r>
  <r>
    <x v="1195"/>
    <s v="2020-11-28"/>
    <s v="Уход за волосами"/>
    <n v="3263"/>
    <d v="2020-11-28T00:00:00"/>
    <n v="866"/>
  </r>
  <r>
    <x v="1196"/>
    <s v="2022-06-07"/>
    <s v="Одежда и аксессуары"/>
    <n v="1430"/>
    <d v="2022-06-07T00:00:00"/>
    <n v="310"/>
  </r>
  <r>
    <x v="1197"/>
    <s v="2022-07-06"/>
    <s v="Уход"/>
    <n v="960"/>
    <d v="2022-07-06T00:00:00"/>
    <n v="281"/>
  </r>
  <r>
    <x v="1198"/>
    <s v="2020-11-15"/>
    <s v="Для дома"/>
    <n v="191"/>
    <d v="2020-11-15T00:00:00"/>
    <n v="879"/>
  </r>
  <r>
    <x v="1199"/>
    <s v="2019-11-25"/>
    <s v="Одежда и аксессуары"/>
    <n v="459"/>
    <d v="2019-11-25T00:00:00"/>
    <n v="1235"/>
  </r>
  <r>
    <x v="1200"/>
    <s v="2022-02-22"/>
    <s v="Одежда и аксессуары"/>
    <n v="689"/>
    <d v="2022-02-22T00:00:00"/>
    <n v="415"/>
  </r>
  <r>
    <x v="848"/>
    <s v="2022-10-12"/>
    <s v="Детский мир"/>
    <n v="280"/>
    <d v="2022-10-12T00:00:00"/>
    <n v="183"/>
  </r>
  <r>
    <x v="1201"/>
    <s v="2020-02-06"/>
    <s v="Уход"/>
    <n v="402"/>
    <d v="2020-02-06T00:00:00"/>
    <n v="1162"/>
  </r>
  <r>
    <x v="1202"/>
    <s v="2022-12-04"/>
    <s v="Уход"/>
    <n v="2787"/>
    <d v="2022-12-04T00:00:00"/>
    <n v="130"/>
  </r>
  <r>
    <x v="75"/>
    <s v="2022-11-23"/>
    <s v="Уход"/>
    <n v="390"/>
    <d v="2022-11-23T00:00:00"/>
    <n v="141"/>
  </r>
  <r>
    <x v="1203"/>
    <s v="2021-09-14"/>
    <s v="Уход за волосами"/>
    <n v="234"/>
    <d v="2021-09-14T00:00:00"/>
    <n v="576"/>
  </r>
  <r>
    <x v="1204"/>
    <s v="2022-10-22"/>
    <s v="Уход за волосами"/>
    <n v="595"/>
    <d v="2022-10-22T00:00:00"/>
    <n v="173"/>
  </r>
  <r>
    <x v="1205"/>
    <s v="2019-10-17"/>
    <s v="Для дома"/>
    <n v="132"/>
    <d v="2019-10-17T00:00:00"/>
    <n v="1274"/>
  </r>
  <r>
    <x v="1206"/>
    <s v="2022-03-26"/>
    <s v="Одежда и аксессуары"/>
    <n v="584"/>
    <d v="2022-03-26T00:00:00"/>
    <n v="383"/>
  </r>
  <r>
    <x v="1207"/>
    <s v="2021-02-08"/>
    <s v="Детский мир"/>
    <n v="133"/>
    <d v="2021-02-08T00:00:00"/>
    <n v="794"/>
  </r>
  <r>
    <x v="1208"/>
    <s v="2022-08-26"/>
    <s v="Уход за волосами"/>
    <n v="446"/>
    <d v="2022-08-26T00:00:00"/>
    <n v="230"/>
  </r>
  <r>
    <x v="594"/>
    <s v="2022-09-06"/>
    <s v="Уход за волосами"/>
    <n v="660"/>
    <d v="2022-09-06T00:00:00"/>
    <n v="219"/>
  </r>
  <r>
    <x v="144"/>
    <s v="2022-05-01"/>
    <s v="Уход за волосами"/>
    <n v="1727"/>
    <d v="2022-05-01T00:00:00"/>
    <n v="347"/>
  </r>
  <r>
    <x v="1209"/>
    <s v="2019-09-10"/>
    <s v="Уход за волосами"/>
    <n v="6410"/>
    <d v="2019-09-10T00:00:00"/>
    <n v="1311"/>
  </r>
  <r>
    <x v="1210"/>
    <s v="2023-03-22"/>
    <s v="Уход"/>
    <n v="4251"/>
    <d v="2023-03-22T00:00:00"/>
    <n v="22"/>
  </r>
  <r>
    <x v="1211"/>
    <s v="2021-02-16"/>
    <s v="Уход"/>
    <n v="1810"/>
    <d v="2021-02-16T00:00:00"/>
    <n v="786"/>
  </r>
  <r>
    <x v="1212"/>
    <s v="2020-08-07"/>
    <s v="Уход за волосами"/>
    <n v="260"/>
    <d v="2020-08-07T00:00:00"/>
    <n v="979"/>
  </r>
  <r>
    <x v="1213"/>
    <s v="2022-10-13"/>
    <s v="Уход"/>
    <n v="600"/>
    <d v="2022-10-13T00:00:00"/>
    <n v="182"/>
  </r>
  <r>
    <x v="34"/>
    <s v="2019-08-27"/>
    <s v="Одежда и аксессуары"/>
    <n v="199045"/>
    <d v="2019-08-27T00:00:00"/>
    <n v="1325"/>
  </r>
  <r>
    <x v="1214"/>
    <s v="2022-06-08"/>
    <s v="Уход за волосами"/>
    <n v="1141"/>
    <d v="2022-06-08T00:00:00"/>
    <n v="309"/>
  </r>
  <r>
    <x v="1215"/>
    <s v="2022-09-11"/>
    <s v="Уход за волосами"/>
    <n v="1203"/>
    <d v="2022-09-11T00:00:00"/>
    <n v="214"/>
  </r>
  <r>
    <x v="358"/>
    <s v="2021-01-18"/>
    <s v="Уход за волосами"/>
    <n v="2870"/>
    <d v="2021-01-18T00:00:00"/>
    <n v="815"/>
  </r>
  <r>
    <x v="1216"/>
    <s v="2020-01-30"/>
    <s v="Уход за волосами"/>
    <n v="651"/>
    <d v="2020-01-30T00:00:00"/>
    <n v="1169"/>
  </r>
  <r>
    <x v="1217"/>
    <s v="2022-11-20"/>
    <s v="Уход за волосами"/>
    <n v="850"/>
    <d v="2022-11-20T00:00:00"/>
    <n v="144"/>
  </r>
  <r>
    <x v="1218"/>
    <s v="2023-03-14"/>
    <s v="Для дома"/>
    <n v="780"/>
    <d v="2023-03-14T00:00:00"/>
    <n v="30"/>
  </r>
  <r>
    <x v="1219"/>
    <s v="2020-04-23"/>
    <s v="Уход"/>
    <n v="1410"/>
    <d v="2020-04-23T00:00:00"/>
    <n v="1085"/>
  </r>
  <r>
    <x v="1220"/>
    <s v="2020-10-28"/>
    <s v="Уход"/>
    <n v="103"/>
    <d v="2020-10-28T00:00:00"/>
    <n v="897"/>
  </r>
  <r>
    <x v="1221"/>
    <s v="2021-08-25"/>
    <s v="Уход за волосами"/>
    <n v="413"/>
    <d v="2021-08-25T00:00:00"/>
    <n v="596"/>
  </r>
  <r>
    <x v="1222"/>
    <s v="2021-01-12"/>
    <s v="Уход за волосами"/>
    <n v="1055"/>
    <d v="2021-01-12T00:00:00"/>
    <n v="821"/>
  </r>
  <r>
    <x v="283"/>
    <s v="2019-12-17"/>
    <s v="Уход за волосами"/>
    <n v="493"/>
    <d v="2019-12-17T00:00:00"/>
    <n v="1213"/>
  </r>
  <r>
    <x v="1223"/>
    <s v="2022-11-02"/>
    <s v="Одежда и аксессуары"/>
    <n v="380"/>
    <d v="2022-11-02T00:00:00"/>
    <n v="162"/>
  </r>
  <r>
    <x v="1224"/>
    <s v="2019-08-16"/>
    <s v="Хоз.товары/бытовая химия"/>
    <n v="114"/>
    <d v="2019-08-16T00:00:00"/>
    <n v="1336"/>
  </r>
  <r>
    <x v="1225"/>
    <s v="2022-03-16"/>
    <s v="Уход"/>
    <n v="293"/>
    <d v="2022-03-16T00:00:00"/>
    <n v="393"/>
  </r>
  <r>
    <x v="1226"/>
    <s v="2022-11-08"/>
    <s v="Для дома"/>
    <n v="2190"/>
    <d v="2022-11-08T00:00:00"/>
    <n v="156"/>
  </r>
  <r>
    <x v="1227"/>
    <s v="2021-05-28"/>
    <s v="Уход за волосами"/>
    <n v="1290"/>
    <d v="2021-05-28T00:00:00"/>
    <n v="685"/>
  </r>
  <r>
    <x v="1228"/>
    <s v="2019-12-31"/>
    <s v="Уход за волосами"/>
    <n v="385"/>
    <d v="2019-12-31T00:00:00"/>
    <n v="1199"/>
  </r>
  <r>
    <x v="1229"/>
    <s v="2021-12-29"/>
    <s v="Для дома"/>
    <n v="1380"/>
    <d v="2021-12-29T00:00:00"/>
    <n v="470"/>
  </r>
  <r>
    <x v="1230"/>
    <s v="2021-12-25"/>
    <s v="Уход"/>
    <n v="509"/>
    <d v="2021-12-25T00:00:00"/>
    <n v="474"/>
  </r>
  <r>
    <x v="1231"/>
    <s v="2023-03-13"/>
    <s v="Уход"/>
    <n v="1373"/>
    <d v="2023-03-13T00:00:00"/>
    <n v="31"/>
  </r>
  <r>
    <x v="1232"/>
    <s v="2022-04-12"/>
    <s v="Уход"/>
    <n v="494"/>
    <d v="2022-04-12T00:00:00"/>
    <n v="366"/>
  </r>
  <r>
    <x v="1233"/>
    <s v="2020-02-01"/>
    <s v="Уход"/>
    <n v="999"/>
    <d v="2020-02-01T00:00:00"/>
    <n v="1167"/>
  </r>
  <r>
    <x v="1234"/>
    <s v="2022-10-20"/>
    <s v="Уход за волосами"/>
    <n v="4360"/>
    <d v="2022-10-20T00:00:00"/>
    <n v="175"/>
  </r>
  <r>
    <x v="1235"/>
    <s v="2022-11-09"/>
    <s v="Уход за волосами"/>
    <n v="438"/>
    <d v="2022-11-09T00:00:00"/>
    <n v="155"/>
  </r>
  <r>
    <x v="1236"/>
    <s v="2020-03-14"/>
    <s v="Уход"/>
    <n v="602"/>
    <d v="2020-03-14T00:00:00"/>
    <n v="1125"/>
  </r>
  <r>
    <x v="1237"/>
    <s v="2022-06-18"/>
    <s v="Уход за волосами"/>
    <n v="1309"/>
    <d v="2022-06-18T00:00:00"/>
    <n v="299"/>
  </r>
  <r>
    <x v="1238"/>
    <s v="2021-05-14"/>
    <s v="Уход"/>
    <n v="1890"/>
    <d v="2021-05-14T00:00:00"/>
    <n v="699"/>
  </r>
  <r>
    <x v="1239"/>
    <s v="2021-10-03"/>
    <s v="Для дома"/>
    <n v="19"/>
    <d v="2021-10-03T00:00:00"/>
    <n v="557"/>
  </r>
  <r>
    <x v="1240"/>
    <s v="2020-03-04"/>
    <s v="Уход за волосами"/>
    <n v="1307"/>
    <d v="2020-03-04T00:00:00"/>
    <n v="1135"/>
  </r>
  <r>
    <x v="1241"/>
    <s v="2019-10-13"/>
    <s v="Одежда и аксессуары"/>
    <n v="200"/>
    <d v="2019-10-13T00:00:00"/>
    <n v="1278"/>
  </r>
  <r>
    <x v="957"/>
    <s v="2021-11-29"/>
    <s v="Уход за волосами"/>
    <n v="3543"/>
    <d v="2021-11-29T00:00:00"/>
    <n v="500"/>
  </r>
  <r>
    <x v="293"/>
    <s v="2019-11-20"/>
    <s v="Уход"/>
    <n v="8256"/>
    <d v="2019-11-20T00:00:00"/>
    <n v="1240"/>
  </r>
  <r>
    <x v="1242"/>
    <s v="2022-06-18"/>
    <s v="Уход"/>
    <n v="3966"/>
    <d v="2022-06-18T00:00:00"/>
    <n v="299"/>
  </r>
  <r>
    <x v="1225"/>
    <s v="2023-03-04"/>
    <s v="Уход за волосами"/>
    <n v="8015"/>
    <d v="2023-03-04T00:00:00"/>
    <n v="40"/>
  </r>
  <r>
    <x v="1243"/>
    <s v="2019-10-19"/>
    <s v="Одежда и аксессуары"/>
    <n v="174"/>
    <d v="2019-10-19T00:00:00"/>
    <n v="1272"/>
  </r>
  <r>
    <x v="1244"/>
    <s v="2021-10-22"/>
    <s v="Уход"/>
    <n v="2736"/>
    <d v="2021-10-22T00:00:00"/>
    <n v="538"/>
  </r>
  <r>
    <x v="1245"/>
    <s v="2022-03-30"/>
    <s v="Уход"/>
    <n v="2779"/>
    <d v="2022-03-30T00:00:00"/>
    <n v="379"/>
  </r>
  <r>
    <x v="1246"/>
    <s v="2020-03-09"/>
    <s v="Одежда и аксессуары"/>
    <n v="234"/>
    <d v="2020-03-09T00:00:00"/>
    <n v="1130"/>
  </r>
  <r>
    <x v="1247"/>
    <s v="2022-02-11"/>
    <s v="Уход"/>
    <n v="299"/>
    <d v="2022-02-11T00:00:00"/>
    <n v="426"/>
  </r>
  <r>
    <x v="1248"/>
    <s v="2021-05-09"/>
    <s v="Уход за волосами"/>
    <n v="11097"/>
    <d v="2021-05-09T00:00:00"/>
    <n v="704"/>
  </r>
  <r>
    <x v="777"/>
    <s v="2020-08-05"/>
    <s v="Для дома"/>
    <n v="1300"/>
    <d v="2020-08-05T00:00:00"/>
    <n v="981"/>
  </r>
  <r>
    <x v="1249"/>
    <s v="2022-08-24"/>
    <s v="Макияж"/>
    <n v="190"/>
    <d v="2022-08-24T00:00:00"/>
    <n v="232"/>
  </r>
  <r>
    <x v="1250"/>
    <s v="2022-12-26"/>
    <s v="Уход за волосами"/>
    <n v="14560"/>
    <d v="2022-12-26T00:00:00"/>
    <n v="108"/>
  </r>
  <r>
    <x v="1251"/>
    <s v="2022-12-23"/>
    <s v="Уход"/>
    <n v="1176"/>
    <d v="2022-12-23T00:00:00"/>
    <n v="111"/>
  </r>
  <r>
    <x v="1234"/>
    <s v="2022-02-28"/>
    <s v="Уход"/>
    <n v="2428"/>
    <d v="2022-02-28T00:00:00"/>
    <n v="409"/>
  </r>
  <r>
    <x v="1252"/>
    <s v="2019-12-07"/>
    <s v="Хоз.товары/бытовая химия"/>
    <n v="69"/>
    <d v="2019-12-07T00:00:00"/>
    <n v="1223"/>
  </r>
  <r>
    <x v="464"/>
    <s v="2022-05-05"/>
    <s v="Уход"/>
    <n v="117"/>
    <d v="2022-05-05T00:00:00"/>
    <n v="343"/>
  </r>
  <r>
    <x v="1253"/>
    <s v="2021-10-27"/>
    <s v="Для дома"/>
    <n v="283"/>
    <d v="2021-10-27T00:00:00"/>
    <n v="533"/>
  </r>
  <r>
    <x v="1254"/>
    <s v="2022-11-03"/>
    <s v="Уход"/>
    <n v="3122"/>
    <d v="2022-11-03T00:00:00"/>
    <n v="161"/>
  </r>
  <r>
    <x v="1255"/>
    <s v="2022-10-24"/>
    <s v="Уход"/>
    <n v="640"/>
    <d v="2022-10-24T00:00:00"/>
    <n v="171"/>
  </r>
  <r>
    <x v="1256"/>
    <s v="2020-07-18"/>
    <s v="Уход за волосами"/>
    <n v="2210"/>
    <d v="2020-07-18T00:00:00"/>
    <n v="999"/>
  </r>
  <r>
    <x v="277"/>
    <s v="2021-11-30"/>
    <s v="Уход за волосами"/>
    <n v="326"/>
    <d v="2021-11-30T00:00:00"/>
    <n v="499"/>
  </r>
  <r>
    <x v="1257"/>
    <s v="2021-10-27"/>
    <s v="Детский мир"/>
    <n v="586"/>
    <d v="2021-10-27T00:00:00"/>
    <n v="533"/>
  </r>
  <r>
    <x v="753"/>
    <s v="2021-02-06"/>
    <s v="Хоз.товары/бытовая химия"/>
    <n v="74"/>
    <d v="2021-02-06T00:00:00"/>
    <n v="796"/>
  </r>
  <r>
    <x v="1258"/>
    <s v="2021-11-05"/>
    <s v="Макияж"/>
    <n v="2883"/>
    <d v="2021-11-05T00:00:00"/>
    <n v="524"/>
  </r>
  <r>
    <x v="1259"/>
    <s v="2021-01-08"/>
    <s v="Уход"/>
    <n v="542"/>
    <d v="2021-01-08T00:00:00"/>
    <n v="825"/>
  </r>
  <r>
    <x v="1260"/>
    <s v="2021-02-04"/>
    <s v="Хоз.товары/бытовая химия"/>
    <n v="29"/>
    <d v="2021-02-04T00:00:00"/>
    <n v="798"/>
  </r>
  <r>
    <x v="1261"/>
    <s v="2023-02-09"/>
    <s v="Уход"/>
    <n v="257"/>
    <d v="2023-02-09T00:00:00"/>
    <n v="63"/>
  </r>
  <r>
    <x v="1262"/>
    <s v="2022-03-14"/>
    <s v="Уход"/>
    <n v="2120"/>
    <d v="2022-03-14T00:00:00"/>
    <n v="395"/>
  </r>
  <r>
    <x v="1263"/>
    <s v="2020-07-15"/>
    <s v="Уход"/>
    <n v="1118"/>
    <d v="2020-07-15T00:00:00"/>
    <n v="1002"/>
  </r>
  <r>
    <x v="1264"/>
    <s v="2022-11-06"/>
    <s v="Уход за волосами"/>
    <n v="8717"/>
    <d v="2022-11-06T00:00:00"/>
    <n v="158"/>
  </r>
  <r>
    <x v="1265"/>
    <s v="2023-03-30"/>
    <s v="Уход за волосами"/>
    <n v="2024"/>
    <d v="2023-03-30T00:00:00"/>
    <n v="14"/>
  </r>
  <r>
    <x v="1266"/>
    <s v="2021-11-18"/>
    <s v="Уход за волосами"/>
    <n v="5778"/>
    <d v="2021-11-18T00:00:00"/>
    <n v="511"/>
  </r>
  <r>
    <x v="146"/>
    <s v="2021-02-03"/>
    <s v="Уход за волосами"/>
    <n v="800"/>
    <d v="2021-02-03T00:00:00"/>
    <n v="799"/>
  </r>
  <r>
    <x v="1021"/>
    <s v="2019-10-28"/>
    <s v="Уход за волосами"/>
    <n v="14400"/>
    <d v="2019-10-28T00:00:00"/>
    <n v="1263"/>
  </r>
  <r>
    <x v="1267"/>
    <s v="2022-12-14"/>
    <s v="Одежда и аксессуары"/>
    <n v="18200"/>
    <d v="2022-12-14T00:00:00"/>
    <n v="120"/>
  </r>
  <r>
    <x v="1268"/>
    <s v="2022-10-13"/>
    <s v="Детский мир"/>
    <n v="624"/>
    <d v="2022-10-13T00:00:00"/>
    <n v="182"/>
  </r>
  <r>
    <x v="1269"/>
    <s v="2021-02-06"/>
    <s v="Уход за волосами"/>
    <n v="1248"/>
    <d v="2021-02-06T00:00:00"/>
    <n v="796"/>
  </r>
  <r>
    <x v="1270"/>
    <s v="2022-12-18"/>
    <s v="Уход за волосами"/>
    <n v="1890"/>
    <d v="2022-12-18T00:00:00"/>
    <n v="116"/>
  </r>
  <r>
    <x v="1271"/>
    <s v="2020-12-11"/>
    <s v="Для дома"/>
    <n v="847"/>
    <d v="2020-12-11T00:00:00"/>
    <n v="853"/>
  </r>
  <r>
    <x v="1272"/>
    <s v="2022-10-15"/>
    <s v="Для дома"/>
    <n v="13"/>
    <d v="2022-10-15T00:00:00"/>
    <n v="180"/>
  </r>
  <r>
    <x v="1144"/>
    <s v="2022-06-15"/>
    <s v="Для дома"/>
    <n v="354"/>
    <d v="2022-06-15T00:00:00"/>
    <n v="302"/>
  </r>
  <r>
    <x v="201"/>
    <s v="2019-11-28"/>
    <s v="Уход"/>
    <n v="180"/>
    <d v="2019-11-28T00:00:00"/>
    <n v="1232"/>
  </r>
  <r>
    <x v="710"/>
    <s v="2021-04-05"/>
    <s v="Уход"/>
    <n v="398"/>
    <d v="2021-04-05T00:00:00"/>
    <n v="738"/>
  </r>
  <r>
    <x v="844"/>
    <s v="2021-11-15"/>
    <s v="Уход"/>
    <n v="190"/>
    <d v="2021-11-15T00:00:00"/>
    <n v="514"/>
  </r>
  <r>
    <x v="1273"/>
    <s v="2023-03-30"/>
    <s v="Макияж"/>
    <n v="990"/>
    <d v="2023-03-30T00:00:00"/>
    <n v="14"/>
  </r>
  <r>
    <x v="34"/>
    <s v="2016-03-03"/>
    <s v="Уход"/>
    <n v="562291"/>
    <d v="2016-03-03T00:00:00"/>
    <n v="2597"/>
  </r>
  <r>
    <x v="1274"/>
    <s v="2020-10-23"/>
    <s v="Уход"/>
    <n v="957"/>
    <d v="2020-10-23T00:00:00"/>
    <n v="902"/>
  </r>
  <r>
    <x v="1275"/>
    <s v="2022-05-29"/>
    <s v="Уход за волосами"/>
    <n v="721"/>
    <d v="2022-05-29T00:00:00"/>
    <n v="319"/>
  </r>
  <r>
    <x v="1276"/>
    <s v="2021-11-18"/>
    <s v="Уход"/>
    <n v="1169"/>
    <d v="2021-11-18T00:00:00"/>
    <n v="511"/>
  </r>
  <r>
    <x v="614"/>
    <s v="2020-07-31"/>
    <s v="Для дома"/>
    <n v="96"/>
    <d v="2020-07-31T00:00:00"/>
    <n v="986"/>
  </r>
  <r>
    <x v="1277"/>
    <s v="2023-03-28"/>
    <s v="Уход"/>
    <n v="796"/>
    <d v="2023-03-28T00:00:00"/>
    <n v="16"/>
  </r>
  <r>
    <x v="1278"/>
    <s v="2023-01-09"/>
    <s v="Хоз.товары/бытовая химия"/>
    <n v="539"/>
    <d v="2023-01-09T00:00:00"/>
    <n v="94"/>
  </r>
  <r>
    <x v="1279"/>
    <s v="2022-04-12"/>
    <s v="Уход"/>
    <n v="1590"/>
    <d v="2022-04-12T00:00:00"/>
    <n v="366"/>
  </r>
  <r>
    <x v="1280"/>
    <s v="2021-05-05"/>
    <s v="Уход"/>
    <n v="2157"/>
    <d v="2021-05-05T00:00:00"/>
    <n v="708"/>
  </r>
  <r>
    <x v="107"/>
    <s v="2020-12-07"/>
    <s v="Уход"/>
    <n v="3735"/>
    <d v="2020-12-07T00:00:00"/>
    <n v="857"/>
  </r>
  <r>
    <x v="1281"/>
    <s v="2021-01-20"/>
    <s v="Уход за волосами"/>
    <n v="723"/>
    <d v="2021-01-20T00:00:00"/>
    <n v="813"/>
  </r>
  <r>
    <x v="1282"/>
    <s v="2020-02-16"/>
    <s v="Уход"/>
    <n v="120"/>
    <d v="2020-02-16T00:00:00"/>
    <n v="1152"/>
  </r>
  <r>
    <x v="1283"/>
    <s v="2022-09-15"/>
    <s v="Уход за волосами"/>
    <n v="296"/>
    <d v="2022-09-15T00:00:00"/>
    <n v="210"/>
  </r>
  <r>
    <x v="1284"/>
    <s v="2022-08-09"/>
    <s v="Уход за волосами"/>
    <n v="1752"/>
    <d v="2022-08-09T00:00:00"/>
    <n v="247"/>
  </r>
  <r>
    <x v="720"/>
    <s v="2022-04-19"/>
    <s v="Уход"/>
    <n v="198"/>
    <d v="2022-04-19T00:00:00"/>
    <n v="359"/>
  </r>
  <r>
    <x v="898"/>
    <s v="2020-12-20"/>
    <s v="Уход"/>
    <n v="299"/>
    <d v="2020-12-20T00:00:00"/>
    <n v="844"/>
  </r>
  <r>
    <x v="1285"/>
    <s v="2022-06-17"/>
    <s v="Уход за волосами"/>
    <n v="889"/>
    <d v="2022-06-17T00:00:00"/>
    <n v="300"/>
  </r>
  <r>
    <x v="507"/>
    <s v="2022-11-10"/>
    <s v="Детский мир"/>
    <n v="1170"/>
    <d v="2022-11-10T00:00:00"/>
    <n v="154"/>
  </r>
  <r>
    <x v="305"/>
    <s v="2022-10-29"/>
    <s v="Уход"/>
    <n v="580"/>
    <d v="2022-10-29T00:00:00"/>
    <n v="166"/>
  </r>
  <r>
    <x v="1286"/>
    <s v="2020-05-17"/>
    <s v="Для дома"/>
    <n v="36"/>
    <d v="2020-05-17T00:00:00"/>
    <n v="1061"/>
  </r>
  <r>
    <x v="1029"/>
    <s v="2020-08-30"/>
    <s v="Для дома"/>
    <n v="440"/>
    <d v="2020-08-30T00:00:00"/>
    <n v="956"/>
  </r>
  <r>
    <x v="1287"/>
    <s v="2023-01-14"/>
    <s v="Уход за волосами"/>
    <n v="1291"/>
    <d v="2023-01-14T00:00:00"/>
    <n v="89"/>
  </r>
  <r>
    <x v="1288"/>
    <s v="2022-08-02"/>
    <s v="Уход"/>
    <n v="435"/>
    <d v="2022-08-02T00:00:00"/>
    <n v="254"/>
  </r>
  <r>
    <x v="1289"/>
    <s v="2021-05-14"/>
    <s v="Уход за волосами"/>
    <n v="2390"/>
    <d v="2021-05-14T00:00:00"/>
    <n v="699"/>
  </r>
  <r>
    <x v="523"/>
    <s v="2022-05-04"/>
    <s v="Хоз.товары/бытовая химия"/>
    <n v="39"/>
    <d v="2022-05-04T00:00:00"/>
    <n v="344"/>
  </r>
  <r>
    <x v="1290"/>
    <s v="2020-02-07"/>
    <s v="Уход"/>
    <n v="1265"/>
    <d v="2020-02-07T00:00:00"/>
    <n v="1161"/>
  </r>
  <r>
    <x v="1291"/>
    <s v="2022-08-16"/>
    <s v="Уход за волосами"/>
    <n v="7799"/>
    <d v="2022-08-16T00:00:00"/>
    <n v="240"/>
  </r>
  <r>
    <x v="1292"/>
    <s v="2023-04-12"/>
    <s v="Уход за волосами"/>
    <n v="8810"/>
    <d v="2023-04-12T00:00:00"/>
    <n v="1"/>
  </r>
  <r>
    <x v="1293"/>
    <s v="2020-08-09"/>
    <s v="Уход за волосами"/>
    <n v="620"/>
    <d v="2020-08-09T00:00:00"/>
    <n v="977"/>
  </r>
  <r>
    <x v="34"/>
    <s v="2018-11-12"/>
    <s v="Уход"/>
    <n v="1248900.6000000001"/>
    <d v="2018-11-12T00:00:00"/>
    <n v="1613"/>
  </r>
  <r>
    <x v="1294"/>
    <s v="2022-04-13"/>
    <s v="Макияж"/>
    <n v="3000"/>
    <d v="2022-04-13T00:00:00"/>
    <n v="365"/>
  </r>
  <r>
    <x v="1295"/>
    <s v="2021-11-13"/>
    <s v="Уход"/>
    <n v="1319"/>
    <d v="2021-11-13T00:00:00"/>
    <n v="516"/>
  </r>
  <r>
    <x v="1296"/>
    <s v="2022-10-13"/>
    <s v="Уход за волосами"/>
    <n v="445"/>
    <d v="2022-10-13T00:00:00"/>
    <n v="182"/>
  </r>
  <r>
    <x v="1297"/>
    <s v="2022-01-02"/>
    <s v="Уход за волосами"/>
    <n v="3080"/>
    <d v="2022-01-02T00:00:00"/>
    <n v="466"/>
  </r>
  <r>
    <x v="1298"/>
    <s v="2020-02-12"/>
    <s v="Уход"/>
    <n v="1354"/>
    <d v="2020-02-12T00:00:00"/>
    <n v="1156"/>
  </r>
  <r>
    <x v="220"/>
    <s v="2022-05-07"/>
    <s v="Уход"/>
    <n v="199"/>
    <d v="2022-05-07T00:00:00"/>
    <n v="341"/>
  </r>
  <r>
    <x v="1299"/>
    <s v="2020-10-18"/>
    <s v="Уход"/>
    <n v="6975"/>
    <d v="2020-10-18T00:00:00"/>
    <n v="907"/>
  </r>
  <r>
    <x v="1300"/>
    <s v="2021-06-09"/>
    <s v="Макияж"/>
    <n v="1761"/>
    <d v="2021-06-09T00:00:00"/>
    <n v="673"/>
  </r>
  <r>
    <x v="1301"/>
    <s v="2021-05-11"/>
    <s v="Уход за волосами"/>
    <n v="660"/>
    <d v="2021-05-11T00:00:00"/>
    <n v="702"/>
  </r>
  <r>
    <x v="686"/>
    <s v="2022-11-03"/>
    <s v="Уход"/>
    <n v="3601"/>
    <d v="2022-11-03T00:00:00"/>
    <n v="161"/>
  </r>
  <r>
    <x v="746"/>
    <s v="2021-11-13"/>
    <s v="Макияж"/>
    <n v="644"/>
    <d v="2021-11-13T00:00:00"/>
    <n v="516"/>
  </r>
  <r>
    <x v="758"/>
    <s v="2023-01-29"/>
    <s v="Уход за волосами"/>
    <n v="249"/>
    <d v="2023-01-29T00:00:00"/>
    <n v="74"/>
  </r>
  <r>
    <x v="1302"/>
    <s v="2020-11-15"/>
    <s v="Одежда и аксессуары"/>
    <n v="387"/>
    <d v="2020-11-15T00:00:00"/>
    <n v="879"/>
  </r>
  <r>
    <x v="104"/>
    <s v="2022-05-21"/>
    <s v="Уход"/>
    <n v="670"/>
    <d v="2022-05-21T00:00:00"/>
    <n v="327"/>
  </r>
  <r>
    <x v="1303"/>
    <s v="2022-02-08"/>
    <s v="Уход"/>
    <n v="129"/>
    <d v="2022-02-08T00:00:00"/>
    <n v="429"/>
  </r>
  <r>
    <x v="1304"/>
    <s v="2022-06-09"/>
    <s v="Уход"/>
    <n v="160"/>
    <d v="2022-06-09T00:00:00"/>
    <n v="308"/>
  </r>
  <r>
    <x v="1305"/>
    <s v="2019-11-03"/>
    <s v="Уход за волосами"/>
    <n v="2190"/>
    <d v="2019-11-03T00:00:00"/>
    <n v="1257"/>
  </r>
  <r>
    <x v="1306"/>
    <s v="2022-09-02"/>
    <s v="Для дома"/>
    <n v="806"/>
    <d v="2022-09-02T00:00:00"/>
    <n v="223"/>
  </r>
  <r>
    <x v="1307"/>
    <s v="2020-07-31"/>
    <s v="Уход за волосами"/>
    <n v="6210"/>
    <d v="2020-07-31T00:00:00"/>
    <n v="986"/>
  </r>
  <r>
    <x v="1308"/>
    <s v="2022-10-23"/>
    <s v="Уход"/>
    <n v="2600"/>
    <d v="2022-10-23T00:00:00"/>
    <n v="172"/>
  </r>
  <r>
    <x v="1309"/>
    <s v="2022-09-18"/>
    <s v="Уход за волосами"/>
    <n v="5640"/>
    <d v="2022-09-18T00:00:00"/>
    <n v="207"/>
  </r>
  <r>
    <x v="1310"/>
    <s v="2022-06-06"/>
    <s v="Уход"/>
    <n v="398"/>
    <d v="2022-06-06T00:00:00"/>
    <n v="311"/>
  </r>
  <r>
    <x v="34"/>
    <s v="2017-02-05"/>
    <s v="Детский мир"/>
    <n v="160550.20000000001"/>
    <d v="2017-02-05T00:00:00"/>
    <n v="2258"/>
  </r>
  <r>
    <x v="1311"/>
    <s v="2021-09-15"/>
    <s v="Уход"/>
    <n v="6640"/>
    <d v="2021-09-15T00:00:00"/>
    <n v="575"/>
  </r>
  <r>
    <x v="627"/>
    <s v="2021-09-22"/>
    <s v="Уход"/>
    <n v="326"/>
    <d v="2021-09-22T00:00:00"/>
    <n v="568"/>
  </r>
  <r>
    <x v="1312"/>
    <s v="2020-12-27"/>
    <s v="Уход"/>
    <n v="1069"/>
    <d v="2020-12-27T00:00:00"/>
    <n v="837"/>
  </r>
  <r>
    <x v="1313"/>
    <s v="2021-08-19"/>
    <s v="Уход"/>
    <n v="510"/>
    <d v="2021-08-19T00:00:00"/>
    <n v="602"/>
  </r>
  <r>
    <x v="1314"/>
    <s v="2022-10-10"/>
    <s v="Для дома"/>
    <n v="0"/>
    <d v="2022-10-10T00:00:00"/>
    <n v="185"/>
  </r>
  <r>
    <x v="1315"/>
    <s v="2022-07-13"/>
    <s v="Уход"/>
    <n v="278"/>
    <d v="2022-07-13T00:00:00"/>
    <n v="274"/>
  </r>
  <r>
    <x v="1316"/>
    <s v="2022-10-20"/>
    <s v="Уход"/>
    <n v="1893"/>
    <d v="2022-10-20T00:00:00"/>
    <n v="175"/>
  </r>
  <r>
    <x v="646"/>
    <s v="2022-01-19"/>
    <s v="Хоз.товары/бытовая химия"/>
    <n v="53"/>
    <d v="2022-01-19T00:00:00"/>
    <n v="449"/>
  </r>
  <r>
    <x v="1317"/>
    <s v="2023-01-05"/>
    <s v="Для дома"/>
    <n v="647"/>
    <d v="2023-01-05T00:00:00"/>
    <n v="98"/>
  </r>
  <r>
    <x v="150"/>
    <s v="2021-03-17"/>
    <s v="Уход"/>
    <n v="3799"/>
    <d v="2021-03-17T00:00:00"/>
    <n v="757"/>
  </r>
  <r>
    <x v="1318"/>
    <s v="2022-10-31"/>
    <s v="Хоз.товары/бытовая химия"/>
    <n v="144"/>
    <d v="2022-10-31T00:00:00"/>
    <n v="164"/>
  </r>
  <r>
    <x v="1319"/>
    <s v="2019-12-03"/>
    <s v="Хоз.товары/бытовая химия"/>
    <n v="138"/>
    <d v="2019-12-03T00:00:00"/>
    <n v="1227"/>
  </r>
  <r>
    <x v="1320"/>
    <s v="2020-05-31"/>
    <s v="Хоз.товары/бытовая химия"/>
    <n v="112"/>
    <d v="2020-05-31T00:00:00"/>
    <n v="1047"/>
  </r>
  <r>
    <x v="1321"/>
    <s v="2021-08-05"/>
    <s v="Для дома"/>
    <n v="1250"/>
    <d v="2021-08-05T00:00:00"/>
    <n v="616"/>
  </r>
  <r>
    <x v="1322"/>
    <s v="2021-12-15"/>
    <s v="Уход"/>
    <n v="790"/>
    <d v="2021-12-15T00:00:00"/>
    <n v="484"/>
  </r>
  <r>
    <x v="1244"/>
    <s v="2020-09-08"/>
    <s v="Макияж"/>
    <n v="668"/>
    <d v="2020-09-08T00:00:00"/>
    <n v="947"/>
  </r>
  <r>
    <x v="1201"/>
    <s v="2020-03-27"/>
    <s v="Уход за волосами"/>
    <n v="256"/>
    <d v="2020-03-27T00:00:00"/>
    <n v="1112"/>
  </r>
  <r>
    <x v="1323"/>
    <s v="2023-01-19"/>
    <s v="Уход"/>
    <n v="770"/>
    <d v="2023-01-19T00:00:00"/>
    <n v="84"/>
  </r>
  <r>
    <x v="1324"/>
    <s v="2022-09-02"/>
    <s v="Уход"/>
    <n v="345"/>
    <d v="2022-09-02T00:00:00"/>
    <n v="223"/>
  </r>
  <r>
    <x v="1325"/>
    <s v="2020-01-08"/>
    <s v="Уход"/>
    <n v="2075"/>
    <d v="2020-01-08T00:00:00"/>
    <n v="1191"/>
  </r>
  <r>
    <x v="1326"/>
    <s v="2022-01-13"/>
    <s v="Уход"/>
    <n v="4390"/>
    <d v="2022-01-13T00:00:00"/>
    <n v="455"/>
  </r>
  <r>
    <x v="1327"/>
    <s v="2023-03-05"/>
    <s v="Для дома"/>
    <n v="2086"/>
    <d v="2023-03-05T00:00:00"/>
    <n v="39"/>
  </r>
  <r>
    <x v="1328"/>
    <s v="2023-01-22"/>
    <s v="Уход"/>
    <n v="1090"/>
    <d v="2023-01-22T00:00:00"/>
    <n v="81"/>
  </r>
  <r>
    <x v="1329"/>
    <s v="2021-10-30"/>
    <s v="Уход за волосами"/>
    <n v="144"/>
    <d v="2021-10-30T00:00:00"/>
    <n v="530"/>
  </r>
  <r>
    <x v="1330"/>
    <s v="2022-07-26"/>
    <s v="Для дома"/>
    <n v="855"/>
    <d v="2022-07-26T00:00:00"/>
    <n v="261"/>
  </r>
  <r>
    <x v="1331"/>
    <s v="2020-10-29"/>
    <s v="Уход за волосами"/>
    <n v="380"/>
    <d v="2020-10-29T00:00:00"/>
    <n v="896"/>
  </r>
  <r>
    <x v="1332"/>
    <s v="2020-02-06"/>
    <s v="Уход за волосами"/>
    <n v="135"/>
    <d v="2020-02-06T00:00:00"/>
    <n v="1162"/>
  </r>
  <r>
    <x v="1020"/>
    <s v="2022-03-01"/>
    <s v="Уход за волосами"/>
    <n v="740"/>
    <d v="2022-03-01T00:00:00"/>
    <n v="408"/>
  </r>
  <r>
    <x v="34"/>
    <s v="2020-09-03"/>
    <s v="Детский мир"/>
    <n v="10350"/>
    <d v="2020-09-03T00:00:00"/>
    <n v="952"/>
  </r>
  <r>
    <x v="1333"/>
    <s v="2022-12-25"/>
    <s v="Для дома"/>
    <n v="56"/>
    <d v="2022-12-25T00:00:00"/>
    <n v="109"/>
  </r>
  <r>
    <x v="1000"/>
    <s v="2022-08-03"/>
    <s v="Макияж"/>
    <n v="217"/>
    <d v="2022-08-03T00:00:00"/>
    <n v="253"/>
  </r>
  <r>
    <x v="1334"/>
    <s v="2022-06-27"/>
    <s v="Для дома"/>
    <n v="129"/>
    <d v="2022-06-27T00:00:00"/>
    <n v="290"/>
  </r>
  <r>
    <x v="1335"/>
    <s v="2023-03-03"/>
    <s v="Уход за волосами"/>
    <n v="6315"/>
    <d v="2023-03-03T00:00:00"/>
    <n v="41"/>
  </r>
  <r>
    <x v="1336"/>
    <s v="2022-02-21"/>
    <s v="Одежда и аксессуары"/>
    <n v="563"/>
    <d v="2022-02-21T00:00:00"/>
    <n v="416"/>
  </r>
  <r>
    <x v="388"/>
    <s v="2022-06-30"/>
    <s v="Хоз.товары/бытовая химия"/>
    <n v="90"/>
    <d v="2022-06-30T00:00:00"/>
    <n v="287"/>
  </r>
  <r>
    <x v="1337"/>
    <s v="2021-11-27"/>
    <s v="Уход за волосами"/>
    <n v="180"/>
    <d v="2021-11-27T00:00:00"/>
    <n v="502"/>
  </r>
  <r>
    <x v="863"/>
    <s v="2021-07-15"/>
    <s v="Хоз.товары/бытовая химия"/>
    <n v="29"/>
    <d v="2021-07-15T00:00:00"/>
    <n v="637"/>
  </r>
  <r>
    <x v="1338"/>
    <s v="2020-02-04"/>
    <s v="Для дома"/>
    <n v="914"/>
    <d v="2020-02-04T00:00:00"/>
    <n v="1164"/>
  </r>
  <r>
    <x v="1339"/>
    <s v="2019-12-29"/>
    <s v="Одежда и аксессуары"/>
    <n v="316"/>
    <d v="2019-12-29T00:00:00"/>
    <n v="1201"/>
  </r>
  <r>
    <x v="1340"/>
    <s v="2023-03-07"/>
    <s v="Уход"/>
    <n v="2592"/>
    <d v="2023-03-07T00:00:00"/>
    <n v="37"/>
  </r>
  <r>
    <x v="1341"/>
    <s v="2020-06-12"/>
    <s v="Уход"/>
    <n v="597"/>
    <d v="2020-06-12T00:00:00"/>
    <n v="1035"/>
  </r>
  <r>
    <x v="1342"/>
    <s v="2022-12-28"/>
    <s v="Уход"/>
    <n v="2191"/>
    <d v="2022-12-28T00:00:00"/>
    <n v="106"/>
  </r>
  <r>
    <x v="1343"/>
    <s v="2023-03-02"/>
    <s v="Уход"/>
    <n v="1029"/>
    <d v="2023-03-02T00:00:00"/>
    <n v="42"/>
  </r>
  <r>
    <x v="600"/>
    <s v="2021-10-14"/>
    <s v="Уход за волосами"/>
    <n v="1204"/>
    <d v="2021-10-14T00:00:00"/>
    <n v="546"/>
  </r>
  <r>
    <x v="1344"/>
    <s v="2022-04-08"/>
    <s v="Уход за волосами"/>
    <n v="1736"/>
    <d v="2022-04-08T00:00:00"/>
    <n v="370"/>
  </r>
  <r>
    <x v="1345"/>
    <s v="2022-10-16"/>
    <s v="Уход за волосами"/>
    <n v="632"/>
    <d v="2022-10-16T00:00:00"/>
    <n v="179"/>
  </r>
  <r>
    <x v="1346"/>
    <s v="2021-01-13"/>
    <s v="Уход"/>
    <n v="919"/>
    <d v="2021-01-13T00:00:00"/>
    <n v="820"/>
  </r>
  <r>
    <x v="696"/>
    <s v="2022-08-08"/>
    <s v="Для дома"/>
    <n v="129"/>
    <d v="2022-08-08T00:00:00"/>
    <n v="248"/>
  </r>
  <r>
    <x v="1347"/>
    <s v="2022-05-10"/>
    <s v="Уход за волосами"/>
    <n v="226"/>
    <d v="2022-05-10T00:00:00"/>
    <n v="338"/>
  </r>
  <r>
    <x v="536"/>
    <s v="2021-08-11"/>
    <s v="Уход"/>
    <n v="118"/>
    <d v="2021-08-11T00:00:00"/>
    <n v="610"/>
  </r>
  <r>
    <x v="1348"/>
    <s v="2022-05-13"/>
    <s v="Уход за волосами"/>
    <n v="487"/>
    <d v="2022-05-13T00:00:00"/>
    <n v="335"/>
  </r>
  <r>
    <x v="94"/>
    <s v="2021-05-30"/>
    <s v="Уход за волосами"/>
    <n v="3387"/>
    <d v="2021-05-30T00:00:00"/>
    <n v="683"/>
  </r>
  <r>
    <x v="1349"/>
    <s v="2020-11-05"/>
    <s v="Уход за волосами"/>
    <n v="498"/>
    <d v="2020-11-05T00:00:00"/>
    <n v="889"/>
  </r>
  <r>
    <x v="1350"/>
    <s v="2023-03-18"/>
    <s v="Для дома"/>
    <n v="195"/>
    <d v="2023-03-18T00:00:00"/>
    <n v="26"/>
  </r>
  <r>
    <x v="836"/>
    <s v="2023-04-12"/>
    <s v="Макияж"/>
    <n v="2655"/>
    <d v="2023-04-12T00:00:00"/>
    <n v="1"/>
  </r>
  <r>
    <x v="1351"/>
    <s v="2020-07-07"/>
    <s v="Уход за волосами"/>
    <n v="698"/>
    <d v="2020-07-07T00:00:00"/>
    <n v="1010"/>
  </r>
  <r>
    <x v="1352"/>
    <s v="2020-10-10"/>
    <s v="Уход"/>
    <n v="3912"/>
    <d v="2020-10-10T00:00:00"/>
    <n v="915"/>
  </r>
  <r>
    <x v="1353"/>
    <s v="2019-10-23"/>
    <s v="Уход за волосами"/>
    <n v="269"/>
    <d v="2019-10-23T00:00:00"/>
    <n v="1268"/>
  </r>
  <r>
    <x v="1354"/>
    <s v="2021-09-16"/>
    <s v="Уход"/>
    <n v="969"/>
    <d v="2021-09-16T00:00:00"/>
    <n v="574"/>
  </r>
  <r>
    <x v="186"/>
    <s v="2023-04-09"/>
    <s v="Уход за волосами"/>
    <n v="788"/>
    <d v="2023-04-09T00:00:00"/>
    <n v="4"/>
  </r>
  <r>
    <x v="1124"/>
    <s v="2021-05-14"/>
    <s v="Уход за волосами"/>
    <n v="922"/>
    <d v="2021-05-14T00:00:00"/>
    <n v="699"/>
  </r>
  <r>
    <x v="1355"/>
    <s v="2020-04-28"/>
    <s v="Хоз.товары/бытовая химия"/>
    <n v="70"/>
    <d v="2020-04-28T00:00:00"/>
    <n v="1080"/>
  </r>
  <r>
    <x v="1356"/>
    <s v="2023-02-19"/>
    <s v="Уход за волосами"/>
    <n v="1750"/>
    <d v="2023-02-19T00:00:00"/>
    <n v="53"/>
  </r>
  <r>
    <x v="1056"/>
    <s v="2020-03-17"/>
    <s v="Хоз.товары/бытовая химия"/>
    <n v="67"/>
    <d v="2020-03-17T00:00:00"/>
    <n v="1122"/>
  </r>
  <r>
    <x v="1177"/>
    <s v="2021-02-04"/>
    <s v="Детский мир"/>
    <n v="1415"/>
    <d v="2021-02-04T00:00:00"/>
    <n v="798"/>
  </r>
  <r>
    <x v="1357"/>
    <s v="2022-05-28"/>
    <s v="Уход"/>
    <n v="302"/>
    <d v="2022-05-28T00:00:00"/>
    <n v="320"/>
  </r>
  <r>
    <x v="1358"/>
    <s v="2022-12-09"/>
    <s v="Для дома"/>
    <n v="1757"/>
    <d v="2022-12-09T00:00:00"/>
    <n v="125"/>
  </r>
  <r>
    <x v="1359"/>
    <s v="2022-03-25"/>
    <s v="Уход"/>
    <n v="1956"/>
    <d v="2022-03-25T00:00:00"/>
    <n v="384"/>
  </r>
  <r>
    <x v="1360"/>
    <s v="2021-05-30"/>
    <s v="Уход за волосами"/>
    <n v="9477"/>
    <d v="2021-05-30T00:00:00"/>
    <n v="683"/>
  </r>
  <r>
    <x v="1361"/>
    <s v="2023-01-27"/>
    <s v="Уход"/>
    <n v="897"/>
    <d v="2023-01-27T00:00:00"/>
    <n v="76"/>
  </r>
  <r>
    <x v="774"/>
    <s v="2022-08-29"/>
    <s v="Уход"/>
    <n v="3372"/>
    <d v="2022-08-29T00:00:00"/>
    <n v="227"/>
  </r>
  <r>
    <x v="1362"/>
    <s v="2022-03-03"/>
    <s v="Уход"/>
    <n v="1143"/>
    <d v="2022-03-03T00:00:00"/>
    <n v="406"/>
  </r>
  <r>
    <x v="1363"/>
    <s v="2022-02-07"/>
    <s v="Для дома"/>
    <n v="754"/>
    <d v="2022-02-07T00:00:00"/>
    <n v="430"/>
  </r>
  <r>
    <x v="1364"/>
    <s v="2020-03-01"/>
    <s v="Одежда и аксессуары"/>
    <n v="89"/>
    <d v="2020-03-01T00:00:00"/>
    <n v="1138"/>
  </r>
  <r>
    <x v="427"/>
    <s v="2022-11-01"/>
    <s v="Детский мир"/>
    <n v="219"/>
    <d v="2022-11-01T00:00:00"/>
    <n v="163"/>
  </r>
  <r>
    <x v="1365"/>
    <s v="2021-11-25"/>
    <s v="Для дома"/>
    <n v="239"/>
    <d v="2021-11-25T00:00:00"/>
    <n v="504"/>
  </r>
  <r>
    <x v="583"/>
    <s v="2020-04-16"/>
    <s v="Уход"/>
    <n v="4470"/>
    <d v="2020-04-16T00:00:00"/>
    <n v="1092"/>
  </r>
  <r>
    <x v="1366"/>
    <s v="2021-12-02"/>
    <s v="Макияж"/>
    <n v="525"/>
    <d v="2021-12-02T00:00:00"/>
    <n v="497"/>
  </r>
  <r>
    <x v="1367"/>
    <s v="2023-02-09"/>
    <s v="Макияж"/>
    <n v="4560"/>
    <d v="2023-02-09T00:00:00"/>
    <n v="63"/>
  </r>
  <r>
    <x v="191"/>
    <s v="2022-11-14"/>
    <s v="Уход за волосами"/>
    <n v="2903"/>
    <d v="2022-11-14T00:00:00"/>
    <n v="150"/>
  </r>
  <r>
    <x v="1368"/>
    <s v="2021-07-23"/>
    <s v="Уход за волосами"/>
    <n v="2445"/>
    <d v="2021-07-23T00:00:00"/>
    <n v="629"/>
  </r>
  <r>
    <x v="1369"/>
    <s v="2022-01-18"/>
    <s v="Хоз.товары/бытовая химия"/>
    <n v="87"/>
    <d v="2022-01-18T00:00:00"/>
    <n v="450"/>
  </r>
  <r>
    <x v="1370"/>
    <s v="2021-10-09"/>
    <s v="Макияж"/>
    <n v="327"/>
    <d v="2021-10-09T00:00:00"/>
    <n v="551"/>
  </r>
  <r>
    <x v="1371"/>
    <s v="2022-06-05"/>
    <s v="Уход за волосами"/>
    <n v="1726"/>
    <d v="2022-06-05T00:00:00"/>
    <n v="312"/>
  </r>
  <r>
    <x v="1372"/>
    <s v="2020-09-26"/>
    <s v="Одежда и аксессуары"/>
    <n v="368"/>
    <d v="2020-09-26T00:00:00"/>
    <n v="929"/>
  </r>
  <r>
    <x v="1373"/>
    <s v="2021-04-21"/>
    <s v="Для дома"/>
    <n v="1164"/>
    <d v="2021-04-21T00:00:00"/>
    <n v="722"/>
  </r>
  <r>
    <x v="1374"/>
    <s v="2023-02-10"/>
    <s v="Уход"/>
    <n v="10494"/>
    <d v="2023-02-10T00:00:00"/>
    <n v="62"/>
  </r>
  <r>
    <x v="1375"/>
    <s v="2022-09-07"/>
    <s v="Детский мир"/>
    <n v="663"/>
    <d v="2022-09-07T00:00:00"/>
    <n v="218"/>
  </r>
  <r>
    <x v="1376"/>
    <s v="2022-09-01"/>
    <s v="Для дома"/>
    <n v="246"/>
    <d v="2022-09-01T00:00:00"/>
    <n v="224"/>
  </r>
  <r>
    <x v="1377"/>
    <s v="2021-06-27"/>
    <s v="Уход за волосами"/>
    <n v="480"/>
    <d v="2021-06-27T00:00:00"/>
    <n v="655"/>
  </r>
  <r>
    <x v="1378"/>
    <s v="2021-03-21"/>
    <s v="Уход"/>
    <n v="486"/>
    <d v="2021-03-21T00:00:00"/>
    <n v="753"/>
  </r>
  <r>
    <x v="1379"/>
    <s v="2020-12-25"/>
    <s v="Уход за волосами"/>
    <n v="3663"/>
    <d v="2020-12-25T00:00:00"/>
    <n v="839"/>
  </r>
  <r>
    <x v="1317"/>
    <s v="2019-10-01"/>
    <s v="Уход"/>
    <n v="582"/>
    <d v="2019-10-01T00:00:00"/>
    <n v="1290"/>
  </r>
  <r>
    <x v="1380"/>
    <s v="2021-01-18"/>
    <s v="Уход"/>
    <n v="318"/>
    <d v="2021-01-18T00:00:00"/>
    <n v="815"/>
  </r>
  <r>
    <x v="1381"/>
    <s v="2022-07-14"/>
    <s v="Уход"/>
    <n v="342"/>
    <d v="2022-07-14T00:00:00"/>
    <n v="273"/>
  </r>
  <r>
    <x v="1382"/>
    <s v="2022-05-16"/>
    <s v="Уход"/>
    <n v="335"/>
    <d v="2022-05-16T00:00:00"/>
    <n v="332"/>
  </r>
  <r>
    <x v="1383"/>
    <s v="2022-12-08"/>
    <s v="Для дома"/>
    <n v="250"/>
    <d v="2022-12-08T00:00:00"/>
    <n v="126"/>
  </r>
  <r>
    <x v="701"/>
    <s v="2021-09-11"/>
    <s v="Уход"/>
    <n v="278"/>
    <d v="2021-09-11T00:00:00"/>
    <n v="579"/>
  </r>
  <r>
    <x v="589"/>
    <s v="2021-10-17"/>
    <s v="Уход"/>
    <n v="1254"/>
    <d v="2021-10-17T00:00:00"/>
    <n v="543"/>
  </r>
  <r>
    <x v="1384"/>
    <s v="2021-01-08"/>
    <s v="Уход за волосами"/>
    <n v="568"/>
    <d v="2021-01-08T00:00:00"/>
    <n v="825"/>
  </r>
  <r>
    <x v="638"/>
    <s v="2019-12-12"/>
    <s v="Уход"/>
    <n v="2778"/>
    <d v="2019-12-12T00:00:00"/>
    <n v="1218"/>
  </r>
  <r>
    <x v="1087"/>
    <s v="2022-01-19"/>
    <s v="Уход"/>
    <n v="537"/>
    <d v="2022-01-19T00:00:00"/>
    <n v="449"/>
  </r>
  <r>
    <x v="1385"/>
    <s v="2020-05-03"/>
    <s v="Уход за волосами"/>
    <n v="2690"/>
    <d v="2020-05-03T00:00:00"/>
    <n v="1075"/>
  </r>
  <r>
    <x v="1386"/>
    <s v="2021-08-02"/>
    <s v="Уход"/>
    <n v="7173"/>
    <d v="2021-08-02T00:00:00"/>
    <n v="619"/>
  </r>
  <r>
    <x v="1107"/>
    <s v="2023-01-13"/>
    <s v="Для дома"/>
    <n v="69"/>
    <d v="2023-01-13T00:00:00"/>
    <n v="90"/>
  </r>
  <r>
    <x v="1387"/>
    <s v="2020-12-29"/>
    <s v="Уход"/>
    <n v="7887"/>
    <d v="2020-12-29T00:00:00"/>
    <n v="835"/>
  </r>
  <r>
    <x v="601"/>
    <s v="2022-10-14"/>
    <s v="Для дома"/>
    <n v="498"/>
    <d v="2022-10-14T00:00:00"/>
    <n v="181"/>
  </r>
  <r>
    <x v="1388"/>
    <s v="2022-05-16"/>
    <s v="Уход"/>
    <n v="4593"/>
    <d v="2022-05-16T00:00:00"/>
    <n v="332"/>
  </r>
  <r>
    <x v="1389"/>
    <s v="2021-08-25"/>
    <s v="Макияж"/>
    <n v="1350"/>
    <d v="2021-08-25T00:00:00"/>
    <n v="596"/>
  </r>
  <r>
    <x v="1390"/>
    <s v="2021-06-01"/>
    <s v="Уход за волосами"/>
    <n v="6714"/>
    <d v="2021-06-01T00:00:00"/>
    <n v="681"/>
  </r>
  <r>
    <x v="1391"/>
    <s v="2020-07-23"/>
    <s v="Уход"/>
    <n v="990"/>
    <d v="2020-07-23T00:00:00"/>
    <n v="994"/>
  </r>
  <r>
    <x v="1392"/>
    <s v="2021-08-06"/>
    <s v="Уход"/>
    <n v="113"/>
    <d v="2021-08-06T00:00:00"/>
    <n v="615"/>
  </r>
  <r>
    <x v="686"/>
    <s v="2022-11-22"/>
    <s v="Уход за волосами"/>
    <n v="1710"/>
    <d v="2022-11-22T00:00:00"/>
    <n v="142"/>
  </r>
  <r>
    <x v="1393"/>
    <s v="2022-08-31"/>
    <s v="Уход за волосами"/>
    <n v="4120"/>
    <d v="2022-08-31T00:00:00"/>
    <n v="225"/>
  </r>
  <r>
    <x v="1394"/>
    <s v="2021-08-29"/>
    <s v="Уход за волосами"/>
    <n v="219"/>
    <d v="2021-08-29T00:00:00"/>
    <n v="592"/>
  </r>
  <r>
    <x v="126"/>
    <s v="2021-01-15"/>
    <s v="Уход"/>
    <n v="1446"/>
    <d v="2021-01-15T00:00:00"/>
    <n v="818"/>
  </r>
  <r>
    <x v="1395"/>
    <s v="2021-10-08"/>
    <s v="Хоз.товары/бытовая химия"/>
    <n v="318"/>
    <d v="2021-10-08T00:00:00"/>
    <n v="552"/>
  </r>
  <r>
    <x v="1351"/>
    <s v="2020-07-24"/>
    <s v="Хоз.товары/бытовая химия"/>
    <n v="92"/>
    <d v="2020-07-24T00:00:00"/>
    <n v="993"/>
  </r>
  <r>
    <x v="1396"/>
    <s v="2022-02-09"/>
    <s v="Уход"/>
    <n v="869"/>
    <d v="2022-02-09T00:00:00"/>
    <n v="428"/>
  </r>
  <r>
    <x v="1397"/>
    <s v="2022-11-07"/>
    <s v="Уход за волосами"/>
    <n v="13526"/>
    <d v="2022-11-07T00:00:00"/>
    <n v="157"/>
  </r>
  <r>
    <x v="211"/>
    <s v="2022-02-28"/>
    <s v="Для дома"/>
    <n v="109"/>
    <d v="2022-02-28T00:00:00"/>
    <n v="409"/>
  </r>
  <r>
    <x v="1398"/>
    <s v="2022-12-24"/>
    <s v="Макияж"/>
    <n v="4136"/>
    <d v="2022-12-24T00:00:00"/>
    <n v="110"/>
  </r>
  <r>
    <x v="1399"/>
    <s v="2023-02-19"/>
    <s v="Уход за волосами"/>
    <n v="1554"/>
    <d v="2023-02-19T00:00:00"/>
    <n v="53"/>
  </r>
  <r>
    <x v="1400"/>
    <s v="2020-12-23"/>
    <s v="Уход за волосами"/>
    <n v="55020"/>
    <d v="2020-12-23T00:00:00"/>
    <n v="841"/>
  </r>
  <r>
    <x v="1041"/>
    <s v="2021-05-18"/>
    <s v="Уход"/>
    <n v="1258"/>
    <d v="2021-05-18T00:00:00"/>
    <n v="695"/>
  </r>
  <r>
    <x v="1401"/>
    <s v="2020-12-18"/>
    <s v="Уход"/>
    <n v="2997"/>
    <d v="2020-12-18T00:00:00"/>
    <n v="846"/>
  </r>
  <r>
    <x v="26"/>
    <s v="2021-04-17"/>
    <s v="Уход"/>
    <n v="1405"/>
    <d v="2021-04-17T00:00:00"/>
    <n v="726"/>
  </r>
  <r>
    <x v="1402"/>
    <s v="2020-07-07"/>
    <s v="Уход"/>
    <n v="287"/>
    <d v="2020-07-07T00:00:00"/>
    <n v="1010"/>
  </r>
  <r>
    <x v="1403"/>
    <s v="2022-04-07"/>
    <s v="Уход"/>
    <n v="1738"/>
    <d v="2022-04-07T00:00:00"/>
    <n v="371"/>
  </r>
  <r>
    <x v="1404"/>
    <s v="2021-01-24"/>
    <s v="Уход за волосами"/>
    <n v="1166"/>
    <d v="2021-01-24T00:00:00"/>
    <n v="809"/>
  </r>
  <r>
    <x v="170"/>
    <s v="2021-04-24"/>
    <s v="Хоз.товары/бытовая химия"/>
    <n v="430"/>
    <d v="2021-04-24T00:00:00"/>
    <n v="719"/>
  </r>
  <r>
    <x v="1161"/>
    <s v="2023-04-03"/>
    <s v="Уход за волосами"/>
    <n v="439"/>
    <d v="2023-04-03T00:00:00"/>
    <n v="10"/>
  </r>
  <r>
    <x v="650"/>
    <s v="2022-05-05"/>
    <s v="Уход"/>
    <n v="1400"/>
    <d v="2022-05-05T00:00:00"/>
    <n v="343"/>
  </r>
  <r>
    <x v="1405"/>
    <s v="2021-10-15"/>
    <s v="Одежда и аксессуары"/>
    <n v="1813"/>
    <d v="2021-10-15T00:00:00"/>
    <n v="545"/>
  </r>
  <r>
    <x v="1406"/>
    <s v="2022-03-01"/>
    <s v="Уход за волосами"/>
    <n v="1245"/>
    <d v="2022-03-01T00:00:00"/>
    <n v="408"/>
  </r>
  <r>
    <x v="56"/>
    <s v="2022-10-30"/>
    <s v="Уход"/>
    <n v="11271"/>
    <d v="2022-10-30T00:00:00"/>
    <n v="165"/>
  </r>
  <r>
    <x v="469"/>
    <s v="2021-04-22"/>
    <s v="Для дома"/>
    <n v="339"/>
    <d v="2021-04-22T00:00:00"/>
    <n v="721"/>
  </r>
  <r>
    <x v="999"/>
    <s v="2022-02-27"/>
    <s v="Уход за волосами"/>
    <n v="890"/>
    <d v="2022-02-27T00:00:00"/>
    <n v="410"/>
  </r>
  <r>
    <x v="1407"/>
    <s v="2022-02-21"/>
    <s v="Уход"/>
    <n v="740"/>
    <d v="2022-02-21T00:00:00"/>
    <n v="416"/>
  </r>
  <r>
    <x v="485"/>
    <s v="2022-07-01"/>
    <s v="Для дома"/>
    <n v="266"/>
    <d v="2022-07-01T00:00:00"/>
    <n v="286"/>
  </r>
  <r>
    <x v="1408"/>
    <s v="2021-03-08"/>
    <s v="Уход за волосами"/>
    <n v="602"/>
    <d v="2021-03-08T00:00:00"/>
    <n v="766"/>
  </r>
  <r>
    <x v="1409"/>
    <s v="2022-08-03"/>
    <s v="Для дома"/>
    <n v="5000"/>
    <d v="2022-08-03T00:00:00"/>
    <n v="253"/>
  </r>
  <r>
    <x v="1410"/>
    <s v="2020-08-18"/>
    <s v="Макияж"/>
    <n v="1918"/>
    <d v="2020-08-18T00:00:00"/>
    <n v="968"/>
  </r>
  <r>
    <x v="1411"/>
    <s v="2022-01-19"/>
    <s v="Для дома"/>
    <n v="169"/>
    <d v="2022-01-19T00:00:00"/>
    <n v="449"/>
  </r>
  <r>
    <x v="1412"/>
    <s v="2023-02-17"/>
    <s v="Уход"/>
    <n v="299"/>
    <d v="2023-02-17T00:00:00"/>
    <n v="55"/>
  </r>
  <r>
    <x v="1413"/>
    <s v="2021-09-13"/>
    <s v="Для дома"/>
    <n v="379"/>
    <d v="2021-09-13T00:00:00"/>
    <n v="577"/>
  </r>
  <r>
    <x v="133"/>
    <s v="2020-12-10"/>
    <s v="Уход"/>
    <n v="1124"/>
    <d v="2020-12-10T00:00:00"/>
    <n v="854"/>
  </r>
  <r>
    <x v="1414"/>
    <s v="2022-09-03"/>
    <s v="Одежда и аксессуары"/>
    <n v="349"/>
    <d v="2022-09-03T00:00:00"/>
    <n v="222"/>
  </r>
  <r>
    <x v="1415"/>
    <s v="2023-03-17"/>
    <s v="Уход за волосами"/>
    <n v="2939"/>
    <d v="2023-03-17T00:00:00"/>
    <n v="27"/>
  </r>
  <r>
    <x v="1416"/>
    <s v="2022-09-26"/>
    <s v="Уход"/>
    <n v="118"/>
    <d v="2022-09-26T00:00:00"/>
    <n v="199"/>
  </r>
  <r>
    <x v="373"/>
    <s v="2020-09-04"/>
    <s v="Уход"/>
    <n v="943"/>
    <d v="2020-09-04T00:00:00"/>
    <n v="951"/>
  </r>
  <r>
    <x v="1417"/>
    <s v="2022-03-23"/>
    <s v="Детский мир"/>
    <n v="667"/>
    <d v="2022-03-23T00:00:00"/>
    <n v="386"/>
  </r>
  <r>
    <x v="1418"/>
    <s v="2022-04-20"/>
    <s v="Хоз.товары/бытовая химия"/>
    <n v="29"/>
    <d v="2022-04-20T00:00:00"/>
    <n v="358"/>
  </r>
  <r>
    <x v="34"/>
    <s v="2020-06-23"/>
    <s v="Одежда и аксессуары"/>
    <n v="18685"/>
    <d v="2020-06-23T00:00:00"/>
    <n v="1024"/>
  </r>
  <r>
    <x v="1419"/>
    <s v="2021-10-10"/>
    <s v="Уход"/>
    <n v="1320"/>
    <d v="2021-10-10T00:00:00"/>
    <n v="550"/>
  </r>
  <r>
    <x v="872"/>
    <s v="2022-01-22"/>
    <s v="Уход за волосами"/>
    <n v="572"/>
    <d v="2022-01-22T00:00:00"/>
    <n v="446"/>
  </r>
  <r>
    <x v="1420"/>
    <s v="2020-10-30"/>
    <s v="Уход за волосами"/>
    <n v="2367"/>
    <d v="2020-10-30T00:00:00"/>
    <n v="895"/>
  </r>
  <r>
    <x v="996"/>
    <s v="2021-02-18"/>
    <s v="Уход за волосами"/>
    <n v="3700"/>
    <d v="2021-02-18T00:00:00"/>
    <n v="784"/>
  </r>
  <r>
    <x v="1421"/>
    <s v="2021-05-18"/>
    <s v="Детский мир"/>
    <n v="537"/>
    <d v="2021-05-18T00:00:00"/>
    <n v="695"/>
  </r>
  <r>
    <x v="1057"/>
    <s v="2022-01-09"/>
    <s v="Уход за волосами"/>
    <n v="476"/>
    <d v="2022-01-09T00:00:00"/>
    <n v="459"/>
  </r>
  <r>
    <x v="1422"/>
    <s v="2019-10-29"/>
    <s v="Уход за волосами"/>
    <n v="298"/>
    <d v="2019-10-29T00:00:00"/>
    <n v="1262"/>
  </r>
  <r>
    <x v="1423"/>
    <s v="2021-04-25"/>
    <s v="Макияж"/>
    <n v="2385"/>
    <d v="2021-04-25T00:00:00"/>
    <n v="718"/>
  </r>
  <r>
    <x v="1424"/>
    <s v="2022-11-29"/>
    <s v="Уход"/>
    <n v="988"/>
    <d v="2022-11-29T00:00:00"/>
    <n v="135"/>
  </r>
  <r>
    <x v="236"/>
    <s v="2022-09-22"/>
    <s v="Макияж"/>
    <n v="750"/>
    <d v="2022-09-22T00:00:00"/>
    <n v="203"/>
  </r>
  <r>
    <x v="1087"/>
    <s v="2022-06-11"/>
    <s v="Уход"/>
    <n v="699"/>
    <d v="2022-06-11T00:00:00"/>
    <n v="306"/>
  </r>
  <r>
    <x v="1425"/>
    <s v="2022-09-03"/>
    <s v="Для дома"/>
    <n v="644"/>
    <d v="2022-09-03T00:00:00"/>
    <n v="222"/>
  </r>
  <r>
    <x v="34"/>
    <s v="2016-11-04"/>
    <s v="Одежда и аксессуары"/>
    <n v="427052.72"/>
    <d v="2016-11-04T00:00:00"/>
    <n v="2351"/>
  </r>
  <r>
    <x v="82"/>
    <s v="2021-02-10"/>
    <s v="Уход за волосами"/>
    <n v="881"/>
    <d v="2021-02-10T00:00:00"/>
    <n v="792"/>
  </r>
  <r>
    <x v="1426"/>
    <s v="2022-04-28"/>
    <s v="Уход"/>
    <n v="3665"/>
    <d v="2022-04-28T00:00:00"/>
    <n v="350"/>
  </r>
  <r>
    <x v="1258"/>
    <s v="2021-05-06"/>
    <s v="Уход"/>
    <n v="480"/>
    <d v="2021-05-06T00:00:00"/>
    <n v="707"/>
  </r>
  <r>
    <x v="1427"/>
    <s v="2021-12-10"/>
    <s v="Уход"/>
    <n v="455"/>
    <d v="2021-12-10T00:00:00"/>
    <n v="489"/>
  </r>
  <r>
    <x v="1108"/>
    <s v="2021-03-26"/>
    <s v="Уход за волосами"/>
    <n v="837"/>
    <d v="2021-03-26T00:00:00"/>
    <n v="748"/>
  </r>
  <r>
    <x v="1407"/>
    <s v="2022-02-24"/>
    <s v="Макияж"/>
    <n v="690"/>
    <d v="2022-02-24T00:00:00"/>
    <n v="413"/>
  </r>
  <r>
    <x v="167"/>
    <s v="2021-02-19"/>
    <s v="Уход"/>
    <n v="1179"/>
    <d v="2021-02-19T00:00:00"/>
    <n v="783"/>
  </r>
  <r>
    <x v="1428"/>
    <s v="2020-01-31"/>
    <s v="Одежда и аксессуары"/>
    <n v="241"/>
    <d v="2020-01-31T00:00:00"/>
    <n v="1168"/>
  </r>
  <r>
    <x v="1429"/>
    <s v="2021-11-06"/>
    <s v="Уход"/>
    <n v="4758"/>
    <d v="2021-11-06T00:00:00"/>
    <n v="523"/>
  </r>
  <r>
    <x v="1430"/>
    <s v="2021-09-20"/>
    <s v="Уход"/>
    <n v="151"/>
    <d v="2021-09-20T00:00:00"/>
    <n v="570"/>
  </r>
  <r>
    <x v="1033"/>
    <s v="2019-12-25"/>
    <s v="Уход за волосами"/>
    <n v="2386"/>
    <d v="2019-12-25T00:00:00"/>
    <n v="1205"/>
  </r>
  <r>
    <x v="34"/>
    <s v="2020-10-23"/>
    <s v="Детский мир"/>
    <n v="36808"/>
    <d v="2020-10-23T00:00:00"/>
    <n v="902"/>
  </r>
  <r>
    <x v="1431"/>
    <s v="2022-01-23"/>
    <s v="Уход"/>
    <n v="776"/>
    <d v="2022-01-23T00:00:00"/>
    <n v="445"/>
  </r>
  <r>
    <x v="1432"/>
    <s v="2021-08-01"/>
    <s v="Уход"/>
    <n v="11033"/>
    <d v="2021-08-01T00:00:00"/>
    <n v="620"/>
  </r>
  <r>
    <x v="1433"/>
    <s v="2019-09-09"/>
    <s v="Хоз.товары/бытовая химия"/>
    <n v="117"/>
    <d v="2019-09-09T00:00:00"/>
    <n v="1312"/>
  </r>
  <r>
    <x v="1434"/>
    <s v="2021-06-19"/>
    <s v="Для дома"/>
    <n v="594"/>
    <d v="2021-06-19T00:00:00"/>
    <n v="663"/>
  </r>
  <r>
    <x v="1435"/>
    <s v="2022-12-29"/>
    <s v="Детский мир"/>
    <n v="230"/>
    <d v="2022-12-29T00:00:00"/>
    <n v="105"/>
  </r>
  <r>
    <x v="553"/>
    <s v="2020-02-12"/>
    <s v="Уход"/>
    <n v="295"/>
    <d v="2020-02-12T00:00:00"/>
    <n v="1156"/>
  </r>
  <r>
    <x v="1436"/>
    <s v="2021-07-18"/>
    <s v="Хоз.товары/бытовая химия"/>
    <n v="68"/>
    <d v="2021-07-18T00:00:00"/>
    <n v="634"/>
  </r>
  <r>
    <x v="1437"/>
    <s v="2021-11-14"/>
    <s v="Уход за волосами"/>
    <n v="2640"/>
    <d v="2021-11-14T00:00:00"/>
    <n v="515"/>
  </r>
  <r>
    <x v="1438"/>
    <s v="2020-09-20"/>
    <s v="Уход"/>
    <n v="4122"/>
    <d v="2020-09-20T00:00:00"/>
    <n v="935"/>
  </r>
  <r>
    <x v="1439"/>
    <s v="2021-04-25"/>
    <s v="Одежда и аксессуары"/>
    <n v="1224"/>
    <d v="2021-04-25T00:00:00"/>
    <n v="718"/>
  </r>
  <r>
    <x v="658"/>
    <s v="2023-02-26"/>
    <s v="Уход за волосами"/>
    <n v="220"/>
    <d v="2023-02-26T00:00:00"/>
    <n v="46"/>
  </r>
  <r>
    <x v="479"/>
    <s v="2021-10-19"/>
    <s v="Уход за волосами"/>
    <n v="21480"/>
    <d v="2021-10-19T00:00:00"/>
    <n v="541"/>
  </r>
  <r>
    <x v="1368"/>
    <s v="2022-11-12"/>
    <s v="Уход за волосами"/>
    <n v="30800"/>
    <d v="2022-11-12T00:00:00"/>
    <n v="152"/>
  </r>
  <r>
    <x v="696"/>
    <s v="2020-12-04"/>
    <s v="Уход"/>
    <n v="1137"/>
    <d v="2020-12-04T00:00:00"/>
    <n v="860"/>
  </r>
  <r>
    <x v="1440"/>
    <s v="2021-08-08"/>
    <s v="Уход"/>
    <n v="1758"/>
    <d v="2021-08-08T00:00:00"/>
    <n v="613"/>
  </r>
  <r>
    <x v="1441"/>
    <s v="2023-02-01"/>
    <s v="Уход"/>
    <n v="4845"/>
    <d v="2023-02-01T00:00:00"/>
    <n v="71"/>
  </r>
  <r>
    <x v="1371"/>
    <s v="2023-02-21"/>
    <s v="Уход за волосами"/>
    <n v="3270"/>
    <d v="2023-02-21T00:00:00"/>
    <n v="51"/>
  </r>
  <r>
    <x v="300"/>
    <s v="2022-07-17"/>
    <s v="Уход"/>
    <n v="657"/>
    <d v="2022-07-17T00:00:00"/>
    <n v="270"/>
  </r>
  <r>
    <x v="1442"/>
    <s v="2022-10-28"/>
    <s v="Макияж"/>
    <n v="990"/>
    <d v="2022-10-28T00:00:00"/>
    <n v="167"/>
  </r>
  <r>
    <x v="1443"/>
    <s v="2020-09-23"/>
    <s v="Хоз.товары/бытовая химия"/>
    <n v="153"/>
    <d v="2020-09-23T00:00:00"/>
    <n v="932"/>
  </r>
  <r>
    <x v="1444"/>
    <s v="2021-09-04"/>
    <s v="Макияж"/>
    <n v="2370"/>
    <d v="2021-09-04T00:00:00"/>
    <n v="586"/>
  </r>
  <r>
    <x v="1445"/>
    <s v="2022-06-01"/>
    <s v="Детский мир"/>
    <n v="775"/>
    <d v="2022-06-01T00:00:00"/>
    <n v="316"/>
  </r>
  <r>
    <x v="1143"/>
    <s v="2021-06-12"/>
    <s v="Уход за волосами"/>
    <n v="1590"/>
    <d v="2021-06-12T00:00:00"/>
    <n v="670"/>
  </r>
  <r>
    <x v="1446"/>
    <s v="2023-03-07"/>
    <s v="Уход"/>
    <n v="4163"/>
    <d v="2023-03-07T00:00:00"/>
    <n v="37"/>
  </r>
  <r>
    <x v="1227"/>
    <s v="2020-10-05"/>
    <s v="Для дома"/>
    <n v="126"/>
    <d v="2020-10-05T00:00:00"/>
    <n v="920"/>
  </r>
  <r>
    <x v="1447"/>
    <s v="2021-02-22"/>
    <s v="Макияж"/>
    <n v="690"/>
    <d v="2021-02-22T00:00:00"/>
    <n v="780"/>
  </r>
  <r>
    <x v="855"/>
    <s v="2021-06-07"/>
    <s v="Уход"/>
    <n v="474"/>
    <d v="2021-06-07T00:00:00"/>
    <n v="675"/>
  </r>
  <r>
    <x v="1224"/>
    <s v="2023-03-16"/>
    <s v="Уход за волосами"/>
    <n v="730"/>
    <d v="2023-03-16T00:00:00"/>
    <n v="28"/>
  </r>
  <r>
    <x v="114"/>
    <s v="2021-05-02"/>
    <s v="Уход за волосами"/>
    <n v="421"/>
    <d v="2021-05-02T00:00:00"/>
    <n v="711"/>
  </r>
  <r>
    <x v="1448"/>
    <s v="2021-10-07"/>
    <s v="Уход"/>
    <n v="0"/>
    <d v="2021-10-07T00:00:00"/>
    <n v="553"/>
  </r>
  <r>
    <x v="1449"/>
    <s v="2023-02-20"/>
    <s v="Одежда и аксессуары"/>
    <n v="109"/>
    <d v="2023-02-20T00:00:00"/>
    <n v="52"/>
  </r>
  <r>
    <x v="1450"/>
    <s v="2019-12-13"/>
    <s v="Уход"/>
    <n v="455"/>
    <d v="2019-12-13T00:00:00"/>
    <n v="1217"/>
  </r>
  <r>
    <x v="819"/>
    <s v="2020-01-03"/>
    <s v="Уход за волосами"/>
    <n v="715"/>
    <d v="2020-01-03T00:00:00"/>
    <n v="1196"/>
  </r>
  <r>
    <x v="828"/>
    <s v="2023-04-06"/>
    <s v="Хоз.товары/бытовая химия"/>
    <n v="111"/>
    <d v="2023-04-06T00:00:00"/>
    <n v="7"/>
  </r>
  <r>
    <x v="1451"/>
    <s v="2019-12-24"/>
    <s v="Уход"/>
    <n v="300"/>
    <d v="2019-12-24T00:00:00"/>
    <n v="1206"/>
  </r>
  <r>
    <x v="1303"/>
    <s v="2023-01-21"/>
    <s v="Уход"/>
    <n v="996"/>
    <d v="2023-01-21T00:00:00"/>
    <n v="82"/>
  </r>
  <r>
    <x v="1324"/>
    <s v="2022-06-03"/>
    <s v="Для дома"/>
    <n v="113"/>
    <d v="2022-06-03T00:00:00"/>
    <n v="314"/>
  </r>
  <r>
    <x v="604"/>
    <s v="2020-10-21"/>
    <s v="Уход за волосами"/>
    <n v="4271"/>
    <d v="2020-10-21T00:00:00"/>
    <n v="904"/>
  </r>
  <r>
    <x v="1344"/>
    <s v="2023-01-28"/>
    <s v="Уход за волосами"/>
    <n v="318"/>
    <d v="2023-01-28T00:00:00"/>
    <n v="75"/>
  </r>
  <r>
    <x v="233"/>
    <s v="2021-06-11"/>
    <s v="Уход за волосами"/>
    <n v="432"/>
    <d v="2021-06-11T00:00:00"/>
    <n v="671"/>
  </r>
  <r>
    <x v="1452"/>
    <s v="2021-06-21"/>
    <s v="Уход"/>
    <n v="158"/>
    <d v="2021-06-21T00:00:00"/>
    <n v="661"/>
  </r>
  <r>
    <x v="902"/>
    <s v="2022-01-13"/>
    <s v="Уход"/>
    <n v="1050"/>
    <d v="2022-01-13T00:00:00"/>
    <n v="455"/>
  </r>
  <r>
    <x v="1453"/>
    <s v="2022-02-20"/>
    <s v="Уход"/>
    <n v="4284"/>
    <d v="2022-02-20T00:00:00"/>
    <n v="417"/>
  </r>
  <r>
    <x v="1454"/>
    <s v="2022-06-25"/>
    <s v="Хоз.товары/бытовая химия"/>
    <n v="69"/>
    <d v="2022-06-25T00:00:00"/>
    <n v="292"/>
  </r>
  <r>
    <x v="1455"/>
    <s v="2021-06-10"/>
    <s v="Уход за волосами"/>
    <n v="901"/>
    <d v="2021-06-10T00:00:00"/>
    <n v="672"/>
  </r>
  <r>
    <x v="1456"/>
    <s v="2022-12-10"/>
    <s v="Уход за волосами"/>
    <n v="337"/>
    <d v="2022-12-10T00:00:00"/>
    <n v="124"/>
  </r>
  <r>
    <x v="1457"/>
    <s v="2020-10-25"/>
    <s v="Уход за волосами"/>
    <n v="10141"/>
    <d v="2020-10-25T00:00:00"/>
    <n v="900"/>
  </r>
  <r>
    <x v="1458"/>
    <s v="2022-05-07"/>
    <s v="Хоз.товары/бытовая химия"/>
    <n v="200"/>
    <d v="2022-05-07T00:00:00"/>
    <n v="341"/>
  </r>
  <r>
    <x v="1459"/>
    <s v="2022-05-16"/>
    <s v="Хоз.товары/бытовая химия"/>
    <n v="113"/>
    <d v="2022-05-16T00:00:00"/>
    <n v="332"/>
  </r>
  <r>
    <x v="1460"/>
    <s v="2020-10-08"/>
    <s v="Уход"/>
    <n v="1042"/>
    <d v="2020-10-08T00:00:00"/>
    <n v="917"/>
  </r>
  <r>
    <x v="1461"/>
    <s v="2020-04-20"/>
    <s v="Уход за волосами"/>
    <n v="3880"/>
    <d v="2020-04-20T00:00:00"/>
    <n v="1088"/>
  </r>
  <r>
    <x v="210"/>
    <s v="2022-11-07"/>
    <s v="Детский мир"/>
    <n v="607"/>
    <d v="2022-11-07T00:00:00"/>
    <n v="157"/>
  </r>
  <r>
    <x v="288"/>
    <s v="2022-09-05"/>
    <s v="Уход"/>
    <n v="111"/>
    <d v="2022-09-05T00:00:00"/>
    <n v="220"/>
  </r>
  <r>
    <x v="1462"/>
    <s v="2021-12-05"/>
    <s v="Одежда и аксессуары"/>
    <n v="1420"/>
    <d v="2021-12-05T00:00:00"/>
    <n v="494"/>
  </r>
  <r>
    <x v="1026"/>
    <s v="2021-02-28"/>
    <s v="Уход"/>
    <n v="1037"/>
    <d v="2021-02-28T00:00:00"/>
    <n v="774"/>
  </r>
  <r>
    <x v="633"/>
    <s v="2021-02-02"/>
    <s v="Уход за волосами"/>
    <n v="451"/>
    <d v="2021-02-02T00:00:00"/>
    <n v="800"/>
  </r>
  <r>
    <x v="692"/>
    <s v="2022-05-27"/>
    <s v="Уход"/>
    <n v="2162"/>
    <d v="2022-05-27T00:00:00"/>
    <n v="321"/>
  </r>
  <r>
    <x v="1463"/>
    <s v="2022-08-30"/>
    <s v="Уход"/>
    <n v="6450"/>
    <d v="2022-08-30T00:00:00"/>
    <n v="226"/>
  </r>
  <r>
    <x v="94"/>
    <s v="2022-04-29"/>
    <s v="Уход за волосами"/>
    <n v="5620"/>
    <d v="2022-04-29T00:00:00"/>
    <n v="349"/>
  </r>
  <r>
    <x v="1464"/>
    <s v="2020-04-18"/>
    <s v="Уход"/>
    <n v="186"/>
    <d v="2020-04-18T00:00:00"/>
    <n v="1090"/>
  </r>
  <r>
    <x v="1465"/>
    <s v="2020-04-12"/>
    <s v="Для дома"/>
    <n v="155"/>
    <d v="2020-04-12T00:00:00"/>
    <n v="1096"/>
  </r>
  <r>
    <x v="1466"/>
    <s v="2021-01-08"/>
    <s v="Уход"/>
    <n v="216"/>
    <d v="2021-01-08T00:00:00"/>
    <n v="825"/>
  </r>
  <r>
    <x v="970"/>
    <s v="2022-02-23"/>
    <s v="Уход за волосами"/>
    <n v="2080"/>
    <d v="2022-02-23T00:00:00"/>
    <n v="414"/>
  </r>
  <r>
    <x v="1467"/>
    <s v="2021-06-15"/>
    <s v="Уход за волосами"/>
    <n v="530"/>
    <d v="2021-06-15T00:00:00"/>
    <n v="667"/>
  </r>
  <r>
    <x v="1468"/>
    <s v="2020-11-25"/>
    <s v="Уход"/>
    <n v="2124"/>
    <d v="2020-11-25T00:00:00"/>
    <n v="869"/>
  </r>
  <r>
    <x v="1469"/>
    <s v="2021-05-19"/>
    <s v="Уход за волосами"/>
    <n v="2151"/>
    <d v="2021-05-19T00:00:00"/>
    <n v="694"/>
  </r>
  <r>
    <x v="1034"/>
    <s v="2022-01-21"/>
    <s v="Одежда и аксессуары"/>
    <n v="89"/>
    <d v="2022-01-21T00:00:00"/>
    <n v="447"/>
  </r>
  <r>
    <x v="1470"/>
    <s v="2019-12-18"/>
    <s v="Уход за волосами"/>
    <n v="158"/>
    <d v="2019-12-18T00:00:00"/>
    <n v="1212"/>
  </r>
  <r>
    <x v="1373"/>
    <s v="2022-02-23"/>
    <s v="Детский мир"/>
    <n v="673"/>
    <d v="2022-02-23T00:00:00"/>
    <n v="414"/>
  </r>
  <r>
    <x v="1471"/>
    <s v="2022-04-08"/>
    <s v="Уход за волосами"/>
    <n v="9084"/>
    <d v="2022-04-08T00:00:00"/>
    <n v="370"/>
  </r>
  <r>
    <x v="1472"/>
    <s v="2022-01-31"/>
    <s v="Уход за волосами"/>
    <n v="1304"/>
    <d v="2022-01-31T00:00:00"/>
    <n v="437"/>
  </r>
  <r>
    <x v="1457"/>
    <s v="2022-08-06"/>
    <s v="Хоз.товары/бытовая химия"/>
    <n v="167"/>
    <d v="2022-08-06T00:00:00"/>
    <n v="250"/>
  </r>
  <r>
    <x v="1473"/>
    <s v="2021-06-24"/>
    <s v="Уход"/>
    <n v="1944"/>
    <d v="2021-06-24T00:00:00"/>
    <n v="658"/>
  </r>
  <r>
    <x v="1474"/>
    <s v="2020-11-18"/>
    <s v="Уход за волосами"/>
    <n v="3701"/>
    <d v="2020-11-18T00:00:00"/>
    <n v="876"/>
  </r>
  <r>
    <x v="1475"/>
    <s v="2023-03-20"/>
    <s v="Уход за волосами"/>
    <n v="1440"/>
    <d v="2023-03-20T00:00:00"/>
    <n v="24"/>
  </r>
  <r>
    <x v="1460"/>
    <s v="2020-11-02"/>
    <s v="Уход"/>
    <n v="947"/>
    <d v="2020-11-02T00:00:00"/>
    <n v="892"/>
  </r>
  <r>
    <x v="1476"/>
    <s v="2022-09-20"/>
    <s v="Уход"/>
    <n v="653"/>
    <d v="2022-09-20T00:00:00"/>
    <n v="205"/>
  </r>
  <r>
    <x v="1477"/>
    <s v="2023-02-09"/>
    <s v="Для дома"/>
    <n v="106"/>
    <d v="2023-02-09T00:00:00"/>
    <n v="63"/>
  </r>
  <r>
    <x v="1478"/>
    <s v="2023-03-07"/>
    <s v="Для дома"/>
    <n v="684"/>
    <d v="2023-03-07T00:00:00"/>
    <n v="37"/>
  </r>
  <r>
    <x v="1479"/>
    <s v="2019-10-24"/>
    <s v="Уход"/>
    <n v="1580"/>
    <d v="2019-10-24T00:00:00"/>
    <n v="1267"/>
  </r>
  <r>
    <x v="541"/>
    <s v="2021-03-09"/>
    <s v="Уход за волосами"/>
    <n v="549"/>
    <d v="2021-03-09T00:00:00"/>
    <n v="765"/>
  </r>
  <r>
    <x v="1011"/>
    <s v="2022-04-21"/>
    <s v="Уход"/>
    <n v="4400"/>
    <d v="2022-04-21T00:00:00"/>
    <n v="357"/>
  </r>
  <r>
    <x v="34"/>
    <s v="2022-07-30"/>
    <s v="Макияж"/>
    <n v="198931.42"/>
    <d v="2022-07-30T00:00:00"/>
    <n v="257"/>
  </r>
  <r>
    <x v="1480"/>
    <s v="2022-03-05"/>
    <s v="Для дома"/>
    <n v="155"/>
    <d v="2022-03-05T00:00:00"/>
    <n v="404"/>
  </r>
  <r>
    <x v="1481"/>
    <s v="2021-02-26"/>
    <s v="Уход"/>
    <n v="948"/>
    <d v="2021-02-26T00:00:00"/>
    <n v="776"/>
  </r>
  <r>
    <x v="1482"/>
    <s v="2022-06-16"/>
    <s v="Для дома"/>
    <n v="1819"/>
    <d v="2022-06-16T00:00:00"/>
    <n v="301"/>
  </r>
  <r>
    <x v="1483"/>
    <s v="2021-11-18"/>
    <s v="Уход"/>
    <n v="320"/>
    <d v="2021-11-18T00:00:00"/>
    <n v="511"/>
  </r>
  <r>
    <x v="1484"/>
    <s v="2023-03-23"/>
    <s v="Уход"/>
    <n v="180"/>
    <d v="2023-03-23T00:00:00"/>
    <n v="21"/>
  </r>
  <r>
    <x v="1485"/>
    <s v="2022-12-08"/>
    <s v="Уход за волосами"/>
    <n v="3360"/>
    <d v="2022-12-08T00:00:00"/>
    <n v="126"/>
  </r>
  <r>
    <x v="1486"/>
    <s v="2021-10-09"/>
    <s v="Уход"/>
    <n v="297"/>
    <d v="2021-10-09T00:00:00"/>
    <n v="551"/>
  </r>
  <r>
    <x v="1487"/>
    <s v="2022-07-28"/>
    <s v="Макияж"/>
    <n v="328"/>
    <d v="2022-07-28T00:00:00"/>
    <n v="259"/>
  </r>
  <r>
    <x v="1488"/>
    <s v="2023-03-23"/>
    <s v="Уход за волосами"/>
    <n v="207"/>
    <d v="2023-03-23T00:00:00"/>
    <n v="21"/>
  </r>
  <r>
    <x v="1489"/>
    <s v="2019-06-12"/>
    <s v="Уход"/>
    <n v="362"/>
    <d v="2019-06-12T00:00:00"/>
    <n v="1401"/>
  </r>
  <r>
    <x v="1490"/>
    <s v="2022-08-10"/>
    <s v="Уход"/>
    <n v="2749"/>
    <d v="2022-08-10T00:00:00"/>
    <n v="246"/>
  </r>
  <r>
    <x v="1491"/>
    <s v="2022-03-04"/>
    <s v="Уход"/>
    <n v="18830"/>
    <d v="2022-03-04T00:00:00"/>
    <n v="405"/>
  </r>
  <r>
    <x v="1492"/>
    <s v="2022-10-15"/>
    <s v="Уход за волосами"/>
    <n v="778"/>
    <d v="2022-10-15T00:00:00"/>
    <n v="180"/>
  </r>
  <r>
    <x v="1171"/>
    <s v="2021-11-19"/>
    <s v="Уход"/>
    <n v="80"/>
    <d v="2021-11-19T00:00:00"/>
    <n v="510"/>
  </r>
  <r>
    <x v="1493"/>
    <s v="2023-01-21"/>
    <s v="Хоз.товары/бытовая химия"/>
    <n v="397"/>
    <d v="2023-01-21T00:00:00"/>
    <n v="82"/>
  </r>
  <r>
    <x v="1383"/>
    <s v="2023-03-10"/>
    <s v="Для дома"/>
    <n v="4390"/>
    <d v="2023-03-10T00:00:00"/>
    <n v="34"/>
  </r>
  <r>
    <x v="370"/>
    <s v="2022-07-29"/>
    <s v="Одежда и аксессуары"/>
    <n v="6009"/>
    <d v="2022-07-29T00:00:00"/>
    <n v="258"/>
  </r>
  <r>
    <x v="1494"/>
    <s v="2020-08-13"/>
    <s v="Уход за волосами"/>
    <n v="15964"/>
    <d v="2020-08-13T00:00:00"/>
    <n v="973"/>
  </r>
  <r>
    <x v="1495"/>
    <s v="2020-10-23"/>
    <s v="Одежда и аксессуары"/>
    <n v="687"/>
    <d v="2020-10-23T00:00:00"/>
    <n v="902"/>
  </r>
  <r>
    <x v="1496"/>
    <s v="2022-01-16"/>
    <s v="Одежда и аксессуары"/>
    <n v="287"/>
    <d v="2022-01-16T00:00:00"/>
    <n v="452"/>
  </r>
  <r>
    <x v="1497"/>
    <s v="2023-04-02"/>
    <s v="Детский мир"/>
    <n v="199"/>
    <d v="2023-04-02T00:00:00"/>
    <n v="11"/>
  </r>
  <r>
    <x v="1498"/>
    <s v="2022-06-21"/>
    <s v="Уход за волосами"/>
    <n v="573"/>
    <d v="2022-06-21T00:00:00"/>
    <n v="296"/>
  </r>
  <r>
    <x v="1499"/>
    <s v="2021-07-06"/>
    <s v="Хоз.товары/бытовая химия"/>
    <n v="426"/>
    <d v="2021-07-06T00:00:00"/>
    <n v="646"/>
  </r>
  <r>
    <x v="277"/>
    <s v="2021-05-23"/>
    <s v="Уход"/>
    <n v="6267"/>
    <d v="2021-05-23T00:00:00"/>
    <n v="690"/>
  </r>
  <r>
    <x v="1500"/>
    <s v="2021-03-21"/>
    <s v="Уход"/>
    <n v="2655"/>
    <d v="2021-03-21T00:00:00"/>
    <n v="753"/>
  </r>
  <r>
    <x v="1501"/>
    <s v="2021-06-30"/>
    <s v="Уход за волосами"/>
    <n v="69"/>
    <d v="2021-06-30T00:00:00"/>
    <n v="652"/>
  </r>
  <r>
    <x v="1502"/>
    <s v="2022-12-20"/>
    <s v="Уход"/>
    <n v="790"/>
    <d v="2022-12-20T00:00:00"/>
    <n v="114"/>
  </r>
  <r>
    <x v="1503"/>
    <s v="2022-01-17"/>
    <s v="Уход за волосами"/>
    <n v="3710"/>
    <d v="2022-01-17T00:00:00"/>
    <n v="451"/>
  </r>
  <r>
    <x v="1504"/>
    <s v="2022-04-24"/>
    <s v="Для дома"/>
    <n v="119"/>
    <d v="2022-04-24T00:00:00"/>
    <n v="354"/>
  </r>
  <r>
    <x v="1505"/>
    <s v="2022-07-22"/>
    <s v="Уход"/>
    <n v="1550"/>
    <d v="2022-07-22T00:00:00"/>
    <n v="265"/>
  </r>
  <r>
    <x v="1506"/>
    <s v="2019-12-25"/>
    <s v="Уход"/>
    <n v="242"/>
    <d v="2019-12-25T00:00:00"/>
    <n v="1205"/>
  </r>
  <r>
    <x v="1507"/>
    <s v="2020-05-09"/>
    <s v="Детский мир"/>
    <n v="331"/>
    <d v="2020-05-09T00:00:00"/>
    <n v="1069"/>
  </r>
  <r>
    <x v="312"/>
    <s v="2021-09-03"/>
    <s v="Одежда и аксессуары"/>
    <n v="222"/>
    <d v="2021-09-03T00:00:00"/>
    <n v="587"/>
  </r>
  <r>
    <x v="590"/>
    <s v="2021-10-20"/>
    <s v="Для дома"/>
    <n v="501"/>
    <d v="2021-10-20T00:00:00"/>
    <n v="540"/>
  </r>
  <r>
    <x v="1490"/>
    <s v="2023-02-06"/>
    <s v="Уход"/>
    <n v="119"/>
    <d v="2023-02-06T00:00:00"/>
    <n v="66"/>
  </r>
  <r>
    <x v="1508"/>
    <s v="2023-02-17"/>
    <s v="Уход"/>
    <n v="1350"/>
    <d v="2023-02-17T00:00:00"/>
    <n v="55"/>
  </r>
  <r>
    <x v="1509"/>
    <s v="2020-03-09"/>
    <s v="Уход"/>
    <n v="1050"/>
    <d v="2020-03-09T00:00:00"/>
    <n v="1130"/>
  </r>
  <r>
    <x v="1262"/>
    <s v="2021-03-17"/>
    <s v="Уход за волосами"/>
    <n v="7880"/>
    <d v="2021-03-17T00:00:00"/>
    <n v="757"/>
  </r>
  <r>
    <x v="1494"/>
    <s v="2023-02-03"/>
    <s v="Хоз.товары/бытовая химия"/>
    <n v="270"/>
    <d v="2023-02-03T00:00:00"/>
    <n v="69"/>
  </r>
  <r>
    <x v="1141"/>
    <s v="2022-08-22"/>
    <s v="Уход за волосами"/>
    <n v="1976"/>
    <d v="2022-08-22T00:00:00"/>
    <n v="234"/>
  </r>
  <r>
    <x v="569"/>
    <s v="2021-03-16"/>
    <s v="Макияж"/>
    <n v="819"/>
    <d v="2021-03-16T00:00:00"/>
    <n v="758"/>
  </r>
  <r>
    <x v="1510"/>
    <s v="2022-07-20"/>
    <s v="Для дома"/>
    <n v="79"/>
    <d v="2022-07-20T00:00:00"/>
    <n v="267"/>
  </r>
  <r>
    <x v="34"/>
    <s v="2017-05-22"/>
    <s v="Хоз.товары/бытовая химия"/>
    <n v="46287.4"/>
    <d v="2017-05-22T00:00:00"/>
    <n v="2152"/>
  </r>
  <r>
    <x v="1511"/>
    <s v="2020-02-06"/>
    <s v="Уход за волосами"/>
    <n v="850"/>
    <d v="2020-02-06T00:00:00"/>
    <n v="1162"/>
  </r>
  <r>
    <x v="1512"/>
    <s v="2019-12-02"/>
    <s v="Уход за волосами"/>
    <n v="385"/>
    <d v="2019-12-02T00:00:00"/>
    <n v="1228"/>
  </r>
  <r>
    <x v="1513"/>
    <s v="2022-12-09"/>
    <s v="Уход"/>
    <n v="2191"/>
    <d v="2022-12-09T00:00:00"/>
    <n v="125"/>
  </r>
  <r>
    <x v="1514"/>
    <s v="2021-12-24"/>
    <s v="Уход"/>
    <n v="399"/>
    <d v="2021-12-24T00:00:00"/>
    <n v="475"/>
  </r>
  <r>
    <x v="1515"/>
    <s v="2022-12-02"/>
    <s v="Уход"/>
    <n v="947"/>
    <d v="2022-12-02T00:00:00"/>
    <n v="132"/>
  </r>
  <r>
    <x v="1516"/>
    <s v="2021-10-26"/>
    <s v="Хоз.товары/бытовая химия"/>
    <n v="240"/>
    <d v="2021-10-26T00:00:00"/>
    <n v="534"/>
  </r>
  <r>
    <x v="1517"/>
    <s v="2019-10-25"/>
    <s v="Детский мир"/>
    <n v="375"/>
    <d v="2019-10-25T00:00:00"/>
    <n v="1266"/>
  </r>
  <r>
    <x v="284"/>
    <s v="2021-01-27"/>
    <s v="Уход за волосами"/>
    <n v="1253"/>
    <d v="2021-01-27T00:00:00"/>
    <n v="806"/>
  </r>
  <r>
    <x v="1518"/>
    <s v="2020-01-19"/>
    <s v="Хоз.товары/бытовая химия"/>
    <n v="73"/>
    <d v="2020-01-19T00:00:00"/>
    <n v="1180"/>
  </r>
  <r>
    <x v="1519"/>
    <s v="2022-07-04"/>
    <s v="Уход за волосами"/>
    <n v="1552"/>
    <d v="2022-07-04T00:00:00"/>
    <n v="283"/>
  </r>
  <r>
    <x v="1520"/>
    <s v="2020-02-16"/>
    <s v="Для дома"/>
    <n v="339"/>
    <d v="2020-02-16T00:00:00"/>
    <n v="1152"/>
  </r>
  <r>
    <x v="1521"/>
    <s v="2020-02-25"/>
    <s v="Уход за волосами"/>
    <n v="2097"/>
    <d v="2020-02-25T00:00:00"/>
    <n v="1143"/>
  </r>
  <r>
    <x v="566"/>
    <s v="2022-10-13"/>
    <s v="Для дома"/>
    <n v="263"/>
    <d v="2022-10-13T00:00:00"/>
    <n v="182"/>
  </r>
  <r>
    <x v="516"/>
    <s v="2022-06-01"/>
    <s v="Уход"/>
    <n v="1820"/>
    <d v="2022-06-01T00:00:00"/>
    <n v="316"/>
  </r>
  <r>
    <x v="1522"/>
    <s v="2021-09-01"/>
    <s v="Уход за волосами"/>
    <n v="319"/>
    <d v="2021-09-01T00:00:00"/>
    <n v="589"/>
  </r>
  <r>
    <x v="1523"/>
    <s v="2022-06-17"/>
    <s v="Уход"/>
    <n v="1279"/>
    <d v="2022-06-17T00:00:00"/>
    <n v="300"/>
  </r>
  <r>
    <x v="1524"/>
    <s v="2022-10-21"/>
    <s v="Для дома"/>
    <n v="2020"/>
    <d v="2022-10-21T00:00:00"/>
    <n v="174"/>
  </r>
  <r>
    <x v="1525"/>
    <s v="2020-06-01"/>
    <s v="Уход"/>
    <n v="990"/>
    <d v="2020-06-01T00:00:00"/>
    <n v="1046"/>
  </r>
  <r>
    <x v="1526"/>
    <s v="2022-10-05"/>
    <s v="Уход за волосами"/>
    <n v="255"/>
    <d v="2022-10-05T00:00:00"/>
    <n v="190"/>
  </r>
  <r>
    <x v="575"/>
    <s v="2020-10-03"/>
    <s v="Уход"/>
    <n v="2335"/>
    <d v="2020-10-03T00:00:00"/>
    <n v="922"/>
  </r>
  <r>
    <x v="1527"/>
    <s v="2020-11-30"/>
    <s v="Уход"/>
    <n v="267"/>
    <d v="2020-11-30T00:00:00"/>
    <n v="864"/>
  </r>
  <r>
    <x v="1528"/>
    <s v="2022-02-16"/>
    <s v="Уход"/>
    <n v="2148"/>
    <d v="2022-02-16T00:00:00"/>
    <n v="421"/>
  </r>
  <r>
    <x v="1529"/>
    <s v="2023-02-22"/>
    <s v="Уход"/>
    <n v="249"/>
    <d v="2023-02-22T00:00:00"/>
    <n v="50"/>
  </r>
  <r>
    <x v="1530"/>
    <s v="2023-03-19"/>
    <s v="Уход"/>
    <n v="687"/>
    <d v="2023-03-19T00:00:00"/>
    <n v="25"/>
  </r>
  <r>
    <x v="1531"/>
    <s v="2022-01-05"/>
    <s v="Для дома"/>
    <n v="2886"/>
    <d v="2022-01-05T00:00:00"/>
    <n v="463"/>
  </r>
  <r>
    <x v="68"/>
    <s v="2020-01-02"/>
    <s v="Уход за волосами"/>
    <n v="5125"/>
    <d v="2020-01-02T00:00:00"/>
    <n v="1197"/>
  </r>
  <r>
    <x v="1532"/>
    <s v="2020-09-30"/>
    <s v="Уход за волосами"/>
    <n v="156"/>
    <d v="2020-09-30T00:00:00"/>
    <n v="925"/>
  </r>
  <r>
    <x v="1499"/>
    <s v="2022-11-02"/>
    <s v="Детский мир"/>
    <n v="4077"/>
    <d v="2022-11-02T00:00:00"/>
    <n v="162"/>
  </r>
  <r>
    <x v="289"/>
    <s v="2020-12-11"/>
    <s v="Детский мир"/>
    <n v="402"/>
    <d v="2020-12-11T00:00:00"/>
    <n v="853"/>
  </r>
  <r>
    <x v="1533"/>
    <s v="2019-12-27"/>
    <s v="Уход"/>
    <n v="485"/>
    <d v="2019-12-27T00:00:00"/>
    <n v="1203"/>
  </r>
  <r>
    <x v="1000"/>
    <s v="2020-10-10"/>
    <s v="Для дома"/>
    <n v="1137"/>
    <d v="2020-10-10T00:00:00"/>
    <n v="915"/>
  </r>
  <r>
    <x v="1534"/>
    <s v="2021-10-29"/>
    <s v="Уход за волосами"/>
    <n v="930"/>
    <d v="2021-10-29T00:00:00"/>
    <n v="531"/>
  </r>
  <r>
    <x v="575"/>
    <s v="2022-08-13"/>
    <s v="Уход за волосами"/>
    <n v="2290"/>
    <d v="2022-08-13T00:00:00"/>
    <n v="243"/>
  </r>
  <r>
    <x v="1357"/>
    <s v="2022-02-06"/>
    <s v="Уход"/>
    <n v="127"/>
    <d v="2022-02-06T00:00:00"/>
    <n v="431"/>
  </r>
  <r>
    <x v="827"/>
    <s v="2023-03-14"/>
    <s v="Уход за волосами"/>
    <n v="2370"/>
    <d v="2023-03-14T00:00:00"/>
    <n v="30"/>
  </r>
  <r>
    <x v="805"/>
    <s v="2022-01-21"/>
    <s v="Уход за волосами"/>
    <n v="590"/>
    <d v="2022-01-21T00:00:00"/>
    <n v="447"/>
  </r>
  <r>
    <x v="1535"/>
    <s v="2020-08-22"/>
    <s v="Уход за волосами"/>
    <n v="2093"/>
    <d v="2020-08-22T00:00:00"/>
    <n v="964"/>
  </r>
  <r>
    <x v="1536"/>
    <s v="2022-07-07"/>
    <s v="Уход"/>
    <n v="2837"/>
    <d v="2022-07-07T00:00:00"/>
    <n v="280"/>
  </r>
  <r>
    <x v="955"/>
    <s v="2020-08-21"/>
    <s v="Детский мир"/>
    <n v="188"/>
    <d v="2020-08-21T00:00:00"/>
    <n v="965"/>
  </r>
  <r>
    <x v="1537"/>
    <s v="2020-05-20"/>
    <s v="Для дома"/>
    <n v="245"/>
    <d v="2020-05-20T00:00:00"/>
    <n v="1058"/>
  </r>
  <r>
    <x v="874"/>
    <s v="2022-10-26"/>
    <s v="Одежда и аксессуары"/>
    <n v="1600"/>
    <d v="2022-10-26T00:00:00"/>
    <n v="169"/>
  </r>
  <r>
    <x v="1538"/>
    <s v="2021-06-23"/>
    <s v="Уход за волосами"/>
    <n v="906"/>
    <d v="2021-06-23T00:00:00"/>
    <n v="659"/>
  </r>
  <r>
    <x v="1539"/>
    <s v="2020-06-18"/>
    <s v="Уход"/>
    <n v="450"/>
    <d v="2020-06-18T00:00:00"/>
    <n v="1029"/>
  </r>
  <r>
    <x v="1156"/>
    <s v="2022-09-12"/>
    <s v="Уход"/>
    <n v="299"/>
    <d v="2022-09-12T00:00:00"/>
    <n v="213"/>
  </r>
  <r>
    <x v="1540"/>
    <s v="2020-10-03"/>
    <s v="Уход за волосами"/>
    <n v="1467"/>
    <d v="2020-10-03T00:00:00"/>
    <n v="922"/>
  </r>
  <r>
    <x v="1541"/>
    <s v="2020-10-10"/>
    <s v="Уход"/>
    <n v="299"/>
    <d v="2020-10-10T00:00:00"/>
    <n v="915"/>
  </r>
  <r>
    <x v="1542"/>
    <s v="2019-09-20"/>
    <s v="Детский мир"/>
    <n v="481"/>
    <d v="2019-09-20T00:00:00"/>
    <n v="1301"/>
  </r>
  <r>
    <x v="1543"/>
    <s v="2022-09-18"/>
    <s v="Уход за волосами"/>
    <n v="2550"/>
    <d v="2022-09-18T00:00:00"/>
    <n v="207"/>
  </r>
  <r>
    <x v="1544"/>
    <s v="2022-06-06"/>
    <s v="Уход"/>
    <n v="255"/>
    <d v="2022-06-06T00:00:00"/>
    <n v="311"/>
  </r>
  <r>
    <x v="1545"/>
    <s v="2022-09-28"/>
    <s v="Уход"/>
    <n v="10795"/>
    <d v="2022-09-28T00:00:00"/>
    <n v="197"/>
  </r>
  <r>
    <x v="846"/>
    <s v="2022-12-13"/>
    <s v="Уход"/>
    <n v="1086"/>
    <d v="2022-12-13T00:00:00"/>
    <n v="121"/>
  </r>
  <r>
    <x v="121"/>
    <s v="2023-03-17"/>
    <s v="Уход за волосами"/>
    <n v="205"/>
    <d v="2023-03-17T00:00:00"/>
    <n v="27"/>
  </r>
  <r>
    <x v="1546"/>
    <s v="2021-05-22"/>
    <s v="Уход"/>
    <n v="5130"/>
    <d v="2021-05-22T00:00:00"/>
    <n v="691"/>
  </r>
  <r>
    <x v="1547"/>
    <s v="2021-01-02"/>
    <s v="Уход за волосами"/>
    <n v="523"/>
    <d v="2021-01-02T00:00:00"/>
    <n v="831"/>
  </r>
  <r>
    <x v="1533"/>
    <s v="2021-11-19"/>
    <s v="Хоз.товары/бытовая химия"/>
    <n v="39"/>
    <d v="2021-11-19T00:00:00"/>
    <n v="510"/>
  </r>
  <r>
    <x v="1548"/>
    <s v="2023-03-04"/>
    <s v="Уход"/>
    <n v="4047"/>
    <d v="2023-03-04T00:00:00"/>
    <n v="40"/>
  </r>
  <r>
    <x v="1549"/>
    <s v="2020-08-13"/>
    <s v="Уход"/>
    <n v="259"/>
    <d v="2020-08-13T00:00:00"/>
    <n v="973"/>
  </r>
  <r>
    <x v="95"/>
    <s v="2021-05-12"/>
    <s v="Уход за волосами"/>
    <n v="741"/>
    <d v="2021-05-12T00:00:00"/>
    <n v="701"/>
  </r>
  <r>
    <x v="452"/>
    <s v="2020-09-10"/>
    <s v="Уход"/>
    <n v="4499"/>
    <d v="2020-09-10T00:00:00"/>
    <n v="945"/>
  </r>
  <r>
    <x v="1550"/>
    <s v="2021-03-01"/>
    <s v="Одежда и аксессуары"/>
    <n v="711"/>
    <d v="2021-03-01T00:00:00"/>
    <n v="773"/>
  </r>
  <r>
    <x v="762"/>
    <s v="2021-03-28"/>
    <s v="Уход за волосами"/>
    <n v="2004"/>
    <d v="2021-03-28T00:00:00"/>
    <n v="746"/>
  </r>
  <r>
    <x v="1551"/>
    <s v="2021-08-16"/>
    <s v="Уход"/>
    <n v="549"/>
    <d v="2021-08-16T00:00:00"/>
    <n v="605"/>
  </r>
  <r>
    <x v="1552"/>
    <s v="2023-01-15"/>
    <s v="Для дома"/>
    <n v="3276"/>
    <d v="2023-01-15T00:00:00"/>
    <n v="88"/>
  </r>
  <r>
    <x v="1553"/>
    <s v="2022-06-18"/>
    <s v="Уход"/>
    <n v="995"/>
    <d v="2022-06-18T00:00:00"/>
    <n v="299"/>
  </r>
  <r>
    <x v="507"/>
    <s v="2021-06-04"/>
    <s v="Одежда и аксессуары"/>
    <n v="588"/>
    <d v="2021-06-04T00:00:00"/>
    <n v="678"/>
  </r>
  <r>
    <x v="1222"/>
    <s v="2021-09-24"/>
    <s v="Уход"/>
    <n v="24631"/>
    <d v="2021-09-24T00:00:00"/>
    <n v="566"/>
  </r>
  <r>
    <x v="1554"/>
    <s v="2022-08-21"/>
    <s v="Уход за волосами"/>
    <n v="646"/>
    <d v="2022-08-21T00:00:00"/>
    <n v="235"/>
  </r>
  <r>
    <x v="1555"/>
    <s v="2023-03-15"/>
    <s v="Уход за волосами"/>
    <n v="519"/>
    <d v="2023-03-15T00:00:00"/>
    <n v="29"/>
  </r>
  <r>
    <x v="1556"/>
    <s v="2020-06-04"/>
    <s v="Уход"/>
    <n v="108"/>
    <d v="2020-06-04T00:00:00"/>
    <n v="1043"/>
  </r>
  <r>
    <x v="1378"/>
    <s v="2020-05-03"/>
    <s v="Макияж"/>
    <n v="146"/>
    <d v="2020-05-03T00:00:00"/>
    <n v="1075"/>
  </r>
  <r>
    <x v="1557"/>
    <s v="2019-12-09"/>
    <s v="Уход"/>
    <n v="786"/>
    <d v="2019-12-09T00:00:00"/>
    <n v="1221"/>
  </r>
  <r>
    <x v="1558"/>
    <s v="2022-12-02"/>
    <s v="Макияж"/>
    <n v="250"/>
    <d v="2022-12-02T00:00:00"/>
    <n v="132"/>
  </r>
  <r>
    <x v="683"/>
    <s v="2019-11-16"/>
    <s v="Уход за волосами"/>
    <n v="2475"/>
    <d v="2019-11-16T00:00:00"/>
    <n v="1244"/>
  </r>
  <r>
    <x v="1559"/>
    <s v="2021-11-09"/>
    <s v="Уход за волосами"/>
    <n v="193"/>
    <d v="2021-11-09T00:00:00"/>
    <n v="520"/>
  </r>
  <r>
    <x v="1560"/>
    <s v="2021-10-06"/>
    <s v="Уход"/>
    <n v="795"/>
    <d v="2021-10-06T00:00:00"/>
    <n v="554"/>
  </r>
  <r>
    <x v="1561"/>
    <s v="2022-07-01"/>
    <s v="Макияж"/>
    <n v="301"/>
    <d v="2022-07-01T00:00:00"/>
    <n v="286"/>
  </r>
  <r>
    <x v="1562"/>
    <s v="2021-11-20"/>
    <s v="Уход за волосами"/>
    <n v="2691"/>
    <d v="2021-11-20T00:00:00"/>
    <n v="509"/>
  </r>
  <r>
    <x v="1563"/>
    <s v="2022-05-16"/>
    <s v="Уход"/>
    <n v="597"/>
    <d v="2022-05-16T00:00:00"/>
    <n v="332"/>
  </r>
  <r>
    <x v="891"/>
    <s v="2021-01-26"/>
    <s v="Уход за волосами"/>
    <n v="1106"/>
    <d v="2021-01-26T00:00:00"/>
    <n v="807"/>
  </r>
  <r>
    <x v="934"/>
    <s v="2020-03-02"/>
    <s v="Уход"/>
    <n v="430"/>
    <d v="2020-03-02T00:00:00"/>
    <n v="1137"/>
  </r>
  <r>
    <x v="1474"/>
    <s v="2023-03-13"/>
    <s v="Уход за волосами"/>
    <n v="1597"/>
    <d v="2023-03-13T00:00:00"/>
    <n v="31"/>
  </r>
  <r>
    <x v="1564"/>
    <s v="2023-01-26"/>
    <s v="Для дома"/>
    <n v="74"/>
    <d v="2023-01-26T00:00:00"/>
    <n v="77"/>
  </r>
  <r>
    <x v="1565"/>
    <s v="2021-01-31"/>
    <s v="Уход за волосами"/>
    <n v="470"/>
    <d v="2021-01-31T00:00:00"/>
    <n v="802"/>
  </r>
  <r>
    <x v="1566"/>
    <s v="2020-11-14"/>
    <s v="Уход за волосами"/>
    <n v="568"/>
    <d v="2020-11-14T00:00:00"/>
    <n v="880"/>
  </r>
  <r>
    <x v="1567"/>
    <s v="2023-03-13"/>
    <s v="Макияж"/>
    <n v="2352"/>
    <d v="2023-03-13T00:00:00"/>
    <n v="31"/>
  </r>
  <r>
    <x v="201"/>
    <s v="2021-10-09"/>
    <s v="Макияж"/>
    <n v="3600"/>
    <d v="2021-10-09T00:00:00"/>
    <n v="551"/>
  </r>
  <r>
    <x v="97"/>
    <s v="2020-04-21"/>
    <s v="Уход"/>
    <n v="1080"/>
    <d v="2020-04-21T00:00:00"/>
    <n v="1087"/>
  </r>
  <r>
    <x v="327"/>
    <s v="2021-07-10"/>
    <s v="Уход за волосами"/>
    <n v="2570"/>
    <d v="2021-07-10T00:00:00"/>
    <n v="642"/>
  </r>
  <r>
    <x v="1117"/>
    <s v="2022-06-24"/>
    <s v="Уход за волосами"/>
    <n v="1060"/>
    <d v="2022-06-24T00:00:00"/>
    <n v="293"/>
  </r>
  <r>
    <x v="1568"/>
    <s v="2021-06-29"/>
    <s v="Уход за волосами"/>
    <n v="3631"/>
    <d v="2021-06-29T00:00:00"/>
    <n v="653"/>
  </r>
  <r>
    <x v="1569"/>
    <s v="2020-12-26"/>
    <s v="Уход за волосами"/>
    <n v="550"/>
    <d v="2020-12-26T00:00:00"/>
    <n v="838"/>
  </r>
  <r>
    <x v="1540"/>
    <s v="2019-07-05"/>
    <s v="Уход за волосами"/>
    <n v="1122"/>
    <d v="2019-07-05T00:00:00"/>
    <n v="1378"/>
  </r>
  <r>
    <x v="1570"/>
    <s v="2022-06-12"/>
    <s v="Для дома"/>
    <n v="29"/>
    <d v="2022-06-12T00:00:00"/>
    <n v="305"/>
  </r>
  <r>
    <x v="1148"/>
    <s v="2021-12-22"/>
    <s v="Уход"/>
    <n v="399"/>
    <d v="2021-12-22T00:00:00"/>
    <n v="477"/>
  </r>
  <r>
    <x v="581"/>
    <s v="2021-08-01"/>
    <s v="Уход"/>
    <n v="6750"/>
    <d v="2021-08-01T00:00:00"/>
    <n v="620"/>
  </r>
  <r>
    <x v="1571"/>
    <s v="2019-05-29"/>
    <s v="Уход за волосами"/>
    <n v="8760"/>
    <d v="2019-05-29T00:00:00"/>
    <n v="1415"/>
  </r>
  <r>
    <x v="1572"/>
    <s v="2023-01-19"/>
    <s v="Макияж"/>
    <n v="699"/>
    <d v="2023-01-19T00:00:00"/>
    <n v="84"/>
  </r>
  <r>
    <x v="1573"/>
    <s v="2022-12-16"/>
    <s v="Макияж"/>
    <n v="4136"/>
    <d v="2022-12-16T00:00:00"/>
    <n v="118"/>
  </r>
  <r>
    <x v="1574"/>
    <s v="2023-01-05"/>
    <s v="Уход за волосами"/>
    <n v="629"/>
    <d v="2023-01-05T00:00:00"/>
    <n v="98"/>
  </r>
  <r>
    <x v="34"/>
    <s v="2020-04-13"/>
    <s v="Детский мир"/>
    <n v="2060"/>
    <d v="2020-04-13T00:00:00"/>
    <n v="1095"/>
  </r>
  <r>
    <x v="1016"/>
    <s v="2021-04-11"/>
    <s v="Уход за волосами"/>
    <n v="1495"/>
    <d v="2021-04-11T00:00:00"/>
    <n v="732"/>
  </r>
  <r>
    <x v="1575"/>
    <s v="2022-11-01"/>
    <s v="Уход"/>
    <n v="6450"/>
    <d v="2022-11-01T00:00:00"/>
    <n v="163"/>
  </r>
  <r>
    <x v="1576"/>
    <s v="2021-04-10"/>
    <s v="Для дома"/>
    <n v="119"/>
    <d v="2021-04-10T00:00:00"/>
    <n v="733"/>
  </r>
  <r>
    <x v="1577"/>
    <s v="2022-06-16"/>
    <s v="Для дома"/>
    <n v="119"/>
    <d v="2022-06-16T00:00:00"/>
    <n v="301"/>
  </r>
  <r>
    <x v="1578"/>
    <s v="2021-11-10"/>
    <s v="Хоз.товары/бытовая химия"/>
    <n v="39"/>
    <d v="2021-11-10T00:00:00"/>
    <n v="519"/>
  </r>
  <r>
    <x v="1579"/>
    <s v="2021-01-29"/>
    <s v="Хоз.товары/бытовая химия"/>
    <n v="58"/>
    <d v="2021-01-29T00:00:00"/>
    <n v="804"/>
  </r>
  <r>
    <x v="1454"/>
    <s v="2023-03-23"/>
    <s v="Уход за волосами"/>
    <n v="1200"/>
    <d v="2023-03-23T00:00:00"/>
    <n v="21"/>
  </r>
  <r>
    <x v="1580"/>
    <s v="2022-07-20"/>
    <s v="Уход за волосами"/>
    <n v="378"/>
    <d v="2022-07-20T00:00:00"/>
    <n v="267"/>
  </r>
  <r>
    <x v="1317"/>
    <s v="2020-01-03"/>
    <s v="Уход за волосами"/>
    <n v="385"/>
    <d v="2020-01-03T00:00:00"/>
    <n v="1196"/>
  </r>
  <r>
    <x v="1508"/>
    <s v="2021-08-05"/>
    <s v="Макияж"/>
    <n v="1350"/>
    <d v="2021-08-05T00:00:00"/>
    <n v="616"/>
  </r>
  <r>
    <x v="1581"/>
    <s v="2021-10-27"/>
    <s v="Хоз.товары/бытовая химия"/>
    <n v="89"/>
    <d v="2021-10-27T00:00:00"/>
    <n v="533"/>
  </r>
  <r>
    <x v="73"/>
    <s v="2021-09-13"/>
    <s v="Хоз.товары/бытовая химия"/>
    <n v="153"/>
    <d v="2021-09-13T00:00:00"/>
    <n v="577"/>
  </r>
  <r>
    <x v="1582"/>
    <s v="2021-03-18"/>
    <s v="Уход"/>
    <n v="2289"/>
    <d v="2021-03-18T00:00:00"/>
    <n v="756"/>
  </r>
  <r>
    <x v="717"/>
    <s v="2022-08-07"/>
    <s v="Уход"/>
    <n v="1196"/>
    <d v="2022-08-07T00:00:00"/>
    <n v="249"/>
  </r>
  <r>
    <x v="1269"/>
    <s v="2020-12-17"/>
    <s v="Уход"/>
    <n v="252"/>
    <d v="2020-12-17T00:00:00"/>
    <n v="847"/>
  </r>
  <r>
    <x v="1583"/>
    <s v="2022-01-30"/>
    <s v="Уход за волосами"/>
    <n v="269"/>
    <d v="2022-01-30T00:00:00"/>
    <n v="438"/>
  </r>
  <r>
    <x v="848"/>
    <s v="2023-04-13"/>
    <s v="Уход"/>
    <n v="539"/>
    <d v="2023-04-13T00:00:00"/>
    <n v="0"/>
  </r>
  <r>
    <x v="1059"/>
    <s v="2023-03-04"/>
    <s v="Уход за волосами"/>
    <n v="8297"/>
    <d v="2023-03-04T00:00:00"/>
    <n v="40"/>
  </r>
  <r>
    <x v="357"/>
    <s v="2019-10-30"/>
    <s v="Одежда и аксессуары"/>
    <n v="358"/>
    <d v="2019-10-30T00:00:00"/>
    <n v="1261"/>
  </r>
  <r>
    <x v="1584"/>
    <s v="2022-12-01"/>
    <s v="Одежда и аксессуары"/>
    <n v="1100"/>
    <d v="2022-12-01T00:00:00"/>
    <n v="133"/>
  </r>
  <r>
    <x v="112"/>
    <s v="2023-02-17"/>
    <s v="Уход"/>
    <n v="4288"/>
    <d v="2023-02-17T00:00:00"/>
    <n v="55"/>
  </r>
  <r>
    <x v="315"/>
    <s v="2021-01-15"/>
    <s v="Для дома"/>
    <n v="62"/>
    <d v="2021-01-15T00:00:00"/>
    <n v="818"/>
  </r>
  <r>
    <x v="496"/>
    <s v="2022-03-07"/>
    <s v="Детский мир"/>
    <n v="257"/>
    <d v="2022-03-07T00:00:00"/>
    <n v="402"/>
  </r>
  <r>
    <x v="1585"/>
    <s v="2022-09-23"/>
    <s v="Уход за волосами"/>
    <n v="4300"/>
    <d v="2022-09-23T00:00:00"/>
    <n v="202"/>
  </r>
  <r>
    <x v="1082"/>
    <s v="2022-03-10"/>
    <s v="Уход"/>
    <n v="376"/>
    <d v="2022-03-10T00:00:00"/>
    <n v="399"/>
  </r>
  <r>
    <x v="1586"/>
    <s v="2021-01-20"/>
    <s v="Уход за волосами"/>
    <n v="3812"/>
    <d v="2021-01-20T00:00:00"/>
    <n v="813"/>
  </r>
  <r>
    <x v="1029"/>
    <s v="2019-12-05"/>
    <s v="Уход за волосами"/>
    <n v="695"/>
    <d v="2019-12-05T00:00:00"/>
    <n v="1225"/>
  </r>
  <r>
    <x v="776"/>
    <s v="2021-12-27"/>
    <s v="Уход"/>
    <n v="1516"/>
    <d v="2021-12-27T00:00:00"/>
    <n v="472"/>
  </r>
  <r>
    <x v="1587"/>
    <s v="2019-08-25"/>
    <s v="Уход за волосами"/>
    <n v="5010"/>
    <d v="2019-08-25T00:00:00"/>
    <n v="1327"/>
  </r>
  <r>
    <x v="236"/>
    <s v="2020-09-30"/>
    <s v="Для дома"/>
    <n v="357"/>
    <d v="2020-09-30T00:00:00"/>
    <n v="925"/>
  </r>
  <r>
    <x v="1057"/>
    <s v="2021-01-31"/>
    <s v="Уход"/>
    <n v="0"/>
    <d v="2021-01-31T00:00:00"/>
    <n v="802"/>
  </r>
  <r>
    <x v="1588"/>
    <s v="2021-08-22"/>
    <s v="Уход"/>
    <n v="2142"/>
    <d v="2021-08-22T00:00:00"/>
    <n v="599"/>
  </r>
  <r>
    <x v="419"/>
    <s v="2021-06-17"/>
    <s v="Уход за волосами"/>
    <n v="34200"/>
    <d v="2021-06-17T00:00:00"/>
    <n v="665"/>
  </r>
  <r>
    <x v="646"/>
    <s v="2019-12-17"/>
    <s v="Уход за волосами"/>
    <n v="540"/>
    <d v="2019-12-17T00:00:00"/>
    <n v="1213"/>
  </r>
  <r>
    <x v="1589"/>
    <s v="2021-02-25"/>
    <s v="Уход за волосами"/>
    <n v="3790"/>
    <d v="2021-02-25T00:00:00"/>
    <n v="777"/>
  </r>
  <r>
    <x v="1590"/>
    <s v="2022-08-12"/>
    <s v="Уход за волосами"/>
    <n v="1800"/>
    <d v="2022-08-12T00:00:00"/>
    <n v="244"/>
  </r>
  <r>
    <x v="149"/>
    <s v="2021-03-04"/>
    <s v="Уход за волосами"/>
    <n v="1572"/>
    <d v="2021-03-04T00:00:00"/>
    <n v="770"/>
  </r>
  <r>
    <x v="1591"/>
    <s v="2021-11-23"/>
    <s v="Уход за волосами"/>
    <n v="3345"/>
    <d v="2021-11-23T00:00:00"/>
    <n v="506"/>
  </r>
  <r>
    <x v="142"/>
    <s v="2020-02-23"/>
    <s v="Одежда и аксессуары"/>
    <n v="122"/>
    <d v="2020-02-23T00:00:00"/>
    <n v="1145"/>
  </r>
  <r>
    <x v="1592"/>
    <s v="2022-06-14"/>
    <s v="Уход"/>
    <n v="442"/>
    <d v="2022-06-14T00:00:00"/>
    <n v="303"/>
  </r>
  <r>
    <x v="1008"/>
    <s v="2022-02-12"/>
    <s v="Детский мир"/>
    <n v="455"/>
    <d v="2022-02-12T00:00:00"/>
    <n v="425"/>
  </r>
  <r>
    <x v="568"/>
    <s v="2019-04-16"/>
    <s v="Уход"/>
    <n v="35"/>
    <d v="2019-04-16T00:00:00"/>
    <n v="1458"/>
  </r>
  <r>
    <x v="1593"/>
    <s v="2020-02-17"/>
    <s v="Для дома"/>
    <n v="1327"/>
    <d v="2020-02-17T00:00:00"/>
    <n v="1151"/>
  </r>
  <r>
    <x v="1594"/>
    <s v="2022-12-28"/>
    <s v="Уход"/>
    <n v="1114"/>
    <d v="2022-12-28T00:00:00"/>
    <n v="106"/>
  </r>
  <r>
    <x v="1595"/>
    <s v="2021-08-07"/>
    <s v="Детский мир"/>
    <n v="1600"/>
    <d v="2021-08-07T00:00:00"/>
    <n v="614"/>
  </r>
  <r>
    <x v="1596"/>
    <s v="2022-07-04"/>
    <s v="Уход за волосами"/>
    <n v="607"/>
    <d v="2022-07-04T00:00:00"/>
    <n v="283"/>
  </r>
  <r>
    <x v="1184"/>
    <s v="2023-02-13"/>
    <s v="Одежда и аксессуары"/>
    <n v="1947"/>
    <d v="2023-02-13T00:00:00"/>
    <n v="59"/>
  </r>
  <r>
    <x v="977"/>
    <s v="2023-02-10"/>
    <s v="Детский мир"/>
    <n v="242"/>
    <d v="2023-02-10T00:00:00"/>
    <n v="62"/>
  </r>
  <r>
    <x v="1597"/>
    <s v="2021-02-17"/>
    <s v="Уход за волосами"/>
    <n v="1484"/>
    <d v="2021-02-17T00:00:00"/>
    <n v="785"/>
  </r>
  <r>
    <x v="501"/>
    <s v="2020-10-15"/>
    <s v="Уход за волосами"/>
    <n v="357"/>
    <d v="2020-10-15T00:00:00"/>
    <n v="910"/>
  </r>
  <r>
    <x v="1598"/>
    <s v="2021-03-30"/>
    <s v="Уход за волосами"/>
    <n v="957"/>
    <d v="2021-03-30T00:00:00"/>
    <n v="744"/>
  </r>
  <r>
    <x v="1599"/>
    <s v="2020-01-03"/>
    <s v="Для дома"/>
    <n v="53"/>
    <d v="2020-01-03T00:00:00"/>
    <n v="1196"/>
  </r>
  <r>
    <x v="1600"/>
    <s v="2020-08-22"/>
    <s v="Уход"/>
    <n v="1239"/>
    <d v="2020-08-22T00:00:00"/>
    <n v="964"/>
  </r>
  <r>
    <x v="1601"/>
    <s v="2022-04-07"/>
    <s v="Уход за волосами"/>
    <n v="4390"/>
    <d v="2022-04-07T00:00:00"/>
    <n v="371"/>
  </r>
  <r>
    <x v="1602"/>
    <s v="2021-07-31"/>
    <s v="Уход"/>
    <n v="664"/>
    <d v="2021-07-31T00:00:00"/>
    <n v="621"/>
  </r>
  <r>
    <x v="1278"/>
    <s v="2022-04-01"/>
    <s v="Уход за волосами"/>
    <n v="374"/>
    <d v="2022-04-01T00:00:00"/>
    <n v="377"/>
  </r>
  <r>
    <x v="1603"/>
    <s v="2022-12-20"/>
    <s v="Уход за волосами"/>
    <n v="969"/>
    <d v="2022-12-20T00:00:00"/>
    <n v="114"/>
  </r>
  <r>
    <x v="737"/>
    <s v="2020-08-02"/>
    <s v="Уход за волосами"/>
    <n v="318"/>
    <d v="2020-08-02T00:00:00"/>
    <n v="984"/>
  </r>
  <r>
    <x v="943"/>
    <s v="2020-11-21"/>
    <s v="Для дома"/>
    <n v="579"/>
    <d v="2020-11-21T00:00:00"/>
    <n v="873"/>
  </r>
  <r>
    <x v="117"/>
    <s v="2021-07-29"/>
    <s v="Для дома"/>
    <n v="403"/>
    <d v="2021-07-29T00:00:00"/>
    <n v="623"/>
  </r>
  <r>
    <x v="1604"/>
    <s v="2023-03-17"/>
    <s v="Одежда и аксессуары"/>
    <n v="127"/>
    <d v="2023-03-17T00:00:00"/>
    <n v="27"/>
  </r>
  <r>
    <x v="1077"/>
    <s v="2023-03-10"/>
    <s v="Уход"/>
    <n v="2310"/>
    <d v="2023-03-10T00:00:00"/>
    <n v="34"/>
  </r>
  <r>
    <x v="1605"/>
    <s v="2023-02-05"/>
    <s v="Для дома"/>
    <n v="2593"/>
    <d v="2023-02-05T00:00:00"/>
    <n v="67"/>
  </r>
  <r>
    <x v="1606"/>
    <s v="2022-09-20"/>
    <s v="Уход"/>
    <n v="580"/>
    <d v="2022-09-20T00:00:00"/>
    <n v="205"/>
  </r>
  <r>
    <x v="532"/>
    <s v="2020-07-03"/>
    <s v="Для дома"/>
    <n v="35"/>
    <d v="2020-07-03T00:00:00"/>
    <n v="1014"/>
  </r>
  <r>
    <x v="1607"/>
    <s v="2023-04-03"/>
    <s v="Уход за волосами"/>
    <n v="1481"/>
    <d v="2023-04-03T00:00:00"/>
    <n v="10"/>
  </r>
  <r>
    <x v="1608"/>
    <s v="2022-05-01"/>
    <s v="Для дома"/>
    <n v="113"/>
    <d v="2022-05-01T00:00:00"/>
    <n v="347"/>
  </r>
  <r>
    <x v="1609"/>
    <s v="2020-08-31"/>
    <s v="Уход за волосами"/>
    <n v="1576"/>
    <d v="2020-08-31T00:00:00"/>
    <n v="955"/>
  </r>
  <r>
    <x v="1610"/>
    <s v="2021-11-19"/>
    <s v="Уход"/>
    <n v="915"/>
    <d v="2021-11-19T00:00:00"/>
    <n v="510"/>
  </r>
  <r>
    <x v="1611"/>
    <s v="2020-10-21"/>
    <s v="Уход за волосами"/>
    <n v="1539"/>
    <d v="2020-10-21T00:00:00"/>
    <n v="904"/>
  </r>
  <r>
    <x v="1612"/>
    <s v="2022-03-26"/>
    <s v="Уход за волосами"/>
    <n v="2594"/>
    <d v="2022-03-26T00:00:00"/>
    <n v="383"/>
  </r>
  <r>
    <x v="78"/>
    <s v="2023-02-28"/>
    <s v="Уход за волосами"/>
    <n v="366"/>
    <d v="2023-02-28T00:00:00"/>
    <n v="44"/>
  </r>
  <r>
    <x v="1613"/>
    <s v="2020-11-29"/>
    <s v="Уход"/>
    <n v="2559"/>
    <d v="2020-11-29T00:00:00"/>
    <n v="865"/>
  </r>
  <r>
    <x v="1614"/>
    <s v="2022-01-29"/>
    <s v="Хоз.товары/бытовая химия"/>
    <n v="65"/>
    <d v="2022-01-29T00:00:00"/>
    <n v="439"/>
  </r>
  <r>
    <x v="1615"/>
    <s v="2019-06-30"/>
    <s v="Хоз.товары/бытовая химия"/>
    <n v="540"/>
    <d v="2019-06-30T00:00:00"/>
    <n v="1383"/>
  </r>
  <r>
    <x v="1616"/>
    <s v="2022-01-20"/>
    <s v="Уход за волосами"/>
    <n v="660"/>
    <d v="2022-01-20T00:00:00"/>
    <n v="448"/>
  </r>
  <r>
    <x v="1617"/>
    <s v="2021-05-04"/>
    <s v="Уход"/>
    <n v="1588"/>
    <d v="2021-05-04T00:00:00"/>
    <n v="709"/>
  </r>
  <r>
    <x v="1618"/>
    <s v="2020-02-18"/>
    <s v="Для дома"/>
    <n v="56"/>
    <d v="2020-02-18T00:00:00"/>
    <n v="1150"/>
  </r>
  <r>
    <x v="1619"/>
    <s v="2019-12-23"/>
    <s v="Уход за волосами"/>
    <n v="385"/>
    <d v="2019-12-23T00:00:00"/>
    <n v="1207"/>
  </r>
  <r>
    <x v="1620"/>
    <s v="2020-03-04"/>
    <s v="Уход"/>
    <n v="207"/>
    <d v="2020-03-04T00:00:00"/>
    <n v="1135"/>
  </r>
  <r>
    <x v="524"/>
    <s v="2022-06-23"/>
    <s v="Уход"/>
    <n v="1991"/>
    <d v="2022-06-23T00:00:00"/>
    <n v="294"/>
  </r>
  <r>
    <x v="1621"/>
    <s v="2022-06-20"/>
    <s v="Для дома"/>
    <n v="523"/>
    <d v="2022-06-20T00:00:00"/>
    <n v="297"/>
  </r>
  <r>
    <x v="1303"/>
    <s v="2022-04-03"/>
    <s v="Уход за волосами"/>
    <n v="1383"/>
    <d v="2022-04-03T00:00:00"/>
    <n v="375"/>
  </r>
  <r>
    <x v="1622"/>
    <s v="2021-02-18"/>
    <s v="Уход"/>
    <n v="1299"/>
    <d v="2021-02-18T00:00:00"/>
    <n v="784"/>
  </r>
  <r>
    <x v="619"/>
    <s v="2020-02-02"/>
    <s v="Уход"/>
    <n v="3200"/>
    <d v="2020-02-02T00:00:00"/>
    <n v="1166"/>
  </r>
  <r>
    <x v="1623"/>
    <s v="2022-10-26"/>
    <s v="Уход"/>
    <n v="507"/>
    <d v="2022-10-26T00:00:00"/>
    <n v="169"/>
  </r>
  <r>
    <x v="1624"/>
    <s v="2022-02-18"/>
    <s v="Макияж"/>
    <n v="400"/>
    <d v="2022-02-18T00:00:00"/>
    <n v="419"/>
  </r>
  <r>
    <x v="1625"/>
    <s v="2021-09-01"/>
    <s v="Уход за волосами"/>
    <n v="1068"/>
    <d v="2021-09-01T00:00:00"/>
    <n v="589"/>
  </r>
  <r>
    <x v="1626"/>
    <s v="2022-04-24"/>
    <s v="Для дома"/>
    <n v="780"/>
    <d v="2022-04-24T00:00:00"/>
    <n v="354"/>
  </r>
  <r>
    <x v="1627"/>
    <s v="2020-07-15"/>
    <s v="Хоз.товары/бытовая химия"/>
    <n v="236"/>
    <d v="2020-07-15T00:00:00"/>
    <n v="1002"/>
  </r>
  <r>
    <x v="838"/>
    <s v="2021-01-06"/>
    <s v="Одежда и аксессуары"/>
    <n v="171"/>
    <d v="2021-01-06T00:00:00"/>
    <n v="827"/>
  </r>
  <r>
    <x v="1628"/>
    <s v="2021-01-26"/>
    <s v="Уход за волосами"/>
    <n v="1178"/>
    <d v="2021-01-26T00:00:00"/>
    <n v="807"/>
  </r>
  <r>
    <x v="1629"/>
    <s v="2020-07-23"/>
    <s v="Уход"/>
    <n v="388"/>
    <d v="2020-07-23T00:00:00"/>
    <n v="994"/>
  </r>
  <r>
    <x v="1630"/>
    <s v="2021-06-20"/>
    <s v="Для дома"/>
    <n v="50"/>
    <d v="2021-06-20T00:00:00"/>
    <n v="662"/>
  </r>
  <r>
    <x v="1631"/>
    <s v="2022-11-19"/>
    <s v="Уход"/>
    <n v="2638"/>
    <d v="2022-11-19T00:00:00"/>
    <n v="145"/>
  </r>
  <r>
    <x v="1632"/>
    <s v="2023-03-18"/>
    <s v="Уход"/>
    <n v="676"/>
    <d v="2023-03-18T00:00:00"/>
    <n v="26"/>
  </r>
  <r>
    <x v="1633"/>
    <s v="2022-02-25"/>
    <s v="Уход"/>
    <n v="3960"/>
    <d v="2022-02-25T00:00:00"/>
    <n v="412"/>
  </r>
  <r>
    <x v="1634"/>
    <s v="2020-08-26"/>
    <s v="Уход за волосами"/>
    <n v="208"/>
    <d v="2020-08-26T00:00:00"/>
    <n v="960"/>
  </r>
  <r>
    <x v="1526"/>
    <s v="2022-11-11"/>
    <s v="Уход за волосами"/>
    <n v="520"/>
    <d v="2022-11-11T00:00:00"/>
    <n v="153"/>
  </r>
  <r>
    <x v="34"/>
    <s v="2020-09-26"/>
    <s v="Для дома"/>
    <n v="32225"/>
    <d v="2020-09-26T00:00:00"/>
    <n v="929"/>
  </r>
  <r>
    <x v="841"/>
    <s v="2021-02-15"/>
    <s v="Уход за волосами"/>
    <n v="849"/>
    <d v="2021-02-15T00:00:00"/>
    <n v="787"/>
  </r>
  <r>
    <x v="943"/>
    <s v="2020-12-22"/>
    <s v="Уход за волосами"/>
    <n v="2284"/>
    <d v="2020-12-22T00:00:00"/>
    <n v="842"/>
  </r>
  <r>
    <x v="1635"/>
    <s v="2020-02-06"/>
    <s v="Уход за волосами"/>
    <n v="652"/>
    <d v="2020-02-06T00:00:00"/>
    <n v="1162"/>
  </r>
  <r>
    <x v="34"/>
    <s v="2017-04-12"/>
    <s v="Уход за волосами"/>
    <n v="1662694.54"/>
    <d v="2017-04-12T00:00:00"/>
    <n v="2192"/>
  </r>
  <r>
    <x v="966"/>
    <s v="2019-11-25"/>
    <s v="Уход"/>
    <n v="100"/>
    <d v="2019-11-25T00:00:00"/>
    <n v="1235"/>
  </r>
  <r>
    <x v="1564"/>
    <s v="2023-03-16"/>
    <s v="Уход"/>
    <n v="3300"/>
    <d v="2023-03-16T00:00:00"/>
    <n v="28"/>
  </r>
  <r>
    <x v="1636"/>
    <s v="2022-06-17"/>
    <s v="Уход за волосами"/>
    <n v="694"/>
    <d v="2022-06-17T00:00:00"/>
    <n v="300"/>
  </r>
  <r>
    <x v="1383"/>
    <s v="2022-05-07"/>
    <s v="Для дома"/>
    <n v="156"/>
    <d v="2022-05-07T00:00:00"/>
    <n v="341"/>
  </r>
  <r>
    <x v="1637"/>
    <s v="2023-01-12"/>
    <s v="Уход за волосами"/>
    <n v="1214"/>
    <d v="2023-01-12T00:00:00"/>
    <n v="91"/>
  </r>
  <r>
    <x v="1638"/>
    <s v="2021-08-17"/>
    <s v="Уход"/>
    <n v="889"/>
    <d v="2021-08-17T00:00:00"/>
    <n v="604"/>
  </r>
  <r>
    <x v="1639"/>
    <s v="2021-11-05"/>
    <s v="Уход за волосами"/>
    <n v="642"/>
    <d v="2021-11-05T00:00:00"/>
    <n v="524"/>
  </r>
  <r>
    <x v="150"/>
    <s v="2022-11-26"/>
    <s v="Для дома"/>
    <n v="1560"/>
    <d v="2022-11-26T00:00:00"/>
    <n v="138"/>
  </r>
  <r>
    <x v="1416"/>
    <s v="2022-10-25"/>
    <s v="Детский мир"/>
    <n v="548"/>
    <d v="2022-10-25T00:00:00"/>
    <n v="170"/>
  </r>
  <r>
    <x v="34"/>
    <s v="2021-06-07"/>
    <s v="Для дома"/>
    <n v="104152"/>
    <d v="2021-06-07T00:00:00"/>
    <n v="675"/>
  </r>
  <r>
    <x v="1640"/>
    <s v="2022-02-21"/>
    <s v="Уход за волосами"/>
    <n v="1806"/>
    <d v="2022-02-21T00:00:00"/>
    <n v="416"/>
  </r>
  <r>
    <x v="1641"/>
    <s v="2021-12-14"/>
    <s v="Уход"/>
    <n v="4390"/>
    <d v="2021-12-14T00:00:00"/>
    <n v="485"/>
  </r>
  <r>
    <x v="1642"/>
    <s v="2022-12-28"/>
    <s v="Уход за волосами"/>
    <n v="1479"/>
    <d v="2022-12-28T00:00:00"/>
    <n v="106"/>
  </r>
  <r>
    <x v="1643"/>
    <s v="2021-03-20"/>
    <s v="Уход за волосами"/>
    <n v="686"/>
    <d v="2021-03-20T00:00:00"/>
    <n v="754"/>
  </r>
  <r>
    <x v="1644"/>
    <s v="2020-11-21"/>
    <s v="Уход за волосами"/>
    <n v="10090"/>
    <d v="2020-11-21T00:00:00"/>
    <n v="873"/>
  </r>
  <r>
    <x v="1645"/>
    <s v="2022-11-04"/>
    <s v="Уход"/>
    <n v="0"/>
    <d v="2022-11-04T00:00:00"/>
    <n v="160"/>
  </r>
  <r>
    <x v="324"/>
    <s v="2022-08-23"/>
    <s v="Уход за волосами"/>
    <n v="573"/>
    <d v="2022-08-23T00:00:00"/>
    <n v="233"/>
  </r>
  <r>
    <x v="1646"/>
    <s v="2022-05-17"/>
    <s v="Уход за волосами"/>
    <n v="289"/>
    <d v="2022-05-17T00:00:00"/>
    <n v="331"/>
  </r>
  <r>
    <x v="1458"/>
    <s v="2023-02-18"/>
    <s v="Для дома"/>
    <n v="1438"/>
    <d v="2023-02-18T00:00:00"/>
    <n v="54"/>
  </r>
  <r>
    <x v="1147"/>
    <s v="2021-04-02"/>
    <s v="Уход за волосами"/>
    <n v="4380"/>
    <d v="2021-04-02T00:00:00"/>
    <n v="741"/>
  </r>
  <r>
    <x v="1451"/>
    <s v="2022-02-28"/>
    <s v="Уход за волосами"/>
    <n v="476"/>
    <d v="2022-02-28T00:00:00"/>
    <n v="409"/>
  </r>
  <r>
    <x v="1647"/>
    <s v="2019-07-12"/>
    <s v="Для дома"/>
    <n v="618"/>
    <d v="2019-07-12T00:00:00"/>
    <n v="1371"/>
  </r>
  <r>
    <x v="1648"/>
    <s v="2021-10-24"/>
    <s v="Одежда и аксессуары"/>
    <n v="889"/>
    <d v="2021-10-24T00:00:00"/>
    <n v="536"/>
  </r>
  <r>
    <x v="1649"/>
    <s v="2022-01-19"/>
    <s v="Уход за волосами"/>
    <n v="2261"/>
    <d v="2022-01-19T00:00:00"/>
    <n v="449"/>
  </r>
  <r>
    <x v="1650"/>
    <s v="2022-02-14"/>
    <s v="Уход за волосами"/>
    <n v="508"/>
    <d v="2022-02-14T00:00:00"/>
    <n v="423"/>
  </r>
  <r>
    <x v="1651"/>
    <s v="2021-06-22"/>
    <s v="Макияж"/>
    <n v="1335"/>
    <d v="2021-06-22T00:00:00"/>
    <n v="660"/>
  </r>
  <r>
    <x v="1652"/>
    <s v="2023-02-14"/>
    <s v="Для дома"/>
    <n v="7070"/>
    <d v="2023-02-14T00:00:00"/>
    <n v="58"/>
  </r>
  <r>
    <x v="1653"/>
    <s v="2022-07-20"/>
    <s v="Уход за волосами"/>
    <n v="5179"/>
    <d v="2022-07-20T00:00:00"/>
    <n v="267"/>
  </r>
  <r>
    <x v="1654"/>
    <s v="2022-08-19"/>
    <s v="Уход"/>
    <n v="621"/>
    <d v="2022-08-19T00:00:00"/>
    <n v="237"/>
  </r>
  <r>
    <x v="1655"/>
    <s v="2021-01-07"/>
    <s v="Уход"/>
    <n v="1309"/>
    <d v="2021-01-07T00:00:00"/>
    <n v="826"/>
  </r>
  <r>
    <x v="1564"/>
    <s v="2022-06-14"/>
    <s v="Детский мир"/>
    <n v="404"/>
    <d v="2022-06-14T00:00:00"/>
    <n v="303"/>
  </r>
  <r>
    <x v="1656"/>
    <s v="2019-12-27"/>
    <s v="Уход"/>
    <n v="1341"/>
    <d v="2019-12-27T00:00:00"/>
    <n v="1203"/>
  </r>
  <r>
    <x v="1657"/>
    <s v="2023-02-28"/>
    <s v="Уход"/>
    <n v="2594"/>
    <d v="2023-02-28T00:00:00"/>
    <n v="44"/>
  </r>
  <r>
    <x v="1658"/>
    <s v="2023-03-14"/>
    <s v="Уход"/>
    <n v="5824"/>
    <d v="2023-03-14T00:00:00"/>
    <n v="30"/>
  </r>
  <r>
    <x v="1659"/>
    <s v="2020-11-01"/>
    <s v="Уход за волосами"/>
    <n v="14100"/>
    <d v="2020-11-01T00:00:00"/>
    <n v="893"/>
  </r>
  <r>
    <x v="1660"/>
    <s v="2020-02-01"/>
    <s v="Для дома"/>
    <n v="167"/>
    <d v="2020-02-01T00:00:00"/>
    <n v="1167"/>
  </r>
  <r>
    <x v="1661"/>
    <s v="2023-04-09"/>
    <s v="Для дома"/>
    <n v="286"/>
    <d v="2023-04-09T00:00:00"/>
    <n v="4"/>
  </r>
  <r>
    <x v="1662"/>
    <s v="2022-07-23"/>
    <s v="Хоз.товары/бытовая химия"/>
    <n v="254"/>
    <d v="2022-07-23T00:00:00"/>
    <n v="264"/>
  </r>
  <r>
    <x v="1663"/>
    <s v="2020-01-29"/>
    <s v="Для дома"/>
    <n v="118"/>
    <d v="2020-01-29T00:00:00"/>
    <n v="1170"/>
  </r>
  <r>
    <x v="1664"/>
    <s v="2022-10-18"/>
    <s v="Для дома"/>
    <n v="6240"/>
    <d v="2022-10-18T00:00:00"/>
    <n v="177"/>
  </r>
  <r>
    <x v="1665"/>
    <s v="2021-12-24"/>
    <s v="Уход за волосами"/>
    <n v="2708"/>
    <d v="2021-12-24T00:00:00"/>
    <n v="475"/>
  </r>
  <r>
    <x v="1666"/>
    <s v="2022-09-28"/>
    <s v="Уход за волосами"/>
    <n v="38.65"/>
    <d v="2022-09-28T00:00:00"/>
    <n v="197"/>
  </r>
  <r>
    <x v="1667"/>
    <s v="2022-08-04"/>
    <s v="Уход за волосами"/>
    <n v="6297"/>
    <d v="2022-08-04T00:00:00"/>
    <n v="252"/>
  </r>
  <r>
    <x v="1668"/>
    <s v="2022-09-27"/>
    <s v="Уход"/>
    <n v="675"/>
    <d v="2022-09-27T00:00:00"/>
    <n v="198"/>
  </r>
  <r>
    <x v="1669"/>
    <s v="2019-10-24"/>
    <s v="Для дома"/>
    <n v="175"/>
    <d v="2019-10-24T00:00:00"/>
    <n v="1267"/>
  </r>
  <r>
    <x v="1670"/>
    <s v="2019-12-12"/>
    <s v="Уход"/>
    <n v="158"/>
    <d v="2019-12-12T00:00:00"/>
    <n v="1218"/>
  </r>
  <r>
    <x v="1671"/>
    <s v="2021-04-08"/>
    <s v="Уход"/>
    <n v="789"/>
    <d v="2021-04-08T00:00:00"/>
    <n v="735"/>
  </r>
  <r>
    <x v="1672"/>
    <s v="2022-07-17"/>
    <s v="Уход"/>
    <n v="470"/>
    <d v="2022-07-17T00:00:00"/>
    <n v="270"/>
  </r>
  <r>
    <x v="1673"/>
    <s v="2023-03-10"/>
    <s v="Уход"/>
    <n v="597"/>
    <d v="2023-03-10T00:00:00"/>
    <n v="34"/>
  </r>
  <r>
    <x v="942"/>
    <s v="2021-07-29"/>
    <s v="Уход"/>
    <n v="3428"/>
    <d v="2021-07-29T00:00:00"/>
    <n v="623"/>
  </r>
  <r>
    <x v="1674"/>
    <s v="2021-12-25"/>
    <s v="Уход"/>
    <n v="109"/>
    <d v="2021-12-25T00:00:00"/>
    <n v="474"/>
  </r>
  <r>
    <x v="34"/>
    <s v="2022-06-30"/>
    <s v="Уход"/>
    <n v="1181823.79"/>
    <d v="2022-06-30T00:00:00"/>
    <n v="287"/>
  </r>
  <r>
    <x v="760"/>
    <s v="2023-01-06"/>
    <s v="Уход за волосами"/>
    <n v="3430"/>
    <d v="2023-01-06T00:00:00"/>
    <n v="97"/>
  </r>
  <r>
    <x v="1318"/>
    <s v="2022-11-29"/>
    <s v="Макияж"/>
    <n v="1959"/>
    <d v="2022-11-29T00:00:00"/>
    <n v="135"/>
  </r>
  <r>
    <x v="1675"/>
    <s v="2022-03-01"/>
    <s v="Детский мир"/>
    <n v="442"/>
    <d v="2022-03-01T00:00:00"/>
    <n v="408"/>
  </r>
  <r>
    <x v="164"/>
    <s v="2021-01-04"/>
    <s v="Уход"/>
    <n v="188"/>
    <d v="2021-01-04T00:00:00"/>
    <n v="829"/>
  </r>
  <r>
    <x v="892"/>
    <s v="2022-12-02"/>
    <s v="Для дома"/>
    <n v="309"/>
    <d v="2022-12-02T00:00:00"/>
    <n v="132"/>
  </r>
  <r>
    <x v="1444"/>
    <s v="2021-10-16"/>
    <s v="Уход"/>
    <n v="357"/>
    <d v="2021-10-16T00:00:00"/>
    <n v="544"/>
  </r>
  <r>
    <x v="1676"/>
    <s v="2021-08-03"/>
    <s v="Уход за волосами"/>
    <n v="1070"/>
    <d v="2021-08-03T00:00:00"/>
    <n v="618"/>
  </r>
  <r>
    <x v="527"/>
    <s v="2022-10-28"/>
    <s v="Уход"/>
    <n v="439"/>
    <d v="2022-10-28T00:00:00"/>
    <n v="167"/>
  </r>
  <r>
    <x v="1677"/>
    <s v="2022-12-20"/>
    <s v="Уход"/>
    <n v="390"/>
    <d v="2022-12-20T00:00:00"/>
    <n v="114"/>
  </r>
  <r>
    <x v="563"/>
    <s v="2022-09-04"/>
    <s v="Хоз.товары/бытовая химия"/>
    <n v="130"/>
    <d v="2022-09-04T00:00:00"/>
    <n v="221"/>
  </r>
  <r>
    <x v="300"/>
    <s v="2021-05-27"/>
    <s v="Для дома"/>
    <n v="231"/>
    <d v="2021-05-27T00:00:00"/>
    <n v="686"/>
  </r>
  <r>
    <x v="1678"/>
    <s v="2021-03-06"/>
    <s v="Уход за волосами"/>
    <n v="249"/>
    <d v="2021-03-06T00:00:00"/>
    <n v="768"/>
  </r>
  <r>
    <x v="57"/>
    <s v="2022-04-07"/>
    <s v="Уход за волосами"/>
    <n v="4599"/>
    <d v="2022-04-07T00:00:00"/>
    <n v="371"/>
  </r>
  <r>
    <x v="1597"/>
    <s v="2020-06-17"/>
    <s v="Уход"/>
    <n v="789"/>
    <d v="2020-06-17T00:00:00"/>
    <n v="1030"/>
  </r>
  <r>
    <x v="1679"/>
    <s v="2020-02-10"/>
    <s v="Одежда и аксессуары"/>
    <n v="270"/>
    <d v="2020-02-10T00:00:00"/>
    <n v="1158"/>
  </r>
  <r>
    <x v="1680"/>
    <s v="2022-07-16"/>
    <s v="Уход"/>
    <n v="598"/>
    <d v="2022-07-16T00:00:00"/>
    <n v="271"/>
  </r>
  <r>
    <x v="1681"/>
    <s v="2020-11-06"/>
    <s v="Одежда и аксессуары"/>
    <n v="417"/>
    <d v="2020-11-06T00:00:00"/>
    <n v="888"/>
  </r>
  <r>
    <x v="1682"/>
    <s v="2021-01-11"/>
    <s v="Уход"/>
    <n v="3670"/>
    <d v="2021-01-11T00:00:00"/>
    <n v="822"/>
  </r>
  <r>
    <x v="1482"/>
    <s v="2021-08-30"/>
    <s v="Для дома"/>
    <n v="129"/>
    <d v="2021-08-30T00:00:00"/>
    <n v="591"/>
  </r>
  <r>
    <x v="1157"/>
    <s v="2022-09-10"/>
    <s v="Уход"/>
    <n v="551"/>
    <d v="2022-09-10T00:00:00"/>
    <n v="215"/>
  </r>
  <r>
    <x v="1683"/>
    <s v="2022-08-19"/>
    <s v="Уход"/>
    <n v="736"/>
    <d v="2022-08-19T00:00:00"/>
    <n v="237"/>
  </r>
  <r>
    <x v="241"/>
    <s v="2022-03-11"/>
    <s v="Уход за волосами"/>
    <n v="4848"/>
    <d v="2022-03-11T00:00:00"/>
    <n v="398"/>
  </r>
  <r>
    <x v="1671"/>
    <s v="2021-07-01"/>
    <s v="Уход за волосами"/>
    <n v="1842"/>
    <d v="2021-07-01T00:00:00"/>
    <n v="651"/>
  </r>
  <r>
    <x v="509"/>
    <s v="2022-08-11"/>
    <s v="Уход за волосами"/>
    <n v="179"/>
    <d v="2022-08-11T00:00:00"/>
    <n v="245"/>
  </r>
  <r>
    <x v="5"/>
    <s v="2021-09-22"/>
    <s v="Уход"/>
    <n v="354"/>
    <d v="2021-09-22T00:00:00"/>
    <n v="568"/>
  </r>
  <r>
    <x v="1046"/>
    <s v="2022-12-24"/>
    <s v="Уход за волосами"/>
    <n v="2223"/>
    <d v="2022-12-24T00:00:00"/>
    <n v="110"/>
  </r>
  <r>
    <x v="1684"/>
    <s v="2023-02-19"/>
    <s v="Уход за волосами"/>
    <n v="8769"/>
    <d v="2023-02-19T00:00:00"/>
    <n v="53"/>
  </r>
  <r>
    <x v="1685"/>
    <s v="2022-10-18"/>
    <s v="Уход за волосами"/>
    <n v="607"/>
    <d v="2022-10-18T00:00:00"/>
    <n v="177"/>
  </r>
  <r>
    <x v="813"/>
    <s v="2021-12-31"/>
    <s v="Уход за волосами"/>
    <n v="745"/>
    <d v="2021-12-31T00:00:00"/>
    <n v="468"/>
  </r>
  <r>
    <x v="1686"/>
    <s v="2022-08-05"/>
    <s v="Для дома"/>
    <n v="6480"/>
    <d v="2022-08-05T00:00:00"/>
    <n v="251"/>
  </r>
  <r>
    <x v="1687"/>
    <s v="2022-06-12"/>
    <s v="Для дома"/>
    <n v="266"/>
    <d v="2022-06-12T00:00:00"/>
    <n v="305"/>
  </r>
  <r>
    <x v="1688"/>
    <s v="2021-12-25"/>
    <s v="Уход"/>
    <n v="1615"/>
    <d v="2021-12-25T00:00:00"/>
    <n v="474"/>
  </r>
  <r>
    <x v="1689"/>
    <s v="2020-08-23"/>
    <s v="Для дома"/>
    <n v="555"/>
    <d v="2020-08-23T00:00:00"/>
    <n v="963"/>
  </r>
  <r>
    <x v="1690"/>
    <s v="2022-09-19"/>
    <s v="Уход"/>
    <n v="1719"/>
    <d v="2022-09-19T00:00:00"/>
    <n v="206"/>
  </r>
  <r>
    <x v="699"/>
    <s v="2022-01-11"/>
    <s v="Уход"/>
    <n v="355"/>
    <d v="2022-01-11T00:00:00"/>
    <n v="457"/>
  </r>
  <r>
    <x v="994"/>
    <s v="2022-09-30"/>
    <s v="Для дома"/>
    <n v="490"/>
    <d v="2022-09-30T00:00:00"/>
    <n v="195"/>
  </r>
  <r>
    <x v="859"/>
    <s v="2022-09-09"/>
    <s v="Для дома"/>
    <n v="24"/>
    <d v="2022-09-09T00:00:00"/>
    <n v="216"/>
  </r>
  <r>
    <x v="1691"/>
    <s v="2020-11-04"/>
    <s v="Уход за волосами"/>
    <n v="400"/>
    <d v="2020-11-04T00:00:00"/>
    <n v="890"/>
  </r>
  <r>
    <x v="308"/>
    <s v="2022-06-11"/>
    <s v="Уход"/>
    <n v="3314"/>
    <d v="2022-06-11T00:00:00"/>
    <n v="306"/>
  </r>
  <r>
    <x v="1692"/>
    <s v="2022-01-04"/>
    <s v="Уход"/>
    <n v="1828"/>
    <d v="2022-01-04T00:00:00"/>
    <n v="464"/>
  </r>
  <r>
    <x v="1693"/>
    <s v="2019-10-17"/>
    <s v="Хоз.товары/бытовая химия"/>
    <n v="55"/>
    <d v="2019-10-17T00:00:00"/>
    <n v="1274"/>
  </r>
  <r>
    <x v="1694"/>
    <s v="2021-12-19"/>
    <s v="Уход"/>
    <n v="1880"/>
    <d v="2021-12-19T00:00:00"/>
    <n v="480"/>
  </r>
  <r>
    <x v="1695"/>
    <s v="2019-12-31"/>
    <s v="Для дома"/>
    <n v="707"/>
    <d v="2019-12-31T00:00:00"/>
    <n v="1199"/>
  </r>
  <r>
    <x v="272"/>
    <s v="2022-09-29"/>
    <s v="Уход за волосами"/>
    <n v="1479"/>
    <d v="2022-09-29T00:00:00"/>
    <n v="196"/>
  </r>
  <r>
    <x v="1696"/>
    <s v="2022-03-19"/>
    <s v="Уход за волосами"/>
    <n v="5860"/>
    <d v="2022-03-19T00:00:00"/>
    <n v="390"/>
  </r>
  <r>
    <x v="925"/>
    <s v="2021-08-13"/>
    <s v="Уход за волосами"/>
    <n v="122"/>
    <d v="2021-08-13T00:00:00"/>
    <n v="608"/>
  </r>
  <r>
    <x v="1123"/>
    <s v="2022-02-06"/>
    <s v="Уход"/>
    <n v="475"/>
    <d v="2022-02-06T00:00:00"/>
    <n v="431"/>
  </r>
  <r>
    <x v="1697"/>
    <s v="2019-12-11"/>
    <s v="Уход"/>
    <n v="445"/>
    <d v="2019-12-11T00:00:00"/>
    <n v="1219"/>
  </r>
  <r>
    <x v="1698"/>
    <s v="2022-05-23"/>
    <s v="Макияж"/>
    <n v="659"/>
    <d v="2022-05-23T00:00:00"/>
    <n v="325"/>
  </r>
  <r>
    <x v="1699"/>
    <s v="2023-04-10"/>
    <s v="Детский мир"/>
    <n v="563"/>
    <d v="2023-04-10T00:00:00"/>
    <n v="3"/>
  </r>
  <r>
    <x v="1700"/>
    <s v="2020-05-04"/>
    <s v="Уход"/>
    <n v="393"/>
    <d v="2020-05-04T00:00:00"/>
    <n v="1074"/>
  </r>
  <r>
    <x v="1701"/>
    <s v="2022-05-22"/>
    <s v="Макияж"/>
    <n v="4183"/>
    <d v="2022-05-22T00:00:00"/>
    <n v="326"/>
  </r>
  <r>
    <x v="1702"/>
    <s v="2020-09-17"/>
    <s v="Уход"/>
    <n v="130"/>
    <d v="2020-09-17T00:00:00"/>
    <n v="938"/>
  </r>
  <r>
    <x v="460"/>
    <s v="2021-06-01"/>
    <s v="Хоз.товары/бытовая химия"/>
    <n v="327"/>
    <d v="2021-06-01T00:00:00"/>
    <n v="681"/>
  </r>
  <r>
    <x v="878"/>
    <s v="2022-06-05"/>
    <s v="Уход за волосами"/>
    <n v="3264"/>
    <d v="2022-06-05T00:00:00"/>
    <n v="312"/>
  </r>
  <r>
    <x v="1703"/>
    <s v="2021-08-16"/>
    <s v="Одежда и аксессуары"/>
    <n v="318"/>
    <d v="2021-08-16T00:00:00"/>
    <n v="605"/>
  </r>
  <r>
    <x v="616"/>
    <s v="2022-08-02"/>
    <s v="Уход"/>
    <n v="1047"/>
    <d v="2022-08-02T00:00:00"/>
    <n v="254"/>
  </r>
  <r>
    <x v="1704"/>
    <s v="2019-11-24"/>
    <s v="Уход за волосами"/>
    <n v="430"/>
    <d v="2019-11-24T00:00:00"/>
    <n v="1236"/>
  </r>
  <r>
    <x v="1705"/>
    <s v="2023-01-25"/>
    <s v="Уход"/>
    <n v="1390"/>
    <d v="2023-01-25T00:00:00"/>
    <n v="78"/>
  </r>
  <r>
    <x v="1706"/>
    <s v="2021-04-10"/>
    <s v="Макияж"/>
    <n v="890"/>
    <d v="2021-04-10T00:00:00"/>
    <n v="733"/>
  </r>
  <r>
    <x v="1707"/>
    <s v="2022-06-30"/>
    <s v="Макияж"/>
    <n v="6334"/>
    <d v="2022-06-30T00:00:00"/>
    <n v="287"/>
  </r>
  <r>
    <x v="1636"/>
    <s v="2022-06-16"/>
    <s v="Уход"/>
    <n v="1782"/>
    <d v="2022-06-16T00:00:00"/>
    <n v="301"/>
  </r>
  <r>
    <x v="1708"/>
    <s v="2023-03-07"/>
    <s v="Уход"/>
    <n v="1741"/>
    <d v="2023-03-07T00:00:00"/>
    <n v="37"/>
  </r>
  <r>
    <x v="1465"/>
    <s v="2021-08-02"/>
    <s v="Уход за волосами"/>
    <n v="1796"/>
    <d v="2021-08-02T00:00:00"/>
    <n v="619"/>
  </r>
  <r>
    <x v="1709"/>
    <s v="2020-08-17"/>
    <s v="Уход за волосами"/>
    <n v="1600"/>
    <d v="2020-08-17T00:00:00"/>
    <n v="969"/>
  </r>
  <r>
    <x v="1710"/>
    <s v="2022-03-02"/>
    <s v="Для дома"/>
    <n v="444"/>
    <d v="2022-03-02T00:00:00"/>
    <n v="407"/>
  </r>
  <r>
    <x v="1711"/>
    <s v="2020-03-02"/>
    <s v="Уход"/>
    <n v="3651"/>
    <d v="2020-03-02T00:00:00"/>
    <n v="1137"/>
  </r>
  <r>
    <x v="795"/>
    <s v="2022-04-22"/>
    <s v="Уход"/>
    <n v="4245"/>
    <d v="2022-04-22T00:00:00"/>
    <n v="356"/>
  </r>
  <r>
    <x v="1702"/>
    <s v="2022-07-31"/>
    <s v="Уход за волосами"/>
    <n v="555"/>
    <d v="2022-07-31T00:00:00"/>
    <n v="256"/>
  </r>
  <r>
    <x v="938"/>
    <s v="2022-07-17"/>
    <s v="Уход"/>
    <n v="299"/>
    <d v="2022-07-17T00:00:00"/>
    <n v="270"/>
  </r>
  <r>
    <x v="467"/>
    <s v="2023-02-24"/>
    <s v="Уход"/>
    <n v="849"/>
    <d v="2023-02-24T00:00:00"/>
    <n v="48"/>
  </r>
  <r>
    <x v="427"/>
    <s v="2019-04-21"/>
    <s v="Уход за волосами"/>
    <n v="15780"/>
    <d v="2019-04-21T00:00:00"/>
    <n v="1453"/>
  </r>
  <r>
    <x v="314"/>
    <s v="2022-03-22"/>
    <s v="Уход"/>
    <n v="2280"/>
    <d v="2022-03-22T00:00:00"/>
    <n v="387"/>
  </r>
  <r>
    <x v="46"/>
    <s v="2021-02-23"/>
    <s v="Хоз.товары/бытовая химия"/>
    <n v="38"/>
    <d v="2021-02-23T00:00:00"/>
    <n v="779"/>
  </r>
  <r>
    <x v="133"/>
    <s v="2022-11-15"/>
    <s v="Уход"/>
    <n v="344"/>
    <d v="2022-11-15T00:00:00"/>
    <n v="149"/>
  </r>
  <r>
    <x v="1712"/>
    <s v="2021-06-29"/>
    <s v="Для дома"/>
    <n v="85"/>
    <d v="2021-06-29T00:00:00"/>
    <n v="653"/>
  </r>
  <r>
    <x v="1713"/>
    <s v="2020-05-07"/>
    <s v="Уход за волосами"/>
    <n v="1790"/>
    <d v="2020-05-07T00:00:00"/>
    <n v="1071"/>
  </r>
  <r>
    <x v="1235"/>
    <s v="2023-03-04"/>
    <s v="Уход за волосами"/>
    <n v="1139"/>
    <d v="2023-03-04T00:00:00"/>
    <n v="40"/>
  </r>
  <r>
    <x v="245"/>
    <s v="2020-02-07"/>
    <s v="Хоз.товары/бытовая химия"/>
    <n v="50"/>
    <d v="2020-02-07T00:00:00"/>
    <n v="1161"/>
  </r>
  <r>
    <x v="1714"/>
    <s v="2022-06-14"/>
    <s v="Детский мир"/>
    <n v="292"/>
    <d v="2022-06-14T00:00:00"/>
    <n v="303"/>
  </r>
  <r>
    <x v="1715"/>
    <s v="2023-03-08"/>
    <s v="Уход за волосами"/>
    <n v="5802"/>
    <d v="2023-03-08T00:00:00"/>
    <n v="36"/>
  </r>
  <r>
    <x v="939"/>
    <s v="2022-03-13"/>
    <s v="Уход за волосами"/>
    <n v="1005"/>
    <d v="2022-03-13T00:00:00"/>
    <n v="396"/>
  </r>
  <r>
    <x v="1716"/>
    <s v="2021-07-27"/>
    <s v="Уход"/>
    <n v="439"/>
    <d v="2021-07-27T00:00:00"/>
    <n v="625"/>
  </r>
  <r>
    <x v="1717"/>
    <s v="2020-07-27"/>
    <s v="Для дома"/>
    <n v="110"/>
    <d v="2020-07-27T00:00:00"/>
    <n v="990"/>
  </r>
  <r>
    <x v="1718"/>
    <s v="2022-04-22"/>
    <s v="Уход"/>
    <n v="302"/>
    <d v="2022-04-22T00:00:00"/>
    <n v="356"/>
  </r>
  <r>
    <x v="368"/>
    <s v="2022-09-05"/>
    <s v="Уход за волосами"/>
    <n v="3292"/>
    <d v="2022-09-05T00:00:00"/>
    <n v="220"/>
  </r>
  <r>
    <x v="1410"/>
    <s v="2020-07-09"/>
    <s v="Уход"/>
    <n v="1217"/>
    <d v="2020-07-09T00:00:00"/>
    <n v="1008"/>
  </r>
  <r>
    <x v="1719"/>
    <s v="2022-07-24"/>
    <s v="Хоз.товары/бытовая химия"/>
    <n v="69"/>
    <d v="2022-07-24T00:00:00"/>
    <n v="263"/>
  </r>
  <r>
    <x v="1720"/>
    <s v="2021-11-14"/>
    <s v="Для дома"/>
    <n v="6.1"/>
    <d v="2021-11-14T00:00:00"/>
    <n v="515"/>
  </r>
  <r>
    <x v="1721"/>
    <s v="2020-08-16"/>
    <s v="Уход за волосами"/>
    <n v="1108"/>
    <d v="2020-08-16T00:00:00"/>
    <n v="970"/>
  </r>
  <r>
    <x v="1686"/>
    <s v="2023-02-21"/>
    <s v="Уход за волосами"/>
    <n v="4756"/>
    <d v="2023-02-21T00:00:00"/>
    <n v="51"/>
  </r>
  <r>
    <x v="353"/>
    <s v="2022-04-01"/>
    <s v="Уход"/>
    <n v="1313"/>
    <d v="2022-04-01T00:00:00"/>
    <n v="377"/>
  </r>
  <r>
    <x v="1722"/>
    <s v="2021-09-25"/>
    <s v="Уход"/>
    <n v="1288"/>
    <d v="2021-09-25T00:00:00"/>
    <n v="565"/>
  </r>
  <r>
    <x v="1723"/>
    <s v="2021-08-26"/>
    <s v="Уход за волосами"/>
    <n v="348"/>
    <d v="2021-08-26T00:00:00"/>
    <n v="595"/>
  </r>
  <r>
    <x v="1613"/>
    <s v="2021-08-10"/>
    <s v="Уход"/>
    <n v="3417"/>
    <d v="2021-08-10T00:00:00"/>
    <n v="611"/>
  </r>
  <r>
    <x v="306"/>
    <s v="2022-03-04"/>
    <s v="Макияж"/>
    <n v="194"/>
    <d v="2022-03-04T00:00:00"/>
    <n v="405"/>
  </r>
  <r>
    <x v="1035"/>
    <s v="2022-02-11"/>
    <s v="Для дома"/>
    <n v="619"/>
    <d v="2022-02-11T00:00:00"/>
    <n v="426"/>
  </r>
  <r>
    <x v="414"/>
    <s v="2022-04-23"/>
    <s v="Уход"/>
    <n v="1418"/>
    <d v="2022-04-23T00:00:00"/>
    <n v="355"/>
  </r>
  <r>
    <x v="1724"/>
    <s v="2022-01-02"/>
    <s v="Уход"/>
    <n v="670"/>
    <d v="2022-01-02T00:00:00"/>
    <n v="466"/>
  </r>
  <r>
    <x v="1719"/>
    <s v="2021-03-10"/>
    <s v="Одежда и аксессуары"/>
    <n v="718"/>
    <d v="2021-03-10T00:00:00"/>
    <n v="764"/>
  </r>
  <r>
    <x v="1725"/>
    <s v="2022-12-22"/>
    <s v="Для дома"/>
    <n v="3797"/>
    <d v="2022-12-22T00:00:00"/>
    <n v="112"/>
  </r>
  <r>
    <x v="1697"/>
    <s v="2019-09-04"/>
    <s v="Уход за волосами"/>
    <n v="153"/>
    <d v="2019-09-04T00:00:00"/>
    <n v="1317"/>
  </r>
  <r>
    <x v="1726"/>
    <s v="2022-11-21"/>
    <s v="Уход"/>
    <n v="2197"/>
    <d v="2022-11-21T00:00:00"/>
    <n v="143"/>
  </r>
  <r>
    <x v="1488"/>
    <s v="2022-02-27"/>
    <s v="Уход за волосами"/>
    <n v="1913"/>
    <d v="2022-02-27T00:00:00"/>
    <n v="410"/>
  </r>
  <r>
    <x v="1727"/>
    <s v="2023-03-07"/>
    <s v="Уход"/>
    <n v="330"/>
    <d v="2023-03-07T00:00:00"/>
    <n v="37"/>
  </r>
  <r>
    <x v="1728"/>
    <s v="2023-03-14"/>
    <s v="Уход"/>
    <n v="380"/>
    <d v="2023-03-14T00:00:00"/>
    <n v="30"/>
  </r>
  <r>
    <x v="1521"/>
    <s v="2023-01-18"/>
    <s v="Уход"/>
    <n v="1200"/>
    <d v="2023-01-18T00:00:00"/>
    <n v="85"/>
  </r>
  <r>
    <x v="1729"/>
    <s v="2022-06-30"/>
    <s v="Уход за волосами"/>
    <n v="441"/>
    <d v="2022-06-30T00:00:00"/>
    <n v="287"/>
  </r>
  <r>
    <x v="1730"/>
    <s v="2023-02-16"/>
    <s v="Уход за волосами"/>
    <n v="750"/>
    <d v="2023-02-16T00:00:00"/>
    <n v="56"/>
  </r>
  <r>
    <x v="831"/>
    <s v="2023-01-25"/>
    <s v="Хоз.товары/бытовая химия"/>
    <n v="204"/>
    <d v="2023-01-25T00:00:00"/>
    <n v="78"/>
  </r>
  <r>
    <x v="1731"/>
    <s v="2021-06-12"/>
    <s v="Уход за волосами"/>
    <n v="837"/>
    <d v="2021-06-12T00:00:00"/>
    <n v="670"/>
  </r>
  <r>
    <x v="1732"/>
    <s v="2022-10-22"/>
    <s v="Уход"/>
    <n v="2874"/>
    <d v="2022-10-22T00:00:00"/>
    <n v="173"/>
  </r>
  <r>
    <x v="1231"/>
    <s v="2022-04-30"/>
    <s v="Уход за волосами"/>
    <n v="2410"/>
    <d v="2022-04-30T00:00:00"/>
    <n v="348"/>
  </r>
  <r>
    <x v="1733"/>
    <s v="2021-05-22"/>
    <s v="Уход за волосами"/>
    <n v="597"/>
    <d v="2021-05-22T00:00:00"/>
    <n v="691"/>
  </r>
  <r>
    <x v="1734"/>
    <s v="2020-03-23"/>
    <s v="Для дома"/>
    <n v="138"/>
    <d v="2020-03-23T00:00:00"/>
    <n v="1116"/>
  </r>
  <r>
    <x v="1735"/>
    <s v="2022-02-18"/>
    <s v="Уход за волосами"/>
    <n v="476"/>
    <d v="2022-02-18T00:00:00"/>
    <n v="419"/>
  </r>
  <r>
    <x v="540"/>
    <s v="2020-02-29"/>
    <s v="Уход за волосами"/>
    <n v="687"/>
    <d v="2020-02-29T00:00:00"/>
    <n v="1139"/>
  </r>
  <r>
    <x v="1584"/>
    <s v="2022-12-28"/>
    <s v="Для дома"/>
    <n v="2455"/>
    <d v="2022-12-28T00:00:00"/>
    <n v="106"/>
  </r>
  <r>
    <x v="760"/>
    <s v="2021-12-12"/>
    <s v="Детский мир"/>
    <n v="344"/>
    <d v="2021-12-12T00:00:00"/>
    <n v="487"/>
  </r>
  <r>
    <x v="1736"/>
    <s v="2022-12-17"/>
    <s v="Макияж"/>
    <n v="1190"/>
    <d v="2022-12-17T00:00:00"/>
    <n v="117"/>
  </r>
  <r>
    <x v="1737"/>
    <s v="2021-04-05"/>
    <s v="Уход за волосами"/>
    <n v="4743"/>
    <d v="2021-04-05T00:00:00"/>
    <n v="738"/>
  </r>
  <r>
    <x v="1738"/>
    <s v="2023-02-25"/>
    <s v="Уход за волосами"/>
    <n v="9140"/>
    <d v="2023-02-25T00:00:00"/>
    <n v="47"/>
  </r>
  <r>
    <x v="34"/>
    <s v="2018-02-12"/>
    <s v="Для дома"/>
    <n v="310632.11"/>
    <d v="2018-02-12T00:00:00"/>
    <n v="1886"/>
  </r>
  <r>
    <x v="1739"/>
    <s v="2023-01-20"/>
    <s v="Одежда и аксессуары"/>
    <n v="1580"/>
    <d v="2023-01-20T00:00:00"/>
    <n v="83"/>
  </r>
  <r>
    <x v="177"/>
    <s v="2021-08-27"/>
    <s v="Уход"/>
    <n v="4839"/>
    <d v="2021-08-27T00:00:00"/>
    <n v="594"/>
  </r>
  <r>
    <x v="483"/>
    <s v="2021-03-14"/>
    <s v="Детский мир"/>
    <n v="288"/>
    <d v="2021-03-14T00:00:00"/>
    <n v="760"/>
  </r>
  <r>
    <x v="790"/>
    <s v="2021-09-22"/>
    <s v="Для дома"/>
    <n v="369"/>
    <d v="2021-09-22T00:00:00"/>
    <n v="568"/>
  </r>
  <r>
    <x v="1740"/>
    <s v="2023-01-07"/>
    <s v="Уход за волосами"/>
    <n v="4040"/>
    <d v="2023-01-07T00:00:00"/>
    <n v="96"/>
  </r>
  <r>
    <x v="954"/>
    <s v="2021-12-19"/>
    <s v="Уход за волосами"/>
    <n v="156"/>
    <d v="2021-12-19T00:00:00"/>
    <n v="480"/>
  </r>
  <r>
    <x v="1184"/>
    <s v="2022-03-26"/>
    <s v="Детский мир"/>
    <n v="90"/>
    <d v="2022-03-26T00:00:00"/>
    <n v="383"/>
  </r>
  <r>
    <x v="1741"/>
    <s v="2022-07-28"/>
    <s v="Для дома"/>
    <n v="2210"/>
    <d v="2022-07-28T00:00:00"/>
    <n v="259"/>
  </r>
  <r>
    <x v="1742"/>
    <s v="2021-01-12"/>
    <s v="Уход"/>
    <n v="263"/>
    <d v="2021-01-12T00:00:00"/>
    <n v="821"/>
  </r>
  <r>
    <x v="1743"/>
    <s v="2019-10-11"/>
    <s v="Уход за волосами"/>
    <n v="159"/>
    <d v="2019-10-11T00:00:00"/>
    <n v="1280"/>
  </r>
  <r>
    <x v="1744"/>
    <s v="2022-02-02"/>
    <s v="Одежда и аксессуары"/>
    <n v="299"/>
    <d v="2022-02-02T00:00:00"/>
    <n v="435"/>
  </r>
  <r>
    <x v="1745"/>
    <s v="2021-08-25"/>
    <s v="Уход"/>
    <n v="269"/>
    <d v="2021-08-25T00:00:00"/>
    <n v="596"/>
  </r>
  <r>
    <x v="1746"/>
    <s v="2020-08-02"/>
    <s v="Уход"/>
    <n v="2361"/>
    <d v="2020-08-02T00:00:00"/>
    <n v="984"/>
  </r>
  <r>
    <x v="1747"/>
    <s v="2020-07-31"/>
    <s v="Уход"/>
    <n v="1298"/>
    <d v="2020-07-31T00:00:00"/>
    <n v="986"/>
  </r>
  <r>
    <x v="1748"/>
    <s v="2023-02-24"/>
    <s v="Уход за волосами"/>
    <n v="633"/>
    <d v="2023-02-24T00:00:00"/>
    <n v="48"/>
  </r>
  <r>
    <x v="1749"/>
    <s v="2020-08-15"/>
    <s v="Для дома"/>
    <n v="156"/>
    <d v="2020-08-15T00:00:00"/>
    <n v="971"/>
  </r>
  <r>
    <x v="1750"/>
    <s v="2023-04-05"/>
    <s v="Уход за волосами"/>
    <n v="3900"/>
    <d v="2023-04-05T00:00:00"/>
    <n v="8"/>
  </r>
  <r>
    <x v="1751"/>
    <s v="2022-04-17"/>
    <s v="Детский мир"/>
    <n v="207"/>
    <d v="2022-04-17T00:00:00"/>
    <n v="361"/>
  </r>
  <r>
    <x v="1752"/>
    <s v="2021-01-18"/>
    <s v="Для дома"/>
    <n v="127"/>
    <d v="2021-01-18T00:00:00"/>
    <n v="815"/>
  </r>
  <r>
    <x v="1753"/>
    <s v="2020-11-25"/>
    <s v="Уход за волосами"/>
    <n v="5880"/>
    <d v="2020-11-25T00:00:00"/>
    <n v="869"/>
  </r>
  <r>
    <x v="1754"/>
    <s v="2023-01-31"/>
    <s v="Уход за волосами"/>
    <n v="258"/>
    <d v="2023-01-31T00:00:00"/>
    <n v="72"/>
  </r>
  <r>
    <x v="1755"/>
    <s v="2021-08-08"/>
    <s v="Уход"/>
    <n v="726"/>
    <d v="2021-08-08T00:00:00"/>
    <n v="613"/>
  </r>
  <r>
    <x v="1756"/>
    <s v="2020-10-18"/>
    <s v="Уход за волосами"/>
    <n v="1225"/>
    <d v="2020-10-18T00:00:00"/>
    <n v="907"/>
  </r>
  <r>
    <x v="367"/>
    <s v="2022-11-27"/>
    <s v="Макияж"/>
    <n v="570"/>
    <d v="2022-11-27T00:00:00"/>
    <n v="137"/>
  </r>
  <r>
    <x v="1757"/>
    <s v="2022-07-28"/>
    <s v="Уход"/>
    <n v="229"/>
    <d v="2022-07-28T00:00:00"/>
    <n v="259"/>
  </r>
  <r>
    <x v="1758"/>
    <s v="2023-03-24"/>
    <s v="Уход"/>
    <n v="1545"/>
    <d v="2023-03-24T00:00:00"/>
    <n v="20"/>
  </r>
  <r>
    <x v="1759"/>
    <s v="2020-03-15"/>
    <s v="Одежда и аксессуары"/>
    <n v="89"/>
    <d v="2020-03-15T00:00:00"/>
    <n v="1124"/>
  </r>
  <r>
    <x v="1760"/>
    <s v="2020-10-22"/>
    <s v="Уход за волосами"/>
    <n v="6260"/>
    <d v="2020-10-22T00:00:00"/>
    <n v="903"/>
  </r>
  <r>
    <x v="1422"/>
    <s v="2020-04-07"/>
    <s v="Уход"/>
    <n v="1960"/>
    <d v="2020-04-07T00:00:00"/>
    <n v="1101"/>
  </r>
  <r>
    <x v="1761"/>
    <s v="2020-04-01"/>
    <s v="Уход"/>
    <n v="118"/>
    <d v="2020-04-01T00:00:00"/>
    <n v="1107"/>
  </r>
  <r>
    <x v="383"/>
    <s v="2023-01-15"/>
    <s v="Для дома"/>
    <n v="862"/>
    <d v="2023-01-15T00:00:00"/>
    <n v="88"/>
  </r>
  <r>
    <x v="78"/>
    <s v="2019-11-30"/>
    <s v="Хоз.товары/бытовая химия"/>
    <n v="46"/>
    <d v="2019-11-30T00:00:00"/>
    <n v="1230"/>
  </r>
  <r>
    <x v="237"/>
    <s v="2021-06-25"/>
    <s v="Уход за волосами"/>
    <n v="16200"/>
    <d v="2021-06-25T00:00:00"/>
    <n v="657"/>
  </r>
  <r>
    <x v="1762"/>
    <s v="2021-04-20"/>
    <s v="Уход"/>
    <n v="894"/>
    <d v="2021-04-20T00:00:00"/>
    <n v="723"/>
  </r>
  <r>
    <x v="461"/>
    <s v="2022-10-18"/>
    <s v="Уход за волосами"/>
    <n v="729"/>
    <d v="2022-10-18T00:00:00"/>
    <n v="177"/>
  </r>
  <r>
    <x v="1763"/>
    <s v="2020-06-28"/>
    <s v="Уход за волосами"/>
    <n v="1135"/>
    <d v="2020-06-28T00:00:00"/>
    <n v="1019"/>
  </r>
  <r>
    <x v="333"/>
    <s v="2021-04-08"/>
    <s v="Уход"/>
    <n v="129"/>
    <d v="2021-04-08T00:00:00"/>
    <n v="735"/>
  </r>
  <r>
    <x v="1764"/>
    <s v="2022-06-30"/>
    <s v="Уход за волосами"/>
    <n v="421"/>
    <d v="2022-06-30T00:00:00"/>
    <n v="287"/>
  </r>
  <r>
    <x v="1301"/>
    <s v="2019-11-23"/>
    <s v="Уход"/>
    <n v="618"/>
    <d v="2019-11-23T00:00:00"/>
    <n v="1237"/>
  </r>
  <r>
    <x v="1765"/>
    <s v="2021-04-15"/>
    <s v="Макияж"/>
    <n v="297"/>
    <d v="2021-04-15T00:00:00"/>
    <n v="728"/>
  </r>
  <r>
    <x v="830"/>
    <s v="2021-03-27"/>
    <s v="Уход"/>
    <n v="1395"/>
    <d v="2021-03-27T00:00:00"/>
    <n v="747"/>
  </r>
  <r>
    <x v="1515"/>
    <s v="2022-04-24"/>
    <s v="Уход за волосами"/>
    <n v="761"/>
    <d v="2022-04-24T00:00:00"/>
    <n v="354"/>
  </r>
  <r>
    <x v="1766"/>
    <s v="2022-09-14"/>
    <s v="Уход за волосами"/>
    <n v="3821"/>
    <d v="2022-09-14T00:00:00"/>
    <n v="211"/>
  </r>
  <r>
    <x v="1767"/>
    <s v="2020-11-24"/>
    <s v="Макияж"/>
    <n v="766"/>
    <d v="2020-11-24T00:00:00"/>
    <n v="870"/>
  </r>
  <r>
    <x v="1157"/>
    <s v="2023-03-05"/>
    <s v="Уход за волосами"/>
    <n v="2856"/>
    <d v="2023-03-05T00:00:00"/>
    <n v="39"/>
  </r>
  <r>
    <x v="1768"/>
    <s v="2021-01-06"/>
    <s v="Уход за волосами"/>
    <n v="1859"/>
    <d v="2021-01-06T00:00:00"/>
    <n v="827"/>
  </r>
  <r>
    <x v="1769"/>
    <s v="2022-08-10"/>
    <s v="Макияж"/>
    <n v="836"/>
    <d v="2022-08-10T00:00:00"/>
    <n v="246"/>
  </r>
  <r>
    <x v="1770"/>
    <s v="2021-10-24"/>
    <s v="Уход"/>
    <n v="3030"/>
    <d v="2021-10-24T00:00:00"/>
    <n v="536"/>
  </r>
  <r>
    <x v="489"/>
    <s v="2022-04-11"/>
    <s v="Уход за волосами"/>
    <n v="3419"/>
    <d v="2022-04-11T00:00:00"/>
    <n v="367"/>
  </r>
  <r>
    <x v="1771"/>
    <s v="2021-02-09"/>
    <s v="Уход"/>
    <n v="899"/>
    <d v="2021-02-09T00:00:00"/>
    <n v="793"/>
  </r>
  <r>
    <x v="1772"/>
    <s v="2021-02-12"/>
    <s v="Для дома"/>
    <n v="2070"/>
    <d v="2021-02-12T00:00:00"/>
    <n v="790"/>
  </r>
  <r>
    <x v="1773"/>
    <s v="2022-02-16"/>
    <s v="Макияж"/>
    <n v="950"/>
    <d v="2022-02-16T00:00:00"/>
    <n v="421"/>
  </r>
  <r>
    <x v="1774"/>
    <s v="2020-01-09"/>
    <s v="Уход за волосами"/>
    <n v="195"/>
    <d v="2020-01-09T00:00:00"/>
    <n v="1190"/>
  </r>
  <r>
    <x v="737"/>
    <s v="2021-08-03"/>
    <s v="Для дома"/>
    <n v="768"/>
    <d v="2021-08-03T00:00:00"/>
    <n v="618"/>
  </r>
  <r>
    <x v="197"/>
    <s v="2020-09-05"/>
    <s v="Уход за волосами"/>
    <n v="823"/>
    <d v="2020-09-05T00:00:00"/>
    <n v="950"/>
  </r>
  <r>
    <x v="993"/>
    <s v="2020-05-31"/>
    <s v="Для дома"/>
    <n v="25"/>
    <d v="2020-05-31T00:00:00"/>
    <n v="1047"/>
  </r>
  <r>
    <x v="844"/>
    <s v="2020-10-30"/>
    <s v="Одежда и аксессуары"/>
    <n v="267"/>
    <d v="2020-10-30T00:00:00"/>
    <n v="895"/>
  </r>
  <r>
    <x v="1775"/>
    <s v="2022-04-01"/>
    <s v="Уход за волосами"/>
    <n v="2628"/>
    <d v="2022-04-01T00:00:00"/>
    <n v="377"/>
  </r>
  <r>
    <x v="1776"/>
    <s v="2021-10-06"/>
    <s v="Уход"/>
    <n v="2607"/>
    <d v="2021-10-06T00:00:00"/>
    <n v="554"/>
  </r>
  <r>
    <x v="1777"/>
    <s v="2021-08-06"/>
    <s v="Уход"/>
    <n v="1890"/>
    <d v="2021-08-06T00:00:00"/>
    <n v="615"/>
  </r>
  <r>
    <x v="682"/>
    <s v="2022-09-16"/>
    <s v="Одежда и аксессуары"/>
    <n v="199"/>
    <d v="2022-09-16T00:00:00"/>
    <n v="209"/>
  </r>
  <r>
    <x v="1778"/>
    <s v="2022-12-10"/>
    <s v="Уход"/>
    <n v="2465.0500000000002"/>
    <d v="2022-12-10T00:00:00"/>
    <n v="124"/>
  </r>
  <r>
    <x v="1779"/>
    <s v="2023-02-08"/>
    <s v="Уход"/>
    <n v="913"/>
    <d v="2023-02-08T00:00:00"/>
    <n v="64"/>
  </r>
  <r>
    <x v="34"/>
    <s v="2019-01-07"/>
    <s v="Детский мир"/>
    <n v="180538.9"/>
    <d v="2019-01-07T00:00:00"/>
    <n v="1557"/>
  </r>
  <r>
    <x v="1026"/>
    <s v="2022-08-16"/>
    <s v="Уход"/>
    <n v="556"/>
    <d v="2022-08-16T00:00:00"/>
    <n v="240"/>
  </r>
  <r>
    <x v="1282"/>
    <s v="2020-06-05"/>
    <s v="Уход"/>
    <n v="221"/>
    <d v="2020-06-05T00:00:00"/>
    <n v="1042"/>
  </r>
  <r>
    <x v="114"/>
    <s v="2022-03-07"/>
    <s v="Уход"/>
    <n v="1725"/>
    <d v="2022-03-07T00:00:00"/>
    <n v="402"/>
  </r>
  <r>
    <x v="1780"/>
    <s v="2020-06-20"/>
    <s v="Макияж"/>
    <n v="569"/>
    <d v="2020-06-20T00:00:00"/>
    <n v="1027"/>
  </r>
  <r>
    <x v="1781"/>
    <s v="2020-12-04"/>
    <s v="Для дома"/>
    <n v="640"/>
    <d v="2020-12-04T00:00:00"/>
    <n v="860"/>
  </r>
  <r>
    <x v="19"/>
    <s v="2022-08-17"/>
    <s v="Уход"/>
    <n v="4875"/>
    <d v="2022-08-17T00:00:00"/>
    <n v="239"/>
  </r>
  <r>
    <x v="1657"/>
    <s v="2022-07-13"/>
    <s v="Макияж"/>
    <n v="169"/>
    <d v="2022-07-13T00:00:00"/>
    <n v="274"/>
  </r>
  <r>
    <x v="1782"/>
    <s v="2022-03-09"/>
    <s v="Уход"/>
    <n v="378"/>
    <d v="2022-03-09T00:00:00"/>
    <n v="400"/>
  </r>
  <r>
    <x v="1633"/>
    <s v="2021-12-12"/>
    <s v="Макияж"/>
    <n v="4450"/>
    <d v="2021-12-12T00:00:00"/>
    <n v="487"/>
  </r>
  <r>
    <x v="1410"/>
    <s v="2021-11-12"/>
    <s v="Уход за волосами"/>
    <n v="3300"/>
    <d v="2021-11-12T00:00:00"/>
    <n v="517"/>
  </r>
  <r>
    <x v="1783"/>
    <s v="2023-03-12"/>
    <s v="Уход"/>
    <n v="1074"/>
    <d v="2023-03-12T00:00:00"/>
    <n v="32"/>
  </r>
  <r>
    <x v="1644"/>
    <s v="2019-12-30"/>
    <s v="Уход"/>
    <n v="1470"/>
    <d v="2019-12-30T00:00:00"/>
    <n v="1200"/>
  </r>
  <r>
    <x v="1784"/>
    <s v="2021-12-24"/>
    <s v="Уход"/>
    <n v="13970"/>
    <d v="2021-12-24T00:00:00"/>
    <n v="475"/>
  </r>
  <r>
    <x v="1403"/>
    <s v="2022-10-24"/>
    <s v="Уход за волосами"/>
    <n v="1459"/>
    <d v="2022-10-24T00:00:00"/>
    <n v="171"/>
  </r>
  <r>
    <x v="1785"/>
    <s v="2022-11-18"/>
    <s v="Уход за волосами"/>
    <n v="1119"/>
    <d v="2022-11-18T00:00:00"/>
    <n v="146"/>
  </r>
  <r>
    <x v="1217"/>
    <s v="2022-05-31"/>
    <s v="Уход за волосами"/>
    <n v="3901"/>
    <d v="2022-05-31T00:00:00"/>
    <n v="317"/>
  </r>
  <r>
    <x v="1786"/>
    <s v="2022-04-06"/>
    <s v="Уход за волосами"/>
    <n v="1304"/>
    <d v="2022-04-06T00:00:00"/>
    <n v="372"/>
  </r>
  <r>
    <x v="1787"/>
    <s v="2021-02-21"/>
    <s v="Детский мир"/>
    <n v="356"/>
    <d v="2021-02-21T00:00:00"/>
    <n v="781"/>
  </r>
  <r>
    <x v="1526"/>
    <s v="2022-03-16"/>
    <s v="Уход"/>
    <n v="280"/>
    <d v="2022-03-16T00:00:00"/>
    <n v="393"/>
  </r>
  <r>
    <x v="1422"/>
    <s v="2020-10-15"/>
    <s v="Уход за волосами"/>
    <n v="159"/>
    <d v="2020-10-15T00:00:00"/>
    <n v="910"/>
  </r>
  <r>
    <x v="1788"/>
    <s v="2020-11-14"/>
    <s v="Уход за волосами"/>
    <n v="408"/>
    <d v="2020-11-14T00:00:00"/>
    <n v="880"/>
  </r>
  <r>
    <x v="1789"/>
    <s v="2021-09-10"/>
    <s v="Для дома"/>
    <n v="2415"/>
    <d v="2021-09-10T00:00:00"/>
    <n v="580"/>
  </r>
  <r>
    <x v="1586"/>
    <s v="2021-11-07"/>
    <s v="Для дома"/>
    <n v="31"/>
    <d v="2021-11-07T00:00:00"/>
    <n v="522"/>
  </r>
  <r>
    <x v="1790"/>
    <s v="2022-10-14"/>
    <s v="Уход за волосами"/>
    <n v="2056"/>
    <d v="2022-10-14T00:00:00"/>
    <n v="181"/>
  </r>
  <r>
    <x v="1791"/>
    <s v="2021-09-26"/>
    <s v="Уход"/>
    <n v="673"/>
    <d v="2021-09-26T00:00:00"/>
    <n v="564"/>
  </r>
  <r>
    <x v="1792"/>
    <s v="2019-10-24"/>
    <s v="Уход"/>
    <n v="1338"/>
    <d v="2019-10-24T00:00:00"/>
    <n v="1267"/>
  </r>
  <r>
    <x v="1793"/>
    <s v="2020-09-20"/>
    <s v="Уход за волосами"/>
    <n v="531"/>
    <d v="2020-09-20T00:00:00"/>
    <n v="935"/>
  </r>
  <r>
    <x v="1794"/>
    <s v="2020-10-08"/>
    <s v="Уход"/>
    <n v="621"/>
    <d v="2020-10-08T00:00:00"/>
    <n v="917"/>
  </r>
  <r>
    <x v="1377"/>
    <s v="2023-01-03"/>
    <s v="Уход за волосами"/>
    <n v="1550"/>
    <d v="2023-01-03T00:00:00"/>
    <n v="100"/>
  </r>
  <r>
    <x v="1795"/>
    <s v="2021-01-15"/>
    <s v="Уход"/>
    <n v="39"/>
    <d v="2021-01-15T00:00:00"/>
    <n v="818"/>
  </r>
  <r>
    <x v="1132"/>
    <s v="2021-10-10"/>
    <s v="Уход"/>
    <n v="984"/>
    <d v="2021-10-10T00:00:00"/>
    <n v="550"/>
  </r>
  <r>
    <x v="1796"/>
    <s v="2023-03-05"/>
    <s v="Уход"/>
    <n v="179"/>
    <d v="2023-03-05T00:00:00"/>
    <n v="39"/>
  </r>
  <r>
    <x v="943"/>
    <s v="2021-04-07"/>
    <s v="Уход за волосами"/>
    <n v="2989"/>
    <d v="2021-04-07T00:00:00"/>
    <n v="736"/>
  </r>
  <r>
    <x v="1797"/>
    <s v="2022-07-18"/>
    <s v="Уход за волосами"/>
    <n v="4713"/>
    <d v="2022-07-18T00:00:00"/>
    <n v="269"/>
  </r>
  <r>
    <x v="643"/>
    <s v="2022-12-13"/>
    <s v="Для дома"/>
    <n v="11260"/>
    <d v="2022-12-13T00:00:00"/>
    <n v="121"/>
  </r>
  <r>
    <x v="817"/>
    <s v="2021-03-23"/>
    <s v="Уход"/>
    <n v="4470"/>
    <d v="2021-03-23T00:00:00"/>
    <n v="751"/>
  </r>
  <r>
    <x v="212"/>
    <s v="2020-02-12"/>
    <s v="Хоз.товары/бытовая химия"/>
    <n v="45"/>
    <d v="2020-02-12T00:00:00"/>
    <n v="1156"/>
  </r>
  <r>
    <x v="43"/>
    <s v="2021-07-10"/>
    <s v="Уход за волосами"/>
    <n v="376"/>
    <d v="2021-07-10T00:00:00"/>
    <n v="642"/>
  </r>
  <r>
    <x v="1798"/>
    <s v="2023-01-25"/>
    <s v="Уход за волосами"/>
    <n v="8927"/>
    <d v="2023-01-25T00:00:00"/>
    <n v="78"/>
  </r>
  <r>
    <x v="1799"/>
    <s v="2022-07-28"/>
    <s v="Хоз.товары/бытовая химия"/>
    <n v="186"/>
    <d v="2022-07-28T00:00:00"/>
    <n v="259"/>
  </r>
  <r>
    <x v="1800"/>
    <s v="2021-11-08"/>
    <s v="Уход"/>
    <n v="2514"/>
    <d v="2021-11-08T00:00:00"/>
    <n v="521"/>
  </r>
  <r>
    <x v="1801"/>
    <s v="2023-03-10"/>
    <s v="Уход"/>
    <n v="4824"/>
    <d v="2023-03-10T00:00:00"/>
    <n v="34"/>
  </r>
  <r>
    <x v="892"/>
    <s v="2020-12-29"/>
    <s v="Уход"/>
    <n v="810"/>
    <d v="2020-12-29T00:00:00"/>
    <n v="835"/>
  </r>
  <r>
    <x v="1802"/>
    <s v="2022-01-23"/>
    <s v="Уход за волосами"/>
    <n v="2324"/>
    <d v="2022-01-23T00:00:00"/>
    <n v="445"/>
  </r>
  <r>
    <x v="1131"/>
    <s v="2021-01-20"/>
    <s v="Уход"/>
    <n v="198"/>
    <d v="2021-01-20T00:00:00"/>
    <n v="813"/>
  </r>
  <r>
    <x v="1803"/>
    <s v="2020-11-02"/>
    <s v="Для дома"/>
    <n v="2010"/>
    <d v="2020-11-02T00:00:00"/>
    <n v="892"/>
  </r>
  <r>
    <x v="1576"/>
    <s v="2020-06-11"/>
    <s v="Уход за волосами"/>
    <n v="860"/>
    <d v="2020-06-11T00:00:00"/>
    <n v="1036"/>
  </r>
  <r>
    <x v="1062"/>
    <s v="2022-08-06"/>
    <s v="Уход"/>
    <n v="6265"/>
    <d v="2022-08-06T00:00:00"/>
    <n v="250"/>
  </r>
  <r>
    <x v="1804"/>
    <s v="2020-06-06"/>
    <s v="Одежда и аксессуары"/>
    <n v="148"/>
    <d v="2020-06-06T00:00:00"/>
    <n v="1041"/>
  </r>
  <r>
    <x v="1805"/>
    <s v="2021-09-26"/>
    <s v="Уход"/>
    <n v="1490"/>
    <d v="2021-09-26T00:00:00"/>
    <n v="564"/>
  </r>
  <r>
    <x v="1806"/>
    <s v="2021-08-23"/>
    <s v="Уход"/>
    <n v="355"/>
    <d v="2021-08-23T00:00:00"/>
    <n v="598"/>
  </r>
  <r>
    <x v="1807"/>
    <s v="2020-02-21"/>
    <s v="Уход за волосами"/>
    <n v="3591"/>
    <d v="2020-02-21T00:00:00"/>
    <n v="1147"/>
  </r>
  <r>
    <x v="1808"/>
    <s v="2020-03-09"/>
    <s v="Уход"/>
    <n v="206"/>
    <d v="2020-03-09T00:00:00"/>
    <n v="1130"/>
  </r>
  <r>
    <x v="1809"/>
    <s v="2021-11-28"/>
    <s v="Для дома"/>
    <n v="295"/>
    <d v="2021-11-28T00:00:00"/>
    <n v="501"/>
  </r>
  <r>
    <x v="1810"/>
    <s v="2022-06-07"/>
    <s v="Уход за волосами"/>
    <n v="146"/>
    <d v="2022-06-07T00:00:00"/>
    <n v="310"/>
  </r>
  <r>
    <x v="1335"/>
    <s v="2020-12-25"/>
    <s v="Уход за волосами"/>
    <n v="1492"/>
    <d v="2020-12-25T00:00:00"/>
    <n v="839"/>
  </r>
  <r>
    <x v="1811"/>
    <s v="2020-09-01"/>
    <s v="Уход за волосами"/>
    <n v="183"/>
    <d v="2020-09-01T00:00:00"/>
    <n v="954"/>
  </r>
  <r>
    <x v="709"/>
    <s v="2021-10-03"/>
    <s v="Уход"/>
    <n v="4047"/>
    <d v="2021-10-03T00:00:00"/>
    <n v="557"/>
  </r>
  <r>
    <x v="1812"/>
    <s v="2023-04-01"/>
    <s v="Уход"/>
    <n v="1500"/>
    <d v="2023-04-01T00:00:00"/>
    <n v="12"/>
  </r>
  <r>
    <x v="1617"/>
    <s v="2019-12-01"/>
    <s v="Уход за волосами"/>
    <n v="410"/>
    <d v="2019-12-01T00:00:00"/>
    <n v="1229"/>
  </r>
  <r>
    <x v="1813"/>
    <s v="2021-09-05"/>
    <s v="Хоз.товары/бытовая химия"/>
    <n v="49"/>
    <d v="2021-09-05T00:00:00"/>
    <n v="585"/>
  </r>
  <r>
    <x v="1763"/>
    <s v="2019-07-10"/>
    <s v="Уход"/>
    <n v="6599"/>
    <d v="2019-07-10T00:00:00"/>
    <n v="1373"/>
  </r>
  <r>
    <x v="34"/>
    <s v="2021-09-01"/>
    <s v="Одежда и аксессуары"/>
    <n v="22836.97"/>
    <d v="2021-09-01T00:00:00"/>
    <n v="589"/>
  </r>
  <r>
    <x v="382"/>
    <s v="2021-02-12"/>
    <s v="Одежда и аксессуары"/>
    <n v="65"/>
    <d v="2021-02-12T00:00:00"/>
    <n v="790"/>
  </r>
  <r>
    <x v="275"/>
    <s v="2022-09-23"/>
    <s v="Уход"/>
    <n v="1792"/>
    <d v="2022-09-23T00:00:00"/>
    <n v="202"/>
  </r>
  <r>
    <x v="1814"/>
    <s v="2022-11-07"/>
    <s v="Уход за волосами"/>
    <n v="1947"/>
    <d v="2022-11-07T00:00:00"/>
    <n v="157"/>
  </r>
  <r>
    <x v="34"/>
    <s v="2021-10-23"/>
    <s v="Макияж"/>
    <n v="31313.439999999999"/>
    <d v="2021-10-23T00:00:00"/>
    <n v="537"/>
  </r>
  <r>
    <x v="1815"/>
    <s v="2020-05-15"/>
    <s v="Уход за волосами"/>
    <n v="1256"/>
    <d v="2020-05-15T00:00:00"/>
    <n v="1063"/>
  </r>
  <r>
    <x v="1316"/>
    <s v="2021-01-06"/>
    <s v="Уход"/>
    <n v="1396"/>
    <d v="2021-01-06T00:00:00"/>
    <n v="827"/>
  </r>
  <r>
    <x v="1487"/>
    <s v="2022-12-23"/>
    <s v="Для дома"/>
    <n v="2020"/>
    <d v="2022-12-23T00:00:00"/>
    <n v="111"/>
  </r>
  <r>
    <x v="1816"/>
    <s v="2020-10-14"/>
    <s v="Уход за волосами"/>
    <n v="432"/>
    <d v="2020-10-14T00:00:00"/>
    <n v="911"/>
  </r>
  <r>
    <x v="1817"/>
    <s v="2021-04-30"/>
    <s v="Уход"/>
    <n v="11310"/>
    <d v="2021-04-30T00:00:00"/>
    <n v="713"/>
  </r>
  <r>
    <x v="1818"/>
    <s v="2023-04-11"/>
    <s v="Уход"/>
    <n v="1590"/>
    <d v="2023-04-11T00:00:00"/>
    <n v="2"/>
  </r>
  <r>
    <x v="1819"/>
    <s v="2022-12-31"/>
    <s v="Уход"/>
    <n v="4381"/>
    <d v="2022-12-31T00:00:00"/>
    <n v="103"/>
  </r>
  <r>
    <x v="1820"/>
    <s v="2021-06-24"/>
    <s v="Для дома"/>
    <n v="1485"/>
    <d v="2021-06-24T00:00:00"/>
    <n v="658"/>
  </r>
  <r>
    <x v="210"/>
    <s v="2022-06-29"/>
    <s v="Уход"/>
    <n v="2786"/>
    <d v="2022-06-29T00:00:00"/>
    <n v="288"/>
  </r>
  <r>
    <x v="1821"/>
    <s v="2022-04-19"/>
    <s v="Уход за волосами"/>
    <n v="10848"/>
    <d v="2022-04-19T00:00:00"/>
    <n v="359"/>
  </r>
  <r>
    <x v="1144"/>
    <s v="2022-06-01"/>
    <s v="Уход"/>
    <n v="7750"/>
    <d v="2022-06-01T00:00:00"/>
    <n v="316"/>
  </r>
  <r>
    <x v="1822"/>
    <s v="2022-05-15"/>
    <s v="Уход за волосами"/>
    <n v="1139"/>
    <d v="2022-05-15T00:00:00"/>
    <n v="333"/>
  </r>
  <r>
    <x v="1823"/>
    <s v="2021-07-17"/>
    <s v="Уход за волосами"/>
    <n v="8547"/>
    <d v="2021-07-17T00:00:00"/>
    <n v="635"/>
  </r>
  <r>
    <x v="1824"/>
    <s v="2021-09-01"/>
    <s v="Уход за волосами"/>
    <n v="1000"/>
    <d v="2021-09-01T00:00:00"/>
    <n v="589"/>
  </r>
  <r>
    <x v="1825"/>
    <s v="2021-06-10"/>
    <s v="Уход"/>
    <n v="15415"/>
    <d v="2021-06-10T00:00:00"/>
    <n v="672"/>
  </r>
  <r>
    <x v="978"/>
    <s v="2022-06-12"/>
    <s v="Уход"/>
    <n v="1964"/>
    <d v="2022-06-12T00:00:00"/>
    <n v="305"/>
  </r>
  <r>
    <x v="1826"/>
    <s v="2020-02-27"/>
    <s v="Хоз.товары/бытовая химия"/>
    <n v="126"/>
    <d v="2020-02-27T00:00:00"/>
    <n v="1141"/>
  </r>
  <r>
    <x v="1827"/>
    <s v="2022-11-26"/>
    <s v="Уход за волосами"/>
    <n v="1077"/>
    <d v="2022-11-26T00:00:00"/>
    <n v="138"/>
  </r>
  <r>
    <x v="875"/>
    <s v="2020-11-27"/>
    <s v="Уход за волосами"/>
    <n v="9714"/>
    <d v="2020-11-27T00:00:00"/>
    <n v="867"/>
  </r>
  <r>
    <x v="1258"/>
    <s v="2022-02-24"/>
    <s v="Уход"/>
    <n v="1514"/>
    <d v="2022-02-24T00:00:00"/>
    <n v="413"/>
  </r>
  <r>
    <x v="1828"/>
    <s v="2022-08-18"/>
    <s v="Уход"/>
    <n v="4077"/>
    <d v="2022-08-18T00:00:00"/>
    <n v="238"/>
  </r>
  <r>
    <x v="1829"/>
    <s v="2021-05-03"/>
    <s v="Для дома"/>
    <n v="304"/>
    <d v="2021-05-03T00:00:00"/>
    <n v="710"/>
  </r>
  <r>
    <x v="1583"/>
    <s v="2022-10-27"/>
    <s v="Уход"/>
    <n v="1194"/>
    <d v="2022-10-27T00:00:00"/>
    <n v="168"/>
  </r>
  <r>
    <x v="1830"/>
    <s v="2022-03-20"/>
    <s v="Уход"/>
    <n v="210"/>
    <d v="2022-03-20T00:00:00"/>
    <n v="389"/>
  </r>
  <r>
    <x v="1831"/>
    <s v="2022-02-25"/>
    <s v="Для дома"/>
    <n v="147"/>
    <d v="2022-02-25T00:00:00"/>
    <n v="412"/>
  </r>
  <r>
    <x v="1832"/>
    <s v="2022-11-03"/>
    <s v="Для дома"/>
    <n v="863"/>
    <d v="2022-11-03T00:00:00"/>
    <n v="161"/>
  </r>
  <r>
    <x v="1646"/>
    <s v="2022-12-22"/>
    <s v="Для дома"/>
    <n v="208"/>
    <d v="2022-12-22T00:00:00"/>
    <n v="112"/>
  </r>
  <r>
    <x v="1833"/>
    <s v="2020-02-17"/>
    <s v="Одежда и аксессуары"/>
    <n v="273"/>
    <d v="2020-02-17T00:00:00"/>
    <n v="1151"/>
  </r>
  <r>
    <x v="1834"/>
    <s v="2020-06-18"/>
    <s v="Уход"/>
    <n v="2075"/>
    <d v="2020-06-18T00:00:00"/>
    <n v="1029"/>
  </r>
  <r>
    <x v="496"/>
    <s v="2022-11-13"/>
    <s v="Для дома"/>
    <n v="112"/>
    <d v="2022-11-13T00:00:00"/>
    <n v="151"/>
  </r>
  <r>
    <x v="1331"/>
    <s v="2022-07-04"/>
    <s v="Для дома"/>
    <n v="177"/>
    <d v="2022-07-04T00:00:00"/>
    <n v="283"/>
  </r>
  <r>
    <x v="1835"/>
    <s v="2022-02-07"/>
    <s v="Уход"/>
    <n v="885"/>
    <d v="2022-02-07T00:00:00"/>
    <n v="430"/>
  </r>
  <r>
    <x v="1836"/>
    <s v="2022-10-06"/>
    <s v="Для дома"/>
    <n v="139"/>
    <d v="2022-10-06T00:00:00"/>
    <n v="189"/>
  </r>
  <r>
    <x v="675"/>
    <s v="2022-03-25"/>
    <s v="Уход за волосами"/>
    <n v="7460"/>
    <d v="2022-03-25T00:00:00"/>
    <n v="384"/>
  </r>
  <r>
    <x v="600"/>
    <s v="2022-01-12"/>
    <s v="Детский мир"/>
    <n v="216"/>
    <d v="2022-01-12T00:00:00"/>
    <n v="456"/>
  </r>
  <r>
    <x v="130"/>
    <s v="2021-05-07"/>
    <s v="Для дома"/>
    <n v="545"/>
    <d v="2021-05-07T00:00:00"/>
    <n v="706"/>
  </r>
  <r>
    <x v="351"/>
    <s v="2022-06-10"/>
    <s v="Макияж"/>
    <n v="770"/>
    <d v="2022-06-10T00:00:00"/>
    <n v="307"/>
  </r>
  <r>
    <x v="1837"/>
    <s v="2022-03-03"/>
    <s v="Уход"/>
    <n v="790"/>
    <d v="2022-03-03T00:00:00"/>
    <n v="406"/>
  </r>
  <r>
    <x v="1830"/>
    <s v="2023-01-21"/>
    <s v="Для дома"/>
    <n v="846"/>
    <d v="2023-01-21T00:00:00"/>
    <n v="82"/>
  </r>
  <r>
    <x v="730"/>
    <s v="2021-12-17"/>
    <s v="Уход"/>
    <n v="24850"/>
    <d v="2021-12-17T00:00:00"/>
    <n v="482"/>
  </r>
  <r>
    <x v="1838"/>
    <s v="2022-03-03"/>
    <s v="Уход"/>
    <n v="598"/>
    <d v="2022-03-03T00:00:00"/>
    <n v="406"/>
  </r>
  <r>
    <x v="34"/>
    <s v="2017-07-05"/>
    <s v="Одежда и аксессуары"/>
    <n v="179895.6"/>
    <d v="2017-07-05T00:00:00"/>
    <n v="2108"/>
  </r>
  <r>
    <x v="1839"/>
    <s v="2023-01-29"/>
    <s v="Детский мир"/>
    <n v="627"/>
    <d v="2023-01-29T00:00:00"/>
    <n v="74"/>
  </r>
  <r>
    <x v="1840"/>
    <s v="2023-01-16"/>
    <s v="Детский мир"/>
    <n v="232"/>
    <d v="2023-01-16T00:00:00"/>
    <n v="87"/>
  </r>
  <r>
    <x v="744"/>
    <s v="2021-11-04"/>
    <s v="Уход"/>
    <n v="387"/>
    <d v="2021-11-04T00:00:00"/>
    <n v="525"/>
  </r>
  <r>
    <x v="1841"/>
    <s v="2023-03-20"/>
    <s v="Детский мир"/>
    <n v="2409"/>
    <d v="2023-03-20T00:00:00"/>
    <n v="24"/>
  </r>
  <r>
    <x v="1842"/>
    <s v="2021-03-11"/>
    <s v="Уход"/>
    <n v="1438"/>
    <d v="2021-03-11T00:00:00"/>
    <n v="763"/>
  </r>
  <r>
    <x v="1061"/>
    <s v="2020-11-12"/>
    <s v="Уход"/>
    <n v="726"/>
    <d v="2020-11-12T00:00:00"/>
    <n v="882"/>
  </r>
  <r>
    <x v="1843"/>
    <s v="2021-11-06"/>
    <s v="Уход"/>
    <n v="10530"/>
    <d v="2021-11-06T00:00:00"/>
    <n v="523"/>
  </r>
  <r>
    <x v="1576"/>
    <s v="2021-04-19"/>
    <s v="Уход за волосами"/>
    <n v="1404"/>
    <d v="2021-04-19T00:00:00"/>
    <n v="724"/>
  </r>
  <r>
    <x v="1844"/>
    <s v="2020-10-10"/>
    <s v="Макияж"/>
    <n v="5697"/>
    <d v="2020-10-10T00:00:00"/>
    <n v="915"/>
  </r>
  <r>
    <x v="34"/>
    <s v="2018-11-21"/>
    <s v="Для дома"/>
    <n v="420748"/>
    <d v="2018-11-21T00:00:00"/>
    <n v="1604"/>
  </r>
  <r>
    <x v="1466"/>
    <s v="2022-11-28"/>
    <s v="Уход"/>
    <n v="370"/>
    <d v="2022-11-28T00:00:00"/>
    <n v="136"/>
  </r>
  <r>
    <x v="1845"/>
    <s v="2022-07-29"/>
    <s v="Макияж"/>
    <n v="676"/>
    <d v="2022-07-29T00:00:00"/>
    <n v="258"/>
  </r>
  <r>
    <x v="1846"/>
    <s v="2020-07-04"/>
    <s v="Детский мир"/>
    <n v="365"/>
    <d v="2020-07-04T00:00:00"/>
    <n v="1013"/>
  </r>
  <r>
    <x v="218"/>
    <s v="2020-11-07"/>
    <s v="Уход за волосами"/>
    <n v="7945"/>
    <d v="2020-11-07T00:00:00"/>
    <n v="887"/>
  </r>
  <r>
    <x v="1847"/>
    <s v="2022-06-11"/>
    <s v="Детский мир"/>
    <n v="85"/>
    <d v="2022-06-11T00:00:00"/>
    <n v="306"/>
  </r>
  <r>
    <x v="1848"/>
    <s v="2021-10-07"/>
    <s v="Одежда и аксессуары"/>
    <n v="1641"/>
    <d v="2021-10-07T00:00:00"/>
    <n v="553"/>
  </r>
  <r>
    <x v="1849"/>
    <s v="2023-03-09"/>
    <s v="Хоз.товары/бытовая химия"/>
    <n v="309"/>
    <d v="2023-03-09T00:00:00"/>
    <n v="35"/>
  </r>
  <r>
    <x v="1850"/>
    <s v="2022-11-15"/>
    <s v="Хоз.товары/бытовая химия"/>
    <n v="119"/>
    <d v="2022-11-15T00:00:00"/>
    <n v="149"/>
  </r>
  <r>
    <x v="1851"/>
    <s v="2020-12-17"/>
    <s v="Хоз.товары/бытовая химия"/>
    <n v="204"/>
    <d v="2020-12-17T00:00:00"/>
    <n v="847"/>
  </r>
  <r>
    <x v="1705"/>
    <s v="2022-10-16"/>
    <s v="Уход"/>
    <n v="960"/>
    <d v="2022-10-16T00:00:00"/>
    <n v="179"/>
  </r>
  <r>
    <x v="1852"/>
    <s v="2022-06-20"/>
    <s v="Уход за волосами"/>
    <n v="2370"/>
    <d v="2022-06-20T00:00:00"/>
    <n v="297"/>
  </r>
  <r>
    <x v="380"/>
    <s v="2022-09-28"/>
    <s v="Для дома"/>
    <n v="1580"/>
    <d v="2022-09-28T00:00:00"/>
    <n v="197"/>
  </r>
  <r>
    <x v="207"/>
    <s v="2022-12-30"/>
    <s v="Уход"/>
    <n v="340.94"/>
    <d v="2022-12-30T00:00:00"/>
    <n v="104"/>
  </r>
  <r>
    <x v="1853"/>
    <s v="2019-11-09"/>
    <s v="Уход"/>
    <n v="1119"/>
    <d v="2019-11-09T00:00:00"/>
    <n v="1251"/>
  </r>
  <r>
    <x v="1854"/>
    <s v="2022-12-13"/>
    <s v="Уход"/>
    <n v="713"/>
    <d v="2022-12-13T00:00:00"/>
    <n v="121"/>
  </r>
  <r>
    <x v="755"/>
    <s v="2022-02-21"/>
    <s v="Уход"/>
    <n v="2544"/>
    <d v="2022-02-21T00:00:00"/>
    <n v="416"/>
  </r>
  <r>
    <x v="81"/>
    <s v="2020-02-29"/>
    <s v="Уход за волосами"/>
    <n v="578"/>
    <d v="2020-02-29T00:00:00"/>
    <n v="1139"/>
  </r>
  <r>
    <x v="1622"/>
    <s v="2023-01-05"/>
    <s v="Детский мир"/>
    <n v="709"/>
    <d v="2023-01-05T00:00:00"/>
    <n v="98"/>
  </r>
  <r>
    <x v="1855"/>
    <s v="2020-01-23"/>
    <s v="Уход за волосами"/>
    <n v="10959"/>
    <d v="2020-01-23T00:00:00"/>
    <n v="1176"/>
  </r>
  <r>
    <x v="1856"/>
    <s v="2019-09-25"/>
    <s v="Одежда и аксессуары"/>
    <n v="1374"/>
    <d v="2019-09-25T00:00:00"/>
    <n v="1296"/>
  </r>
  <r>
    <x v="1259"/>
    <s v="2020-12-25"/>
    <s v="Уход"/>
    <n v="1418"/>
    <d v="2020-12-25T00:00:00"/>
    <n v="839"/>
  </r>
  <r>
    <x v="1367"/>
    <s v="2020-07-18"/>
    <s v="Одежда и аксессуары"/>
    <n v="1059"/>
    <d v="2020-07-18T00:00:00"/>
    <n v="999"/>
  </r>
  <r>
    <x v="1857"/>
    <s v="2022-05-12"/>
    <s v="Уход за волосами"/>
    <n v="572"/>
    <d v="2022-05-12T00:00:00"/>
    <n v="336"/>
  </r>
  <r>
    <x v="127"/>
    <s v="2021-09-11"/>
    <s v="Уход"/>
    <n v="322"/>
    <d v="2021-09-11T00:00:00"/>
    <n v="579"/>
  </r>
  <r>
    <x v="187"/>
    <s v="2023-02-27"/>
    <s v="Уход"/>
    <n v="4540"/>
    <d v="2023-02-27T00:00:00"/>
    <n v="45"/>
  </r>
  <r>
    <x v="502"/>
    <s v="2021-06-18"/>
    <s v="Уход"/>
    <n v="14505"/>
    <d v="2021-06-18T00:00:00"/>
    <n v="664"/>
  </r>
  <r>
    <x v="1858"/>
    <s v="2019-06-15"/>
    <s v="Уход"/>
    <n v="1050"/>
    <d v="2019-06-15T00:00:00"/>
    <n v="1398"/>
  </r>
  <r>
    <x v="1859"/>
    <s v="2023-02-14"/>
    <s v="Уход"/>
    <n v="2594"/>
    <d v="2023-02-14T00:00:00"/>
    <n v="58"/>
  </r>
  <r>
    <x v="1860"/>
    <s v="2019-10-16"/>
    <s v="Уход"/>
    <n v="1700"/>
    <d v="2019-10-16T00:00:00"/>
    <n v="1275"/>
  </r>
  <r>
    <x v="1861"/>
    <s v="2021-08-07"/>
    <s v="Для дома"/>
    <n v="38"/>
    <d v="2021-08-07T00:00:00"/>
    <n v="614"/>
  </r>
  <r>
    <x v="1384"/>
    <s v="2022-09-08"/>
    <s v="Для дома"/>
    <n v="2738"/>
    <d v="2022-09-08T00:00:00"/>
    <n v="217"/>
  </r>
  <r>
    <x v="1862"/>
    <s v="2019-12-28"/>
    <s v="Уход"/>
    <n v="2604"/>
    <d v="2019-12-28T00:00:00"/>
    <n v="1202"/>
  </r>
  <r>
    <x v="1683"/>
    <s v="2022-12-08"/>
    <s v="Уход"/>
    <n v="198"/>
    <d v="2022-12-08T00:00:00"/>
    <n v="126"/>
  </r>
  <r>
    <x v="1863"/>
    <s v="2021-05-01"/>
    <s v="Детский мир"/>
    <n v="405"/>
    <d v="2021-05-01T00:00:00"/>
    <n v="712"/>
  </r>
  <r>
    <x v="1864"/>
    <s v="2019-07-27"/>
    <s v="Уход за волосами"/>
    <n v="4840"/>
    <d v="2019-07-27T00:00:00"/>
    <n v="1356"/>
  </r>
  <r>
    <x v="822"/>
    <s v="2021-08-16"/>
    <s v="Уход"/>
    <n v="272"/>
    <d v="2021-08-16T00:00:00"/>
    <n v="605"/>
  </r>
  <r>
    <x v="1865"/>
    <s v="2021-12-29"/>
    <s v="Макияж"/>
    <n v="630"/>
    <d v="2021-12-29T00:00:00"/>
    <n v="470"/>
  </r>
  <r>
    <x v="1444"/>
    <s v="2022-07-04"/>
    <s v="Уход"/>
    <n v="199"/>
    <d v="2022-07-04T00:00:00"/>
    <n v="283"/>
  </r>
  <r>
    <x v="1866"/>
    <s v="2022-05-11"/>
    <s v="Уход за волосами"/>
    <n v="580"/>
    <d v="2022-05-11T00:00:00"/>
    <n v="337"/>
  </r>
  <r>
    <x v="1867"/>
    <s v="2023-04-13"/>
    <s v="Детский мир"/>
    <n v="933"/>
    <d v="2023-04-13T00:00:00"/>
    <n v="0"/>
  </r>
  <r>
    <x v="1868"/>
    <s v="2022-12-13"/>
    <s v="Уход"/>
    <n v="2191"/>
    <d v="2022-12-13T00:00:00"/>
    <n v="121"/>
  </r>
  <r>
    <x v="1869"/>
    <s v="2021-09-16"/>
    <s v="Для дома"/>
    <n v="37"/>
    <d v="2021-09-16T00:00:00"/>
    <n v="574"/>
  </r>
  <r>
    <x v="978"/>
    <s v="2023-03-26"/>
    <s v="Хоз.товары/бытовая химия"/>
    <n v="141"/>
    <d v="2023-03-26T00:00:00"/>
    <n v="18"/>
  </r>
  <r>
    <x v="1870"/>
    <s v="2021-11-13"/>
    <s v="Уход за волосами"/>
    <n v="1161"/>
    <d v="2021-11-13T00:00:00"/>
    <n v="516"/>
  </r>
  <r>
    <x v="1871"/>
    <s v="2022-07-22"/>
    <s v="Детский мир"/>
    <n v="882"/>
    <d v="2022-07-22T00:00:00"/>
    <n v="265"/>
  </r>
  <r>
    <x v="74"/>
    <s v="2021-11-01"/>
    <s v="Детский мир"/>
    <n v="129"/>
    <d v="2021-11-01T00:00:00"/>
    <n v="528"/>
  </r>
  <r>
    <x v="1872"/>
    <s v="2022-06-08"/>
    <s v="Уход за волосами"/>
    <n v="1319"/>
    <d v="2022-06-08T00:00:00"/>
    <n v="309"/>
  </r>
  <r>
    <x v="1873"/>
    <s v="2023-03-18"/>
    <s v="Уход"/>
    <n v="950"/>
    <d v="2023-03-18T00:00:00"/>
    <n v="26"/>
  </r>
  <r>
    <x v="330"/>
    <s v="2022-05-20"/>
    <s v="Уход за волосами"/>
    <n v="1646"/>
    <d v="2022-05-20T00:00:00"/>
    <n v="328"/>
  </r>
  <r>
    <x v="1874"/>
    <s v="2021-06-15"/>
    <s v="Уход"/>
    <n v="354"/>
    <d v="2021-06-15T00:00:00"/>
    <n v="667"/>
  </r>
  <r>
    <x v="1875"/>
    <s v="2020-12-14"/>
    <s v="Уход за волосами"/>
    <n v="935"/>
    <d v="2020-12-14T00:00:00"/>
    <n v="850"/>
  </r>
  <r>
    <x v="330"/>
    <s v="2022-09-13"/>
    <s v="Для дома"/>
    <n v="216"/>
    <d v="2022-09-13T00:00:00"/>
    <n v="212"/>
  </r>
  <r>
    <x v="305"/>
    <s v="2022-06-12"/>
    <s v="Детский мир"/>
    <n v="290"/>
    <d v="2022-06-12T00:00:00"/>
    <n v="305"/>
  </r>
  <r>
    <x v="1035"/>
    <s v="2021-09-01"/>
    <s v="Уход за волосами"/>
    <n v="253"/>
    <d v="2021-09-01T00:00:00"/>
    <n v="589"/>
  </r>
  <r>
    <x v="1876"/>
    <s v="2021-10-26"/>
    <s v="Для дома"/>
    <n v="114"/>
    <d v="2021-10-26T00:00:00"/>
    <n v="534"/>
  </r>
  <r>
    <x v="1877"/>
    <s v="2021-12-20"/>
    <s v="Для дома"/>
    <n v="289"/>
    <d v="2021-12-20T00:00:00"/>
    <n v="479"/>
  </r>
  <r>
    <x v="1878"/>
    <s v="2022-07-10"/>
    <s v="Макияж"/>
    <n v="931"/>
    <d v="2022-07-10T00:00:00"/>
    <n v="277"/>
  </r>
  <r>
    <x v="1879"/>
    <s v="2021-05-23"/>
    <s v="Уход за волосами"/>
    <n v="2223"/>
    <d v="2021-05-23T00:00:00"/>
    <n v="690"/>
  </r>
  <r>
    <x v="1880"/>
    <s v="2022-12-21"/>
    <s v="Одежда и аксессуары"/>
    <n v="8300"/>
    <d v="2022-12-21T00:00:00"/>
    <n v="113"/>
  </r>
  <r>
    <x v="1881"/>
    <s v="2022-12-03"/>
    <s v="Уход"/>
    <n v="285"/>
    <d v="2022-12-03T00:00:00"/>
    <n v="131"/>
  </r>
  <r>
    <x v="331"/>
    <s v="2022-04-03"/>
    <s v="Уход за волосами"/>
    <n v="1566"/>
    <d v="2022-04-03T00:00:00"/>
    <n v="375"/>
  </r>
  <r>
    <x v="1882"/>
    <s v="2021-09-14"/>
    <s v="Уход"/>
    <n v="1799"/>
    <d v="2021-09-14T00:00:00"/>
    <n v="576"/>
  </r>
  <r>
    <x v="1883"/>
    <s v="2022-03-16"/>
    <s v="Уход за волосами"/>
    <n v="5198"/>
    <d v="2022-03-16T00:00:00"/>
    <n v="393"/>
  </r>
  <r>
    <x v="403"/>
    <s v="2022-07-02"/>
    <s v="Уход"/>
    <n v="71"/>
    <d v="2022-07-02T00:00:00"/>
    <n v="285"/>
  </r>
  <r>
    <x v="1490"/>
    <s v="2022-04-26"/>
    <s v="Уход за волосами"/>
    <n v="2949"/>
    <d v="2022-04-26T00:00:00"/>
    <n v="352"/>
  </r>
  <r>
    <x v="1884"/>
    <s v="2023-01-15"/>
    <s v="Уход за волосами"/>
    <n v="2259"/>
    <d v="2023-01-15T00:00:00"/>
    <n v="88"/>
  </r>
  <r>
    <x v="1885"/>
    <s v="2020-09-13"/>
    <s v="Детский мир"/>
    <n v="184"/>
    <d v="2020-09-13T00:00:00"/>
    <n v="942"/>
  </r>
  <r>
    <x v="1886"/>
    <s v="2020-08-18"/>
    <s v="Уход"/>
    <n v="2980"/>
    <d v="2020-08-18T00:00:00"/>
    <n v="968"/>
  </r>
  <r>
    <x v="424"/>
    <s v="2023-03-25"/>
    <s v="Уход за волосами"/>
    <n v="2400"/>
    <d v="2023-03-25T00:00:00"/>
    <n v="19"/>
  </r>
  <r>
    <x v="1468"/>
    <s v="2020-11-25"/>
    <s v="Детский мир"/>
    <n v="260"/>
    <d v="2020-11-25T00:00:00"/>
    <n v="869"/>
  </r>
  <r>
    <x v="773"/>
    <s v="2023-02-25"/>
    <s v="Уход за волосами"/>
    <n v="743"/>
    <d v="2023-02-25T00:00:00"/>
    <n v="47"/>
  </r>
  <r>
    <x v="888"/>
    <s v="2023-02-01"/>
    <s v="Для дома"/>
    <n v="4233"/>
    <d v="2023-02-01T00:00:00"/>
    <n v="71"/>
  </r>
  <r>
    <x v="1887"/>
    <s v="2021-09-29"/>
    <s v="Уход"/>
    <n v="3339"/>
    <d v="2021-09-29T00:00:00"/>
    <n v="561"/>
  </r>
  <r>
    <x v="1314"/>
    <s v="2023-02-20"/>
    <s v="Уход"/>
    <n v="1745"/>
    <d v="2023-02-20T00:00:00"/>
    <n v="52"/>
  </r>
  <r>
    <x v="1888"/>
    <s v="2019-06-22"/>
    <s v="Уход"/>
    <n v="4686"/>
    <d v="2019-06-22T00:00:00"/>
    <n v="1391"/>
  </r>
  <r>
    <x v="604"/>
    <s v="2021-06-07"/>
    <s v="Уход за волосами"/>
    <n v="7470"/>
    <d v="2021-06-07T00:00:00"/>
    <n v="675"/>
  </r>
  <r>
    <x v="1889"/>
    <s v="2020-09-26"/>
    <s v="Для дома"/>
    <n v="119"/>
    <d v="2020-09-26T00:00:00"/>
    <n v="929"/>
  </r>
  <r>
    <x v="1890"/>
    <s v="2022-01-07"/>
    <s v="Хоз.товары/бытовая химия"/>
    <n v="29"/>
    <d v="2022-01-07T00:00:00"/>
    <n v="461"/>
  </r>
  <r>
    <x v="1639"/>
    <s v="2022-06-10"/>
    <s v="Уход"/>
    <n v="2391"/>
    <d v="2022-06-10T00:00:00"/>
    <n v="307"/>
  </r>
  <r>
    <x v="1891"/>
    <s v="2022-05-28"/>
    <s v="Для дома"/>
    <n v="1480"/>
    <d v="2022-05-28T00:00:00"/>
    <n v="320"/>
  </r>
  <r>
    <x v="1892"/>
    <s v="2020-07-30"/>
    <s v="Уход за волосами"/>
    <n v="1266"/>
    <d v="2020-07-30T00:00:00"/>
    <n v="987"/>
  </r>
  <r>
    <x v="1893"/>
    <s v="2022-07-09"/>
    <s v="Уход"/>
    <n v="1839"/>
    <d v="2022-07-09T00:00:00"/>
    <n v="278"/>
  </r>
  <r>
    <x v="1372"/>
    <s v="2022-07-19"/>
    <s v="Макияж"/>
    <n v="169"/>
    <d v="2022-07-19T00:00:00"/>
    <n v="268"/>
  </r>
  <r>
    <x v="675"/>
    <s v="2022-10-28"/>
    <s v="Уход"/>
    <n v="4770"/>
    <d v="2022-10-28T00:00:00"/>
    <n v="167"/>
  </r>
  <r>
    <x v="1039"/>
    <s v="2020-03-06"/>
    <s v="Хоз.товары/бытовая химия"/>
    <n v="201"/>
    <d v="2020-03-06T00:00:00"/>
    <n v="1133"/>
  </r>
  <r>
    <x v="1894"/>
    <s v="2021-08-20"/>
    <s v="Уход"/>
    <n v="2054"/>
    <d v="2021-08-20T00:00:00"/>
    <n v="601"/>
  </r>
  <r>
    <x v="1895"/>
    <s v="2022-12-22"/>
    <s v="Уход"/>
    <n v="2670"/>
    <d v="2022-12-22T00:00:00"/>
    <n v="112"/>
  </r>
  <r>
    <x v="900"/>
    <s v="2021-08-12"/>
    <s v="Уход"/>
    <n v="179"/>
    <d v="2021-08-12T00:00:00"/>
    <n v="609"/>
  </r>
  <r>
    <x v="1896"/>
    <s v="2021-12-22"/>
    <s v="Хоз.товары/бытовая химия"/>
    <n v="134"/>
    <d v="2021-12-22T00:00:00"/>
    <n v="477"/>
  </r>
  <r>
    <x v="1897"/>
    <s v="2023-04-05"/>
    <s v="Уход"/>
    <n v="2408"/>
    <d v="2023-04-05T00:00:00"/>
    <n v="8"/>
  </r>
  <r>
    <x v="523"/>
    <s v="2021-09-02"/>
    <s v="Уход за волосами"/>
    <n v="3570"/>
    <d v="2021-09-02T00:00:00"/>
    <n v="588"/>
  </r>
  <r>
    <x v="1898"/>
    <s v="2021-06-08"/>
    <s v="Одежда и аксессуары"/>
    <n v="98"/>
    <d v="2021-06-08T00:00:00"/>
    <n v="674"/>
  </r>
  <r>
    <x v="1899"/>
    <s v="2022-05-23"/>
    <s v="Уход"/>
    <n v="718"/>
    <d v="2022-05-23T00:00:00"/>
    <n v="325"/>
  </r>
  <r>
    <x v="1900"/>
    <s v="2019-11-11"/>
    <s v="Уход"/>
    <n v="312"/>
    <d v="2019-11-11T00:00:00"/>
    <n v="1249"/>
  </r>
  <r>
    <x v="1901"/>
    <s v="2023-01-07"/>
    <s v="Уход"/>
    <n v="311"/>
    <d v="2023-01-07T00:00:00"/>
    <n v="96"/>
  </r>
  <r>
    <x v="117"/>
    <s v="2021-10-29"/>
    <s v="Для дома"/>
    <n v="1632"/>
    <d v="2021-10-29T00:00:00"/>
    <n v="531"/>
  </r>
  <r>
    <x v="1902"/>
    <s v="2021-03-03"/>
    <s v="Уход за волосами"/>
    <n v="792"/>
    <d v="2021-03-03T00:00:00"/>
    <n v="771"/>
  </r>
  <r>
    <x v="1903"/>
    <s v="2021-03-02"/>
    <s v="Уход"/>
    <n v="99"/>
    <d v="2021-03-02T00:00:00"/>
    <n v="772"/>
  </r>
  <r>
    <x v="36"/>
    <s v="2022-01-10"/>
    <s v="Уход"/>
    <n v="1390"/>
    <d v="2022-01-10T00:00:00"/>
    <n v="458"/>
  </r>
  <r>
    <x v="1006"/>
    <s v="2021-10-06"/>
    <s v="Уход"/>
    <n v="3234"/>
    <d v="2021-10-06T00:00:00"/>
    <n v="554"/>
  </r>
  <r>
    <x v="1904"/>
    <s v="2021-09-29"/>
    <s v="Для дома"/>
    <n v="113"/>
    <d v="2021-09-29T00:00:00"/>
    <n v="561"/>
  </r>
  <r>
    <x v="689"/>
    <s v="2022-08-15"/>
    <s v="Уход"/>
    <n v="1032"/>
    <d v="2022-08-15T00:00:00"/>
    <n v="241"/>
  </r>
  <r>
    <x v="48"/>
    <s v="2020-02-03"/>
    <s v="Уход за волосами"/>
    <n v="164"/>
    <d v="2020-02-03T00:00:00"/>
    <n v="1165"/>
  </r>
  <r>
    <x v="1905"/>
    <s v="2023-03-04"/>
    <s v="Уход за волосами"/>
    <n v="15811"/>
    <d v="2023-03-04T00:00:00"/>
    <n v="40"/>
  </r>
  <r>
    <x v="1906"/>
    <s v="2021-04-12"/>
    <s v="Уход за волосами"/>
    <n v="490"/>
    <d v="2021-04-12T00:00:00"/>
    <n v="731"/>
  </r>
  <r>
    <x v="1279"/>
    <s v="2021-11-14"/>
    <s v="Уход за волосами"/>
    <n v="2229"/>
    <d v="2021-11-14T00:00:00"/>
    <n v="515"/>
  </r>
  <r>
    <x v="1484"/>
    <s v="2022-01-10"/>
    <s v="Уход за волосами"/>
    <n v="878"/>
    <d v="2022-01-10T00:00:00"/>
    <n v="458"/>
  </r>
  <r>
    <x v="1873"/>
    <s v="2022-04-20"/>
    <s v="Уход"/>
    <n v="786"/>
    <d v="2022-04-20T00:00:00"/>
    <n v="358"/>
  </r>
  <r>
    <x v="1285"/>
    <s v="2023-03-28"/>
    <s v="Для дома"/>
    <n v="215"/>
    <d v="2023-03-28T00:00:00"/>
    <n v="16"/>
  </r>
  <r>
    <x v="1565"/>
    <s v="2021-11-19"/>
    <s v="Макияж"/>
    <n v="1932"/>
    <d v="2021-11-19T00:00:00"/>
    <n v="510"/>
  </r>
  <r>
    <x v="1907"/>
    <s v="2020-11-13"/>
    <s v="Уход за волосами"/>
    <n v="32"/>
    <d v="2020-11-13T00:00:00"/>
    <n v="881"/>
  </r>
  <r>
    <x v="483"/>
    <s v="2022-03-03"/>
    <s v="Детский мир"/>
    <n v="428"/>
    <d v="2022-03-03T00:00:00"/>
    <n v="406"/>
  </r>
  <r>
    <x v="1011"/>
    <s v="2022-08-20"/>
    <s v="Уход за волосами"/>
    <n v="2650"/>
    <d v="2022-08-20T00:00:00"/>
    <n v="236"/>
  </r>
  <r>
    <x v="1135"/>
    <s v="2020-04-25"/>
    <s v="Уход за волосами"/>
    <n v="696"/>
    <d v="2020-04-25T00:00:00"/>
    <n v="1083"/>
  </r>
  <r>
    <x v="1578"/>
    <s v="2021-01-26"/>
    <s v="Детский мир"/>
    <n v="369"/>
    <d v="2021-01-26T00:00:00"/>
    <n v="807"/>
  </r>
  <r>
    <x v="34"/>
    <s v="2016-09-19"/>
    <s v="Макияж"/>
    <n v="23671.1"/>
    <d v="2016-09-19T00:00:00"/>
    <n v="2397"/>
  </r>
  <r>
    <x v="1657"/>
    <s v="2021-08-10"/>
    <s v="Уход"/>
    <n v="2612"/>
    <d v="2021-08-10T00:00:00"/>
    <n v="611"/>
  </r>
  <r>
    <x v="1908"/>
    <s v="2021-09-18"/>
    <s v="Для дома"/>
    <n v="1650"/>
    <d v="2021-09-18T00:00:00"/>
    <n v="572"/>
  </r>
  <r>
    <x v="1909"/>
    <s v="2020-02-05"/>
    <s v="Уход"/>
    <n v="675"/>
    <d v="2020-02-05T00:00:00"/>
    <n v="1163"/>
  </r>
  <r>
    <x v="1910"/>
    <s v="2021-04-17"/>
    <s v="Уход"/>
    <n v="2135"/>
    <d v="2021-04-17T00:00:00"/>
    <n v="726"/>
  </r>
  <r>
    <x v="443"/>
    <s v="2021-07-11"/>
    <s v="Для дома"/>
    <n v="438"/>
    <d v="2021-07-11T00:00:00"/>
    <n v="641"/>
  </r>
  <r>
    <x v="1911"/>
    <s v="2022-12-26"/>
    <s v="Одежда и аксессуары"/>
    <n v="296"/>
    <d v="2022-12-26T00:00:00"/>
    <n v="108"/>
  </r>
  <r>
    <x v="961"/>
    <s v="2021-07-16"/>
    <s v="Для дома"/>
    <n v="202"/>
    <d v="2021-07-16T00:00:00"/>
    <n v="636"/>
  </r>
  <r>
    <x v="1912"/>
    <s v="2021-09-16"/>
    <s v="Уход"/>
    <n v="1311"/>
    <d v="2021-09-16T00:00:00"/>
    <n v="574"/>
  </r>
  <r>
    <x v="1913"/>
    <s v="2022-10-10"/>
    <s v="Уход за волосами"/>
    <n v="507"/>
    <d v="2022-10-10T00:00:00"/>
    <n v="185"/>
  </r>
  <r>
    <x v="1914"/>
    <s v="2021-08-01"/>
    <s v="Для дома"/>
    <n v="473"/>
    <d v="2021-08-01T00:00:00"/>
    <n v="620"/>
  </r>
  <r>
    <x v="1444"/>
    <s v="2023-02-07"/>
    <s v="Одежда и аксессуары"/>
    <n v="1538"/>
    <d v="2023-02-07T00:00:00"/>
    <n v="65"/>
  </r>
  <r>
    <x v="1915"/>
    <s v="2022-11-24"/>
    <s v="Одежда и аксессуары"/>
    <n v="300"/>
    <d v="2022-11-24T00:00:00"/>
    <n v="140"/>
  </r>
  <r>
    <x v="1123"/>
    <s v="2021-10-10"/>
    <s v="Уход за волосами"/>
    <n v="8454"/>
    <d v="2021-10-10T00:00:00"/>
    <n v="550"/>
  </r>
  <r>
    <x v="256"/>
    <s v="2020-06-18"/>
    <s v="Для дома"/>
    <n v="59"/>
    <d v="2020-06-18T00:00:00"/>
    <n v="1029"/>
  </r>
  <r>
    <x v="1916"/>
    <s v="2022-09-03"/>
    <s v="Уход"/>
    <n v="1297"/>
    <d v="2022-09-03T00:00:00"/>
    <n v="222"/>
  </r>
  <r>
    <x v="668"/>
    <s v="2021-08-08"/>
    <s v="Уход за волосами"/>
    <n v="7190"/>
    <d v="2021-08-08T00:00:00"/>
    <n v="613"/>
  </r>
  <r>
    <x v="34"/>
    <s v="2020-07-26"/>
    <s v="Макияж"/>
    <n v="13957"/>
    <d v="2020-07-26T00:00:00"/>
    <n v="991"/>
  </r>
  <r>
    <x v="1917"/>
    <s v="2022-03-30"/>
    <s v="Уход"/>
    <n v="1122"/>
    <d v="2022-03-30T00:00:00"/>
    <n v="379"/>
  </r>
  <r>
    <x v="1528"/>
    <s v="2022-06-30"/>
    <s v="Уход"/>
    <n v="889"/>
    <d v="2022-06-30T00:00:00"/>
    <n v="287"/>
  </r>
  <r>
    <x v="1918"/>
    <s v="2022-04-29"/>
    <s v="Уход"/>
    <n v="1660"/>
    <d v="2022-04-29T00:00:00"/>
    <n v="349"/>
  </r>
  <r>
    <x v="1919"/>
    <s v="2023-03-17"/>
    <s v="Для дома"/>
    <n v="519"/>
    <d v="2023-03-17T00:00:00"/>
    <n v="27"/>
  </r>
  <r>
    <x v="1920"/>
    <s v="2022-11-27"/>
    <s v="Уход за волосами"/>
    <n v="278"/>
    <d v="2022-11-27T00:00:00"/>
    <n v="137"/>
  </r>
  <r>
    <x v="250"/>
    <s v="2022-10-24"/>
    <s v="Макияж"/>
    <n v="690"/>
    <d v="2022-10-24T00:00:00"/>
    <n v="171"/>
  </r>
  <r>
    <x v="1503"/>
    <s v="2022-06-18"/>
    <s v="Для дома"/>
    <n v="2830"/>
    <d v="2022-06-18T00:00:00"/>
    <n v="299"/>
  </r>
  <r>
    <x v="1921"/>
    <s v="2022-04-19"/>
    <s v="Уход за волосами"/>
    <n v="538"/>
    <d v="2022-04-19T00:00:00"/>
    <n v="359"/>
  </r>
  <r>
    <x v="892"/>
    <s v="2022-12-20"/>
    <s v="Макияж"/>
    <n v="1000"/>
    <d v="2022-12-20T00:00:00"/>
    <n v="114"/>
  </r>
  <r>
    <x v="280"/>
    <s v="2022-06-08"/>
    <s v="Хоз.товары/бытовая химия"/>
    <n v="123"/>
    <d v="2022-06-08T00:00:00"/>
    <n v="309"/>
  </r>
  <r>
    <x v="1922"/>
    <s v="2022-11-25"/>
    <s v="Уход"/>
    <n v="445"/>
    <d v="2022-11-25T00:00:00"/>
    <n v="139"/>
  </r>
  <r>
    <x v="699"/>
    <s v="2020-10-02"/>
    <s v="Уход"/>
    <n v="15810"/>
    <d v="2020-10-02T00:00:00"/>
    <n v="923"/>
  </r>
  <r>
    <x v="1923"/>
    <s v="2022-12-24"/>
    <s v="Хоз.товары/бытовая химия"/>
    <n v="115"/>
    <d v="2022-12-24T00:00:00"/>
    <n v="110"/>
  </r>
  <r>
    <x v="1924"/>
    <s v="2020-07-23"/>
    <s v="Для дома"/>
    <n v="1174"/>
    <d v="2020-07-23T00:00:00"/>
    <n v="994"/>
  </r>
  <r>
    <x v="1925"/>
    <s v="2021-10-13"/>
    <s v="Уход"/>
    <n v="165"/>
    <d v="2021-10-13T00:00:00"/>
    <n v="547"/>
  </r>
  <r>
    <x v="138"/>
    <s v="2022-08-02"/>
    <s v="Уход"/>
    <n v="11955"/>
    <d v="2022-08-02T00:00:00"/>
    <n v="254"/>
  </r>
  <r>
    <x v="1926"/>
    <s v="2022-07-03"/>
    <s v="Уход за волосами"/>
    <n v="1934"/>
    <d v="2022-07-03T00:00:00"/>
    <n v="284"/>
  </r>
  <r>
    <x v="1209"/>
    <s v="2022-06-28"/>
    <s v="Уход за волосами"/>
    <n v="2960"/>
    <d v="2022-06-28T00:00:00"/>
    <n v="289"/>
  </r>
  <r>
    <x v="1927"/>
    <s v="2021-03-03"/>
    <s v="Уход"/>
    <n v="5275"/>
    <d v="2021-03-03T00:00:00"/>
    <n v="771"/>
  </r>
  <r>
    <x v="1928"/>
    <s v="2023-03-28"/>
    <s v="Уход за волосами"/>
    <n v="428"/>
    <d v="2023-03-28T00:00:00"/>
    <n v="16"/>
  </r>
  <r>
    <x v="464"/>
    <s v="2021-10-15"/>
    <s v="Для дома"/>
    <n v="663"/>
    <d v="2021-10-15T00:00:00"/>
    <n v="545"/>
  </r>
  <r>
    <x v="1929"/>
    <s v="2021-09-18"/>
    <s v="Уход"/>
    <n v="199"/>
    <d v="2021-09-18T00:00:00"/>
    <n v="572"/>
  </r>
  <r>
    <x v="1930"/>
    <s v="2020-05-25"/>
    <s v="Уход"/>
    <n v="3212"/>
    <d v="2020-05-25T00:00:00"/>
    <n v="1053"/>
  </r>
  <r>
    <x v="1931"/>
    <s v="2022-02-24"/>
    <s v="Уход за волосами"/>
    <n v="11090"/>
    <d v="2022-02-24T00:00:00"/>
    <n v="413"/>
  </r>
  <r>
    <x v="1932"/>
    <s v="2022-11-06"/>
    <s v="Уход за волосами"/>
    <n v="1189"/>
    <d v="2022-11-06T00:00:00"/>
    <n v="158"/>
  </r>
  <r>
    <x v="1933"/>
    <s v="2022-01-25"/>
    <s v="Для дома"/>
    <n v="422"/>
    <d v="2022-01-25T00:00:00"/>
    <n v="443"/>
  </r>
  <r>
    <x v="934"/>
    <s v="2023-01-31"/>
    <s v="Уход за волосами"/>
    <n v="950"/>
    <d v="2023-01-31T00:00:00"/>
    <n v="72"/>
  </r>
  <r>
    <x v="1934"/>
    <s v="2020-12-20"/>
    <s v="Уход"/>
    <n v="597"/>
    <d v="2020-12-20T00:00:00"/>
    <n v="844"/>
  </r>
  <r>
    <x v="1935"/>
    <s v="2020-04-01"/>
    <s v="Для дома"/>
    <n v="349"/>
    <d v="2020-04-01T00:00:00"/>
    <n v="1107"/>
  </r>
  <r>
    <x v="1936"/>
    <s v="2021-03-17"/>
    <s v="Уход за волосами"/>
    <n v="96"/>
    <d v="2021-03-17T00:00:00"/>
    <n v="757"/>
  </r>
  <r>
    <x v="1937"/>
    <s v="2021-10-31"/>
    <s v="Для дома"/>
    <n v="354"/>
    <d v="2021-10-31T00:00:00"/>
    <n v="529"/>
  </r>
  <r>
    <x v="635"/>
    <s v="2021-04-02"/>
    <s v="Уход"/>
    <n v="2822"/>
    <d v="2021-04-02T00:00:00"/>
    <n v="741"/>
  </r>
  <r>
    <x v="280"/>
    <s v="2020-04-27"/>
    <s v="Уход за волосами"/>
    <n v="882"/>
    <d v="2020-04-27T00:00:00"/>
    <n v="1081"/>
  </r>
  <r>
    <x v="480"/>
    <s v="2019-11-07"/>
    <s v="Одежда и аксессуары"/>
    <n v="109"/>
    <d v="2019-11-07T00:00:00"/>
    <n v="1253"/>
  </r>
  <r>
    <x v="1151"/>
    <s v="2022-11-11"/>
    <s v="Уход"/>
    <n v="390"/>
    <d v="2022-11-11T00:00:00"/>
    <n v="153"/>
  </r>
  <r>
    <x v="1938"/>
    <s v="2021-09-01"/>
    <s v="Уход"/>
    <n v="1365"/>
    <d v="2021-09-01T00:00:00"/>
    <n v="589"/>
  </r>
  <r>
    <x v="1939"/>
    <s v="2022-09-08"/>
    <s v="Уход за волосами"/>
    <n v="483"/>
    <d v="2022-09-08T00:00:00"/>
    <n v="217"/>
  </r>
  <r>
    <x v="1940"/>
    <s v="2020-06-20"/>
    <s v="Уход"/>
    <n v="59"/>
    <d v="2020-06-20T00:00:00"/>
    <n v="1027"/>
  </r>
  <r>
    <x v="1941"/>
    <s v="2022-09-22"/>
    <s v="Уход за волосами"/>
    <n v="1536"/>
    <d v="2022-09-22T00:00:00"/>
    <n v="203"/>
  </r>
  <r>
    <x v="1792"/>
    <s v="2020-07-19"/>
    <s v="Уход"/>
    <n v="1380"/>
    <d v="2020-07-19T00:00:00"/>
    <n v="998"/>
  </r>
  <r>
    <x v="1942"/>
    <s v="2022-07-06"/>
    <s v="Уход за волосами"/>
    <n v="3175"/>
    <d v="2022-07-06T00:00:00"/>
    <n v="281"/>
  </r>
  <r>
    <x v="1734"/>
    <s v="2023-01-28"/>
    <s v="Уход за волосами"/>
    <n v="630"/>
    <d v="2023-01-28T00:00:00"/>
    <n v="75"/>
  </r>
  <r>
    <x v="1943"/>
    <s v="2020-08-15"/>
    <s v="Уход"/>
    <n v="320"/>
    <d v="2020-08-15T00:00:00"/>
    <n v="971"/>
  </r>
  <r>
    <x v="1930"/>
    <s v="2019-11-19"/>
    <s v="Уход"/>
    <n v="2187"/>
    <d v="2019-11-19T00:00:00"/>
    <n v="1241"/>
  </r>
  <r>
    <x v="1944"/>
    <s v="2021-04-14"/>
    <s v="Одежда и аксессуары"/>
    <n v="0"/>
    <d v="2021-04-14T00:00:00"/>
    <n v="729"/>
  </r>
  <r>
    <x v="1127"/>
    <s v="2020-07-25"/>
    <s v="Уход за волосами"/>
    <n v="1680"/>
    <d v="2020-07-25T00:00:00"/>
    <n v="992"/>
  </r>
  <r>
    <x v="1945"/>
    <s v="2020-12-17"/>
    <s v="Уход за волосами"/>
    <n v="3238"/>
    <d v="2020-12-17T00:00:00"/>
    <n v="847"/>
  </r>
  <r>
    <x v="34"/>
    <s v="2018-05-12"/>
    <s v="Хоз.товары/бытовая химия"/>
    <n v="54151.3"/>
    <d v="2018-05-12T00:00:00"/>
    <n v="1797"/>
  </r>
  <r>
    <x v="151"/>
    <s v="2021-06-30"/>
    <s v="Уход за волосами"/>
    <n v="5020"/>
    <d v="2021-06-30T00:00:00"/>
    <n v="652"/>
  </r>
  <r>
    <x v="221"/>
    <s v="2021-05-04"/>
    <s v="Уход за волосами"/>
    <n v="419"/>
    <d v="2021-05-04T00:00:00"/>
    <n v="709"/>
  </r>
  <r>
    <x v="1946"/>
    <s v="2023-03-03"/>
    <s v="Уход"/>
    <n v="759"/>
    <d v="2023-03-03T00:00:00"/>
    <n v="41"/>
  </r>
  <r>
    <x v="1947"/>
    <s v="2020-12-14"/>
    <s v="Уход"/>
    <n v="2304"/>
    <d v="2020-12-14T00:00:00"/>
    <n v="850"/>
  </r>
  <r>
    <x v="1325"/>
    <s v="2021-11-13"/>
    <s v="Уход"/>
    <n v="2988"/>
    <d v="2021-11-13T00:00:00"/>
    <n v="516"/>
  </r>
  <r>
    <x v="364"/>
    <s v="2020-11-07"/>
    <s v="Уход"/>
    <n v="49"/>
    <d v="2020-11-07T00:00:00"/>
    <n v="887"/>
  </r>
  <r>
    <x v="1281"/>
    <s v="2021-07-03"/>
    <s v="Для дома"/>
    <n v="290"/>
    <d v="2021-07-03T00:00:00"/>
    <n v="649"/>
  </r>
  <r>
    <x v="1300"/>
    <s v="2021-08-21"/>
    <s v="Уход"/>
    <n v="3069"/>
    <d v="2021-08-21T00:00:00"/>
    <n v="600"/>
  </r>
  <r>
    <x v="316"/>
    <s v="2022-08-16"/>
    <s v="Уход"/>
    <n v="594"/>
    <d v="2022-08-16T00:00:00"/>
    <n v="240"/>
  </r>
  <r>
    <x v="1035"/>
    <s v="2023-04-03"/>
    <s v="Уход за волосами"/>
    <n v="165"/>
    <d v="2023-04-03T00:00:00"/>
    <n v="10"/>
  </r>
  <r>
    <x v="204"/>
    <s v="2019-05-11"/>
    <s v="Для дома"/>
    <n v="5379"/>
    <d v="2019-05-11T00:00:00"/>
    <n v="1433"/>
  </r>
  <r>
    <x v="1948"/>
    <s v="2022-02-11"/>
    <s v="Уход"/>
    <n v="298"/>
    <d v="2022-02-11T00:00:00"/>
    <n v="426"/>
  </r>
  <r>
    <x v="1949"/>
    <s v="2021-04-20"/>
    <s v="Уход за волосами"/>
    <n v="1167"/>
    <d v="2021-04-20T00:00:00"/>
    <n v="723"/>
  </r>
  <r>
    <x v="1950"/>
    <s v="2022-02-11"/>
    <s v="Уход"/>
    <n v="3056"/>
    <d v="2022-02-11T00:00:00"/>
    <n v="426"/>
  </r>
  <r>
    <x v="1522"/>
    <s v="2021-11-27"/>
    <s v="Для дома"/>
    <n v="25"/>
    <d v="2021-11-27T00:00:00"/>
    <n v="502"/>
  </r>
  <r>
    <x v="1535"/>
    <s v="2022-08-12"/>
    <s v="Уход за волосами"/>
    <n v="9604"/>
    <d v="2022-08-12T00:00:00"/>
    <n v="244"/>
  </r>
  <r>
    <x v="564"/>
    <s v="2020-02-09"/>
    <s v="Детский мир"/>
    <n v="1440"/>
    <d v="2020-02-09T00:00:00"/>
    <n v="1159"/>
  </r>
  <r>
    <x v="1951"/>
    <s v="2021-03-07"/>
    <s v="Уход"/>
    <n v="3627"/>
    <d v="2021-03-07T00:00:00"/>
    <n v="767"/>
  </r>
  <r>
    <x v="1952"/>
    <s v="2022-04-09"/>
    <s v="Уход"/>
    <n v="1014"/>
    <d v="2022-04-09T00:00:00"/>
    <n v="369"/>
  </r>
  <r>
    <x v="1953"/>
    <s v="2020-11-29"/>
    <s v="Уход"/>
    <n v="1929"/>
    <d v="2020-11-29T00:00:00"/>
    <n v="865"/>
  </r>
  <r>
    <x v="1386"/>
    <s v="2022-08-17"/>
    <s v="Уход за волосами"/>
    <n v="2749"/>
    <d v="2022-08-17T00:00:00"/>
    <n v="239"/>
  </r>
  <r>
    <x v="1332"/>
    <s v="2020-09-07"/>
    <s v="Уход"/>
    <n v="299"/>
    <d v="2020-09-07T00:00:00"/>
    <n v="948"/>
  </r>
  <r>
    <x v="1954"/>
    <s v="2022-12-05"/>
    <s v="Уход"/>
    <n v="297"/>
    <d v="2022-12-05T00:00:00"/>
    <n v="129"/>
  </r>
  <r>
    <x v="1955"/>
    <s v="2022-02-15"/>
    <s v="Уход"/>
    <n v="1469"/>
    <d v="2022-02-15T00:00:00"/>
    <n v="422"/>
  </r>
  <r>
    <x v="1956"/>
    <s v="2021-12-30"/>
    <s v="Уход за волосами"/>
    <n v="2658"/>
    <d v="2021-12-30T00:00:00"/>
    <n v="469"/>
  </r>
  <r>
    <x v="1957"/>
    <s v="2021-12-18"/>
    <s v="Уход за волосами"/>
    <n v="4375"/>
    <d v="2021-12-18T00:00:00"/>
    <n v="481"/>
  </r>
  <r>
    <x v="1958"/>
    <s v="2022-10-06"/>
    <s v="Уход за волосами"/>
    <n v="5776"/>
    <d v="2022-10-06T00:00:00"/>
    <n v="189"/>
  </r>
  <r>
    <x v="1959"/>
    <s v="2022-01-31"/>
    <s v="Уход за волосами"/>
    <n v="375"/>
    <d v="2022-01-31T00:00:00"/>
    <n v="437"/>
  </r>
  <r>
    <x v="158"/>
    <s v="2021-04-16"/>
    <s v="Одежда и аксессуары"/>
    <n v="147"/>
    <d v="2021-04-16T00:00:00"/>
    <n v="727"/>
  </r>
  <r>
    <x v="829"/>
    <s v="2020-12-28"/>
    <s v="Уход"/>
    <n v="387"/>
    <d v="2020-12-28T00:00:00"/>
    <n v="836"/>
  </r>
  <r>
    <x v="743"/>
    <s v="2020-07-15"/>
    <s v="Уход за волосами"/>
    <n v="603"/>
    <d v="2020-07-15T00:00:00"/>
    <n v="1002"/>
  </r>
  <r>
    <x v="1724"/>
    <s v="2023-02-27"/>
    <s v="Уход"/>
    <n v="1876"/>
    <d v="2023-02-27T00:00:00"/>
    <n v="45"/>
  </r>
  <r>
    <x v="1243"/>
    <s v="2022-12-28"/>
    <s v="Уход"/>
    <n v="2012"/>
    <d v="2022-12-28T00:00:00"/>
    <n v="106"/>
  </r>
  <r>
    <x v="1328"/>
    <s v="2020-12-25"/>
    <s v="Макияж"/>
    <n v="8073"/>
    <d v="2020-12-25T00:00:00"/>
    <n v="839"/>
  </r>
  <r>
    <x v="250"/>
    <s v="2021-04-06"/>
    <s v="Уход"/>
    <n v="279"/>
    <d v="2021-04-06T00:00:00"/>
    <n v="737"/>
  </r>
  <r>
    <x v="1960"/>
    <s v="2021-06-04"/>
    <s v="Для дома"/>
    <n v="75"/>
    <d v="2021-06-04T00:00:00"/>
    <n v="678"/>
  </r>
  <r>
    <x v="1961"/>
    <s v="2020-05-25"/>
    <s v="Уход"/>
    <n v="180"/>
    <d v="2020-05-25T00:00:00"/>
    <n v="1053"/>
  </r>
  <r>
    <x v="1962"/>
    <s v="2021-09-15"/>
    <s v="Уход за волосами"/>
    <n v="339"/>
    <d v="2021-09-15T00:00:00"/>
    <n v="575"/>
  </r>
  <r>
    <x v="1963"/>
    <s v="2023-03-08"/>
    <s v="Уход"/>
    <n v="19170"/>
    <d v="2023-03-08T00:00:00"/>
    <n v="36"/>
  </r>
  <r>
    <x v="1964"/>
    <s v="2022-09-04"/>
    <s v="Уход за волосами"/>
    <n v="99"/>
    <d v="2022-09-04T00:00:00"/>
    <n v="221"/>
  </r>
  <r>
    <x v="283"/>
    <s v="2020-09-30"/>
    <s v="Уход"/>
    <n v="2285"/>
    <d v="2020-09-30T00:00:00"/>
    <n v="925"/>
  </r>
  <r>
    <x v="289"/>
    <s v="2023-01-16"/>
    <s v="Для дома"/>
    <n v="615"/>
    <d v="2023-01-16T00:00:00"/>
    <n v="87"/>
  </r>
  <r>
    <x v="1965"/>
    <s v="2020-12-23"/>
    <s v="Уход за волосами"/>
    <n v="459"/>
    <d v="2020-12-23T00:00:00"/>
    <n v="841"/>
  </r>
  <r>
    <x v="1966"/>
    <s v="2023-03-01"/>
    <s v="Уход"/>
    <n v="277"/>
    <d v="2023-03-01T00:00:00"/>
    <n v="43"/>
  </r>
  <r>
    <x v="187"/>
    <s v="2020-12-11"/>
    <s v="Для дома"/>
    <n v="531"/>
    <d v="2020-12-11T00:00:00"/>
    <n v="853"/>
  </r>
  <r>
    <x v="691"/>
    <s v="2022-10-02"/>
    <s v="Уход за волосами"/>
    <n v="9720"/>
    <d v="2022-10-02T00:00:00"/>
    <n v="193"/>
  </r>
  <r>
    <x v="1967"/>
    <s v="2022-12-27"/>
    <s v="Уход"/>
    <n v="363"/>
    <d v="2022-12-27T00:00:00"/>
    <n v="107"/>
  </r>
  <r>
    <x v="1169"/>
    <s v="2019-10-17"/>
    <s v="Уход"/>
    <n v="883"/>
    <d v="2019-10-17T00:00:00"/>
    <n v="1274"/>
  </r>
  <r>
    <x v="1968"/>
    <s v="2020-01-03"/>
    <s v="Уход"/>
    <n v="301"/>
    <d v="2020-01-03T00:00:00"/>
    <n v="1196"/>
  </r>
  <r>
    <x v="1868"/>
    <s v="2021-12-27"/>
    <s v="Уход за волосами"/>
    <n v="8613"/>
    <d v="2021-12-27T00:00:00"/>
    <n v="472"/>
  </r>
  <r>
    <x v="1200"/>
    <s v="2020-09-21"/>
    <s v="Уход"/>
    <n v="1038"/>
    <d v="2020-09-21T00:00:00"/>
    <n v="934"/>
  </r>
  <r>
    <x v="1497"/>
    <s v="2022-12-23"/>
    <s v="Уход"/>
    <n v="1257"/>
    <d v="2022-12-23T00:00:00"/>
    <n v="111"/>
  </r>
  <r>
    <x v="194"/>
    <s v="2020-01-04"/>
    <s v="Уход за волосами"/>
    <n v="440"/>
    <d v="2020-01-04T00:00:00"/>
    <n v="1195"/>
  </r>
  <r>
    <x v="1083"/>
    <s v="2021-05-12"/>
    <s v="Уход"/>
    <n v="830"/>
    <d v="2021-05-12T00:00:00"/>
    <n v="701"/>
  </r>
  <r>
    <x v="1969"/>
    <s v="2021-12-06"/>
    <s v="Одежда и аксессуары"/>
    <n v="408"/>
    <d v="2021-12-06T00:00:00"/>
    <n v="493"/>
  </r>
  <r>
    <x v="1970"/>
    <s v="2022-07-14"/>
    <s v="Уход за волосами"/>
    <n v="2540"/>
    <d v="2022-07-14T00:00:00"/>
    <n v="273"/>
  </r>
  <r>
    <x v="1971"/>
    <s v="2022-06-26"/>
    <s v="Уход за волосами"/>
    <n v="8099"/>
    <d v="2022-06-26T00:00:00"/>
    <n v="291"/>
  </r>
  <r>
    <x v="1972"/>
    <s v="2021-12-30"/>
    <s v="Уход"/>
    <n v="160"/>
    <d v="2021-12-30T00:00:00"/>
    <n v="469"/>
  </r>
  <r>
    <x v="1973"/>
    <s v="2022-02-19"/>
    <s v="Уход"/>
    <n v="299"/>
    <d v="2022-02-19T00:00:00"/>
    <n v="418"/>
  </r>
  <r>
    <x v="1974"/>
    <s v="2021-09-12"/>
    <s v="Макияж"/>
    <n v="1677"/>
    <d v="2021-09-12T00:00:00"/>
    <n v="578"/>
  </r>
  <r>
    <x v="1975"/>
    <s v="2021-02-13"/>
    <s v="Уход за волосами"/>
    <n v="2905"/>
    <d v="2021-02-13T00:00:00"/>
    <n v="789"/>
  </r>
  <r>
    <x v="1976"/>
    <s v="2023-01-14"/>
    <s v="Уход"/>
    <n v="3870"/>
    <d v="2023-01-14T00:00:00"/>
    <n v="89"/>
  </r>
  <r>
    <x v="1977"/>
    <s v="2023-03-28"/>
    <s v="Уход за волосами"/>
    <n v="1610"/>
    <d v="2023-03-28T00:00:00"/>
    <n v="16"/>
  </r>
  <r>
    <x v="1850"/>
    <s v="2022-12-15"/>
    <s v="Уход за волосами"/>
    <n v="955"/>
    <d v="2022-12-15T00:00:00"/>
    <n v="119"/>
  </r>
  <r>
    <x v="1978"/>
    <s v="2021-12-19"/>
    <s v="Уход за волосами"/>
    <n v="6125"/>
    <d v="2021-12-19T00:00:00"/>
    <n v="480"/>
  </r>
  <r>
    <x v="612"/>
    <s v="2021-01-18"/>
    <s v="Уход"/>
    <n v="3330"/>
    <d v="2021-01-18T00:00:00"/>
    <n v="815"/>
  </r>
  <r>
    <x v="1979"/>
    <s v="2022-05-17"/>
    <s v="Уход за волосами"/>
    <n v="378"/>
    <d v="2022-05-17T00:00:00"/>
    <n v="331"/>
  </r>
  <r>
    <x v="1817"/>
    <s v="2020-09-27"/>
    <s v="Уход"/>
    <n v="1614"/>
    <d v="2020-09-27T00:00:00"/>
    <n v="928"/>
  </r>
  <r>
    <x v="1201"/>
    <s v="2020-05-21"/>
    <s v="Детский мир"/>
    <n v="284"/>
    <d v="2020-05-21T00:00:00"/>
    <n v="1057"/>
  </r>
  <r>
    <x v="1980"/>
    <s v="2021-04-17"/>
    <s v="Уход"/>
    <n v="276"/>
    <d v="2021-04-17T00:00:00"/>
    <n v="726"/>
  </r>
  <r>
    <x v="1981"/>
    <s v="2021-02-07"/>
    <s v="Уход"/>
    <n v="1994"/>
    <d v="2021-02-07T00:00:00"/>
    <n v="795"/>
  </r>
  <r>
    <x v="1017"/>
    <s v="2021-08-18"/>
    <s v="Уход за волосами"/>
    <n v="680"/>
    <d v="2021-08-18T00:00:00"/>
    <n v="603"/>
  </r>
  <r>
    <x v="1982"/>
    <s v="2022-01-11"/>
    <s v="Уход"/>
    <n v="525"/>
    <d v="2022-01-11T00:00:00"/>
    <n v="457"/>
  </r>
  <r>
    <x v="1983"/>
    <s v="2021-01-07"/>
    <s v="Уход"/>
    <n v="1585"/>
    <d v="2021-01-07T00:00:00"/>
    <n v="826"/>
  </r>
  <r>
    <x v="1984"/>
    <s v="2020-03-07"/>
    <s v="Уход за волосами"/>
    <n v="285"/>
    <d v="2020-03-07T00:00:00"/>
    <n v="1132"/>
  </r>
  <r>
    <x v="34"/>
    <s v="2016-06-28"/>
    <s v="Детский мир"/>
    <n v="121845.5"/>
    <d v="2016-06-28T00:00:00"/>
    <n v="2480"/>
  </r>
  <r>
    <x v="1293"/>
    <s v="2021-03-27"/>
    <s v="Для дома"/>
    <n v="516"/>
    <d v="2021-03-27T00:00:00"/>
    <n v="747"/>
  </r>
  <r>
    <x v="1985"/>
    <s v="2020-03-25"/>
    <s v="Для дома"/>
    <n v="612"/>
    <d v="2020-03-25T00:00:00"/>
    <n v="1114"/>
  </r>
  <r>
    <x v="1986"/>
    <s v="2021-05-03"/>
    <s v="Уход за волосами"/>
    <n v="1900"/>
    <d v="2021-05-03T00:00:00"/>
    <n v="710"/>
  </r>
  <r>
    <x v="1841"/>
    <s v="2023-03-26"/>
    <s v="Уход за волосами"/>
    <n v="992"/>
    <d v="2023-03-26T00:00:00"/>
    <n v="18"/>
  </r>
  <r>
    <x v="199"/>
    <s v="2022-12-15"/>
    <s v="Уход за волосами"/>
    <n v="6727"/>
    <d v="2022-12-15T00:00:00"/>
    <n v="119"/>
  </r>
  <r>
    <x v="1522"/>
    <s v="2022-12-30"/>
    <s v="Макияж"/>
    <n v="858"/>
    <d v="2022-12-30T00:00:00"/>
    <n v="104"/>
  </r>
  <r>
    <x v="305"/>
    <s v="2022-11-16"/>
    <s v="Уход за волосами"/>
    <n v="1064"/>
    <d v="2022-11-16T00:00:00"/>
    <n v="148"/>
  </r>
  <r>
    <x v="1087"/>
    <s v="2022-11-26"/>
    <s v="Уход за волосами"/>
    <n v="1497"/>
    <d v="2022-11-26T00:00:00"/>
    <n v="138"/>
  </r>
  <r>
    <x v="1506"/>
    <s v="2022-09-06"/>
    <s v="Для дома"/>
    <n v="290"/>
    <d v="2022-09-06T00:00:00"/>
    <n v="219"/>
  </r>
  <r>
    <x v="1987"/>
    <s v="2022-06-18"/>
    <s v="Для дома"/>
    <n v="2260"/>
    <d v="2022-06-18T00:00:00"/>
    <n v="299"/>
  </r>
  <r>
    <x v="1988"/>
    <s v="2019-12-08"/>
    <s v="Уход за волосами"/>
    <n v="204"/>
    <d v="2019-12-08T00:00:00"/>
    <n v="1222"/>
  </r>
  <r>
    <x v="1989"/>
    <s v="2022-03-19"/>
    <s v="Уход"/>
    <n v="473"/>
    <d v="2022-03-19T00:00:00"/>
    <n v="390"/>
  </r>
  <r>
    <x v="562"/>
    <s v="2021-10-11"/>
    <s v="Уход за волосами"/>
    <n v="1776"/>
    <d v="2021-10-11T00:00:00"/>
    <n v="549"/>
  </r>
  <r>
    <x v="1990"/>
    <s v="2022-12-30"/>
    <s v="Уход за волосами"/>
    <n v="4091"/>
    <d v="2022-12-30T00:00:00"/>
    <n v="104"/>
  </r>
  <r>
    <x v="639"/>
    <s v="2022-08-03"/>
    <s v="Уход за волосами"/>
    <n v="6483"/>
    <d v="2022-08-03T00:00:00"/>
    <n v="253"/>
  </r>
  <r>
    <x v="859"/>
    <s v="2022-03-20"/>
    <s v="Уход"/>
    <n v="98"/>
    <d v="2022-03-20T00:00:00"/>
    <n v="389"/>
  </r>
  <r>
    <x v="486"/>
    <s v="2021-10-29"/>
    <s v="Уход за волосами"/>
    <n v="6930"/>
    <d v="2021-10-29T00:00:00"/>
    <n v="531"/>
  </r>
  <r>
    <x v="952"/>
    <s v="2022-04-11"/>
    <s v="Уход за волосами"/>
    <n v="6900"/>
    <d v="2022-04-11T00:00:00"/>
    <n v="367"/>
  </r>
  <r>
    <x v="1991"/>
    <s v="2021-04-09"/>
    <s v="Уход за волосами"/>
    <n v="910"/>
    <d v="2021-04-09T00:00:00"/>
    <n v="734"/>
  </r>
  <r>
    <x v="1311"/>
    <s v="2021-07-28"/>
    <s v="Уход за волосами"/>
    <n v="470"/>
    <d v="2021-07-28T00:00:00"/>
    <n v="624"/>
  </r>
  <r>
    <x v="1313"/>
    <s v="2022-08-22"/>
    <s v="Уход за волосами"/>
    <n v="7365"/>
    <d v="2022-08-22T00:00:00"/>
    <n v="234"/>
  </r>
  <r>
    <x v="1992"/>
    <s v="2021-08-04"/>
    <s v="Уход за волосами"/>
    <n v="1689"/>
    <d v="2021-08-04T00:00:00"/>
    <n v="617"/>
  </r>
  <r>
    <x v="1993"/>
    <s v="2021-07-17"/>
    <s v="Уход"/>
    <n v="3.99"/>
    <d v="2021-07-17T00:00:00"/>
    <n v="635"/>
  </r>
  <r>
    <x v="1990"/>
    <s v="2020-08-01"/>
    <s v="Уход"/>
    <n v="431"/>
    <d v="2020-08-01T00:00:00"/>
    <n v="985"/>
  </r>
  <r>
    <x v="1962"/>
    <s v="2021-11-26"/>
    <s v="Уход за волосами"/>
    <n v="2530"/>
    <d v="2021-11-26T00:00:00"/>
    <n v="503"/>
  </r>
  <r>
    <x v="1994"/>
    <s v="2020-08-16"/>
    <s v="Хоз.товары/бытовая химия"/>
    <n v="64"/>
    <d v="2020-08-16T00:00:00"/>
    <n v="970"/>
  </r>
  <r>
    <x v="1995"/>
    <s v="2021-10-21"/>
    <s v="Уход"/>
    <n v="2322"/>
    <d v="2021-10-21T00:00:00"/>
    <n v="539"/>
  </r>
  <r>
    <x v="1247"/>
    <s v="2023-02-03"/>
    <s v="Уход"/>
    <n v="1257"/>
    <d v="2023-02-03T00:00:00"/>
    <n v="69"/>
  </r>
  <r>
    <x v="34"/>
    <s v="2016-06-17"/>
    <s v="Для дома"/>
    <n v="497856.7"/>
    <d v="2016-06-17T00:00:00"/>
    <n v="2491"/>
  </r>
  <r>
    <x v="1996"/>
    <s v="2022-02-01"/>
    <s v="Уход за волосами"/>
    <n v="890"/>
    <d v="2022-02-01T00:00:00"/>
    <n v="436"/>
  </r>
  <r>
    <x v="506"/>
    <s v="2021-09-01"/>
    <s v="Уход за волосами"/>
    <n v="1716"/>
    <d v="2021-09-01T00:00:00"/>
    <n v="589"/>
  </r>
  <r>
    <x v="1997"/>
    <s v="2020-05-07"/>
    <s v="Уход"/>
    <n v="11070"/>
    <d v="2020-05-07T00:00:00"/>
    <n v="1071"/>
  </r>
  <r>
    <x v="1998"/>
    <s v="2021-11-02"/>
    <s v="Уход за волосами"/>
    <n v="18228"/>
    <d v="2021-11-02T00:00:00"/>
    <n v="527"/>
  </r>
  <r>
    <x v="1999"/>
    <s v="2022-07-27"/>
    <s v="Уход"/>
    <n v="338"/>
    <d v="2022-07-27T00:00:00"/>
    <n v="260"/>
  </r>
  <r>
    <x v="1358"/>
    <s v="2021-01-16"/>
    <s v="Хоз.товары/бытовая химия"/>
    <n v="59"/>
    <d v="2021-01-16T00:00:00"/>
    <n v="817"/>
  </r>
  <r>
    <x v="2000"/>
    <s v="2022-07-04"/>
    <s v="Уход"/>
    <n v="199"/>
    <d v="2022-07-04T00:00:00"/>
    <n v="283"/>
  </r>
  <r>
    <x v="2001"/>
    <s v="2022-03-04"/>
    <s v="Хоз.товары/бытовая химия"/>
    <n v="58"/>
    <d v="2022-03-04T00:00:00"/>
    <n v="405"/>
  </r>
  <r>
    <x v="228"/>
    <s v="2023-03-28"/>
    <s v="Уход"/>
    <n v="598"/>
    <d v="2023-03-28T00:00:00"/>
    <n v="16"/>
  </r>
  <r>
    <x v="919"/>
    <s v="2022-11-04"/>
    <s v="Уход"/>
    <n v="390"/>
    <d v="2022-11-04T00:00:00"/>
    <n v="160"/>
  </r>
  <r>
    <x v="1606"/>
    <s v="2022-03-18"/>
    <s v="Уход за волосами"/>
    <n v="1563"/>
    <d v="2022-03-18T00:00:00"/>
    <n v="391"/>
  </r>
  <r>
    <x v="547"/>
    <s v="2021-11-05"/>
    <s v="Для дома"/>
    <n v="281"/>
    <d v="2021-11-05T00:00:00"/>
    <n v="524"/>
  </r>
  <r>
    <x v="2002"/>
    <s v="2020-06-23"/>
    <s v="Для дома"/>
    <n v="6300"/>
    <d v="2020-06-23T00:00:00"/>
    <n v="1024"/>
  </r>
  <r>
    <x v="843"/>
    <s v="2019-11-27"/>
    <s v="Уход за волосами"/>
    <n v="285"/>
    <d v="2019-11-27T00:00:00"/>
    <n v="1233"/>
  </r>
  <r>
    <x v="2003"/>
    <s v="2023-01-17"/>
    <s v="Для дома"/>
    <n v="227"/>
    <d v="2023-01-17T00:00:00"/>
    <n v="86"/>
  </r>
  <r>
    <x v="2004"/>
    <s v="2022-07-26"/>
    <s v="Макияж"/>
    <n v="990"/>
    <d v="2022-07-26T00:00:00"/>
    <n v="261"/>
  </r>
  <r>
    <x v="1117"/>
    <s v="2022-10-25"/>
    <s v="Уход за волосами"/>
    <n v="833"/>
    <d v="2022-10-25T00:00:00"/>
    <n v="170"/>
  </r>
  <r>
    <x v="2005"/>
    <s v="2021-12-19"/>
    <s v="Уход"/>
    <n v="3613"/>
    <d v="2021-12-19T00:00:00"/>
    <n v="480"/>
  </r>
  <r>
    <x v="2006"/>
    <s v="2019-11-02"/>
    <s v="Уход"/>
    <n v="613"/>
    <d v="2019-11-02T00:00:00"/>
    <n v="1258"/>
  </r>
  <r>
    <x v="2007"/>
    <s v="2023-04-04"/>
    <s v="Хоз.товары/бытовая химия"/>
    <n v="2520"/>
    <d v="2023-04-04T00:00:00"/>
    <n v="9"/>
  </r>
  <r>
    <x v="2008"/>
    <s v="2022-07-24"/>
    <s v="Уход"/>
    <n v="570"/>
    <d v="2022-07-24T00:00:00"/>
    <n v="263"/>
  </r>
  <r>
    <x v="512"/>
    <s v="2021-09-05"/>
    <s v="Уход"/>
    <n v="12390"/>
    <d v="2021-09-05T00:00:00"/>
    <n v="585"/>
  </r>
  <r>
    <x v="2009"/>
    <s v="2021-01-31"/>
    <s v="Одежда и аксессуары"/>
    <n v="389"/>
    <d v="2021-01-31T00:00:00"/>
    <n v="802"/>
  </r>
  <r>
    <x v="2010"/>
    <s v="2022-02-14"/>
    <s v="Уход за волосами"/>
    <n v="11060"/>
    <d v="2022-02-14T00:00:00"/>
    <n v="423"/>
  </r>
  <r>
    <x v="1643"/>
    <s v="2022-01-18"/>
    <s v="Уход за волосами"/>
    <n v="338"/>
    <d v="2022-01-18T00:00:00"/>
    <n v="450"/>
  </r>
  <r>
    <x v="573"/>
    <s v="2021-04-17"/>
    <s v="Уход"/>
    <n v="1314"/>
    <d v="2021-04-17T00:00:00"/>
    <n v="726"/>
  </r>
  <r>
    <x v="2011"/>
    <s v="2022-11-02"/>
    <s v="Уход"/>
    <n v="2990"/>
    <d v="2022-11-02T00:00:00"/>
    <n v="162"/>
  </r>
  <r>
    <x v="138"/>
    <s v="2022-04-25"/>
    <s v="Уход за волосами"/>
    <n v="1226"/>
    <d v="2022-04-25T00:00:00"/>
    <n v="353"/>
  </r>
  <r>
    <x v="1727"/>
    <s v="2022-06-17"/>
    <s v="Детский мир"/>
    <n v="626"/>
    <d v="2022-06-17T00:00:00"/>
    <n v="300"/>
  </r>
  <r>
    <x v="479"/>
    <s v="2022-09-15"/>
    <s v="Уход за волосами"/>
    <n v="13090"/>
    <d v="2022-09-15T00:00:00"/>
    <n v="210"/>
  </r>
  <r>
    <x v="2012"/>
    <s v="2023-04-10"/>
    <s v="Уход"/>
    <n v="190"/>
    <d v="2023-04-10T00:00:00"/>
    <n v="3"/>
  </r>
  <r>
    <x v="2013"/>
    <s v="2020-01-27"/>
    <s v="Одежда и аксессуары"/>
    <n v="660"/>
    <d v="2020-01-27T00:00:00"/>
    <n v="1172"/>
  </r>
  <r>
    <x v="2014"/>
    <s v="2020-01-25"/>
    <s v="Для дома"/>
    <n v="39"/>
    <d v="2020-01-25T00:00:00"/>
    <n v="1174"/>
  </r>
  <r>
    <x v="2015"/>
    <s v="2021-08-28"/>
    <s v="Уход"/>
    <n v="9542"/>
    <d v="2021-08-28T00:00:00"/>
    <n v="593"/>
  </r>
  <r>
    <x v="450"/>
    <s v="2022-02-23"/>
    <s v="Уход за волосами"/>
    <n v="1485"/>
    <d v="2022-02-23T00:00:00"/>
    <n v="414"/>
  </r>
  <r>
    <x v="875"/>
    <s v="2022-07-12"/>
    <s v="Уход"/>
    <n v="1489"/>
    <d v="2022-07-12T00:00:00"/>
    <n v="275"/>
  </r>
  <r>
    <x v="12"/>
    <s v="2023-03-05"/>
    <s v="Детский мир"/>
    <n v="115"/>
    <d v="2023-03-05T00:00:00"/>
    <n v="39"/>
  </r>
  <r>
    <x v="2016"/>
    <s v="2019-09-10"/>
    <s v="Уход"/>
    <n v="4046"/>
    <d v="2019-09-10T00:00:00"/>
    <n v="1311"/>
  </r>
  <r>
    <x v="1011"/>
    <s v="2020-06-17"/>
    <s v="Для дома"/>
    <n v="145"/>
    <d v="2020-06-17T00:00:00"/>
    <n v="1030"/>
  </r>
  <r>
    <x v="2017"/>
    <s v="2023-03-28"/>
    <s v="Уход за волосами"/>
    <n v="2697"/>
    <d v="2023-03-28T00:00:00"/>
    <n v="16"/>
  </r>
  <r>
    <x v="2018"/>
    <s v="2022-08-04"/>
    <s v="Уход за волосами"/>
    <n v="10020"/>
    <d v="2022-08-04T00:00:00"/>
    <n v="252"/>
  </r>
  <r>
    <x v="1479"/>
    <s v="2022-11-16"/>
    <s v="Уход за волосами"/>
    <n v="419"/>
    <d v="2022-11-16T00:00:00"/>
    <n v="148"/>
  </r>
  <r>
    <x v="816"/>
    <s v="2020-03-25"/>
    <s v="Уход за волосами"/>
    <n v="179"/>
    <d v="2020-03-25T00:00:00"/>
    <n v="1114"/>
  </r>
  <r>
    <x v="989"/>
    <s v="2021-04-28"/>
    <s v="Уход"/>
    <n v="13845"/>
    <d v="2021-04-28T00:00:00"/>
    <n v="715"/>
  </r>
  <r>
    <x v="1317"/>
    <s v="2020-01-20"/>
    <s v="Уход"/>
    <n v="482"/>
    <d v="2020-01-20T00:00:00"/>
    <n v="1179"/>
  </r>
  <r>
    <x v="2019"/>
    <s v="2021-06-02"/>
    <s v="Хоз.товары/бытовая химия"/>
    <n v="105"/>
    <d v="2021-06-02T00:00:00"/>
    <n v="680"/>
  </r>
  <r>
    <x v="1007"/>
    <s v="2021-06-18"/>
    <s v="Уход"/>
    <n v="439"/>
    <d v="2021-06-18T00:00:00"/>
    <n v="664"/>
  </r>
  <r>
    <x v="2020"/>
    <s v="2021-10-23"/>
    <s v="Для дома"/>
    <n v="597"/>
    <d v="2021-10-23T00:00:00"/>
    <n v="537"/>
  </r>
  <r>
    <x v="433"/>
    <s v="2021-03-17"/>
    <s v="Уход за волосами"/>
    <n v="930"/>
    <d v="2021-03-17T00:00:00"/>
    <n v="757"/>
  </r>
  <r>
    <x v="2021"/>
    <s v="2022-11-10"/>
    <s v="Уход за волосами"/>
    <n v="390"/>
    <d v="2022-11-10T00:00:00"/>
    <n v="154"/>
  </r>
  <r>
    <x v="36"/>
    <s v="2020-06-18"/>
    <s v="Детский мир"/>
    <n v="373"/>
    <d v="2020-06-18T00:00:00"/>
    <n v="1029"/>
  </r>
  <r>
    <x v="2022"/>
    <s v="2021-06-27"/>
    <s v="Уход за волосами"/>
    <n v="965"/>
    <d v="2021-06-27T00:00:00"/>
    <n v="655"/>
  </r>
  <r>
    <x v="2023"/>
    <s v="2021-03-29"/>
    <s v="Для дома"/>
    <n v="1698"/>
    <d v="2021-03-29T00:00:00"/>
    <n v="745"/>
  </r>
  <r>
    <x v="1047"/>
    <s v="2022-12-15"/>
    <s v="Уход за волосами"/>
    <n v="476"/>
    <d v="2022-12-15T00:00:00"/>
    <n v="119"/>
  </r>
  <r>
    <x v="184"/>
    <s v="2021-02-17"/>
    <s v="Уход"/>
    <n v="135"/>
    <d v="2021-02-17T00:00:00"/>
    <n v="785"/>
  </r>
  <r>
    <x v="2024"/>
    <s v="2021-10-27"/>
    <s v="Уход"/>
    <n v="1625"/>
    <d v="2021-10-27T00:00:00"/>
    <n v="533"/>
  </r>
  <r>
    <x v="821"/>
    <s v="2023-01-29"/>
    <s v="Уход"/>
    <n v="378"/>
    <d v="2023-01-29T00:00:00"/>
    <n v="74"/>
  </r>
  <r>
    <x v="2025"/>
    <s v="2022-10-21"/>
    <s v="Уход за волосами"/>
    <n v="989"/>
    <d v="2022-10-21T00:00:00"/>
    <n v="174"/>
  </r>
  <r>
    <x v="684"/>
    <s v="2021-07-24"/>
    <s v="Уход за волосами"/>
    <n v="2717"/>
    <d v="2021-07-24T00:00:00"/>
    <n v="628"/>
  </r>
  <r>
    <x v="2020"/>
    <s v="2023-03-04"/>
    <s v="Макияж"/>
    <n v="2970"/>
    <d v="2023-03-04T00:00:00"/>
    <n v="40"/>
  </r>
  <r>
    <x v="2026"/>
    <s v="2021-10-01"/>
    <s v="Уход за волосами"/>
    <n v="162"/>
    <d v="2021-10-01T00:00:00"/>
    <n v="559"/>
  </r>
  <r>
    <x v="2027"/>
    <s v="2021-05-08"/>
    <s v="Макияж"/>
    <n v="582"/>
    <d v="2021-05-08T00:00:00"/>
    <n v="705"/>
  </r>
  <r>
    <x v="2028"/>
    <s v="2021-12-23"/>
    <s v="Уход за волосами"/>
    <n v="2789"/>
    <d v="2021-12-23T00:00:00"/>
    <n v="476"/>
  </r>
  <r>
    <x v="825"/>
    <s v="2020-07-07"/>
    <s v="Уход"/>
    <n v="266"/>
    <d v="2020-07-07T00:00:00"/>
    <n v="1010"/>
  </r>
  <r>
    <x v="420"/>
    <s v="2020-01-08"/>
    <s v="Уход"/>
    <n v="890"/>
    <d v="2020-01-08T00:00:00"/>
    <n v="1191"/>
  </r>
  <r>
    <x v="2029"/>
    <s v="2020-07-21"/>
    <s v="Уход за волосами"/>
    <n v="7791"/>
    <d v="2020-07-21T00:00:00"/>
    <n v="996"/>
  </r>
  <r>
    <x v="2013"/>
    <s v="2019-10-09"/>
    <s v="Для дома"/>
    <n v="576"/>
    <d v="2019-10-09T00:00:00"/>
    <n v="1282"/>
  </r>
  <r>
    <x v="2030"/>
    <s v="2022-09-01"/>
    <s v="Уход за волосами"/>
    <n v="2752"/>
    <d v="2022-09-01T00:00:00"/>
    <n v="224"/>
  </r>
  <r>
    <x v="2031"/>
    <s v="2021-08-15"/>
    <s v="Детский мир"/>
    <n v="480"/>
    <d v="2021-08-15T00:00:00"/>
    <n v="606"/>
  </r>
  <r>
    <x v="59"/>
    <s v="2021-05-29"/>
    <s v="Хоз.товары/бытовая химия"/>
    <n v="249"/>
    <d v="2021-05-29T00:00:00"/>
    <n v="684"/>
  </r>
  <r>
    <x v="1392"/>
    <s v="2020-03-15"/>
    <s v="Хоз.товары/бытовая химия"/>
    <n v="73"/>
    <d v="2020-03-15T00:00:00"/>
    <n v="1124"/>
  </r>
  <r>
    <x v="1553"/>
    <s v="2021-08-23"/>
    <s v="Уход за волосами"/>
    <n v="210"/>
    <d v="2021-08-23T00:00:00"/>
    <n v="598"/>
  </r>
  <r>
    <x v="135"/>
    <s v="2021-05-21"/>
    <s v="Уход за волосами"/>
    <n v="477"/>
    <d v="2021-05-21T00:00:00"/>
    <n v="692"/>
  </r>
  <r>
    <x v="1730"/>
    <s v="2019-12-05"/>
    <s v="Хоз.товары/бытовая химия"/>
    <n v="46"/>
    <d v="2019-12-05T00:00:00"/>
    <n v="1225"/>
  </r>
  <r>
    <x v="1046"/>
    <s v="2020-09-21"/>
    <s v="Уход за волосами"/>
    <n v="411"/>
    <d v="2020-09-21T00:00:00"/>
    <n v="934"/>
  </r>
  <r>
    <x v="389"/>
    <s v="2020-03-25"/>
    <s v="Уход за волосами"/>
    <n v="812"/>
    <d v="2020-03-25T00:00:00"/>
    <n v="1114"/>
  </r>
  <r>
    <x v="2032"/>
    <s v="2020-03-21"/>
    <s v="Уход"/>
    <n v="209"/>
    <d v="2020-03-21T00:00:00"/>
    <n v="1118"/>
  </r>
  <r>
    <x v="1650"/>
    <s v="2021-02-20"/>
    <s v="Уход"/>
    <n v="390"/>
    <d v="2021-02-20T00:00:00"/>
    <n v="782"/>
  </r>
  <r>
    <x v="2033"/>
    <s v="2021-04-21"/>
    <s v="Уход"/>
    <n v="3081"/>
    <d v="2021-04-21T00:00:00"/>
    <n v="722"/>
  </r>
  <r>
    <x v="2034"/>
    <s v="2022-09-09"/>
    <s v="Уход за волосами"/>
    <n v="1070"/>
    <d v="2022-09-09T00:00:00"/>
    <n v="216"/>
  </r>
  <r>
    <x v="2035"/>
    <s v="2022-08-19"/>
    <s v="Уход за волосами"/>
    <n v="579"/>
    <d v="2022-08-19T00:00:00"/>
    <n v="237"/>
  </r>
  <r>
    <x v="2036"/>
    <s v="2020-11-29"/>
    <s v="Уход"/>
    <n v="16020"/>
    <d v="2020-11-29T00:00:00"/>
    <n v="865"/>
  </r>
  <r>
    <x v="1126"/>
    <s v="2021-03-15"/>
    <s v="Одежда и аксессуары"/>
    <n v="186"/>
    <d v="2021-03-15T00:00:00"/>
    <n v="759"/>
  </r>
  <r>
    <x v="2037"/>
    <s v="2022-06-15"/>
    <s v="Уход за волосами"/>
    <n v="3540"/>
    <d v="2022-06-15T00:00:00"/>
    <n v="302"/>
  </r>
  <r>
    <x v="1238"/>
    <s v="2019-10-03"/>
    <s v="Уход"/>
    <n v="1890"/>
    <d v="2019-10-03T00:00:00"/>
    <n v="1288"/>
  </r>
  <r>
    <x v="2038"/>
    <s v="2019-11-05"/>
    <s v="Одежда и аксессуары"/>
    <n v="138"/>
    <d v="2019-11-05T00:00:00"/>
    <n v="1255"/>
  </r>
  <r>
    <x v="560"/>
    <s v="2020-07-10"/>
    <s v="Детский мир"/>
    <n v="45"/>
    <d v="2020-07-10T00:00:00"/>
    <n v="1007"/>
  </r>
  <r>
    <x v="34"/>
    <s v="2023-03-15"/>
    <s v="Уход"/>
    <n v="1733684.74"/>
    <d v="2023-03-15T00:00:00"/>
    <n v="29"/>
  </r>
  <r>
    <x v="2039"/>
    <s v="2022-04-02"/>
    <s v="Уход"/>
    <n v="372"/>
    <d v="2022-04-02T00:00:00"/>
    <n v="376"/>
  </r>
  <r>
    <x v="754"/>
    <s v="2020-10-15"/>
    <s v="Уход"/>
    <n v="105"/>
    <d v="2020-10-15T00:00:00"/>
    <n v="910"/>
  </r>
  <r>
    <x v="1013"/>
    <s v="2021-09-15"/>
    <s v="Хоз.товары/бытовая химия"/>
    <n v="88"/>
    <d v="2021-09-15T00:00:00"/>
    <n v="575"/>
  </r>
  <r>
    <x v="2040"/>
    <s v="2022-02-24"/>
    <s v="Уход за волосами"/>
    <n v="440"/>
    <d v="2022-02-24T00:00:00"/>
    <n v="413"/>
  </r>
  <r>
    <x v="2041"/>
    <s v="2022-02-26"/>
    <s v="Уход"/>
    <n v="1336"/>
    <d v="2022-02-26T00:00:00"/>
    <n v="411"/>
  </r>
  <r>
    <x v="2042"/>
    <s v="2021-08-13"/>
    <s v="Уход"/>
    <n v="597"/>
    <d v="2021-08-13T00:00:00"/>
    <n v="608"/>
  </r>
  <r>
    <x v="2043"/>
    <s v="2019-12-30"/>
    <s v="Одежда и аксессуары"/>
    <n v="229"/>
    <d v="2019-12-30T00:00:00"/>
    <n v="1200"/>
  </r>
  <r>
    <x v="1919"/>
    <s v="2020-10-26"/>
    <s v="Уход за волосами"/>
    <n v="1650"/>
    <d v="2020-10-26T00:00:00"/>
    <n v="899"/>
  </r>
  <r>
    <x v="2044"/>
    <s v="2020-12-07"/>
    <s v="Уход за волосами"/>
    <n v="400"/>
    <d v="2020-12-07T00:00:00"/>
    <n v="857"/>
  </r>
  <r>
    <x v="34"/>
    <s v="2018-10-24"/>
    <s v="Для дома"/>
    <n v="299970.40000000002"/>
    <d v="2018-10-24T00:00:00"/>
    <n v="1632"/>
  </r>
  <r>
    <x v="1656"/>
    <s v="2020-03-08"/>
    <s v="Уход за волосами"/>
    <n v="397"/>
    <d v="2020-03-08T00:00:00"/>
    <n v="1131"/>
  </r>
  <r>
    <x v="2045"/>
    <s v="2022-11-03"/>
    <s v="Уход за волосами"/>
    <n v="1484"/>
    <d v="2022-11-03T00:00:00"/>
    <n v="161"/>
  </r>
  <r>
    <x v="947"/>
    <s v="2022-07-20"/>
    <s v="Уход"/>
    <n v="498"/>
    <d v="2022-07-20T00:00:00"/>
    <n v="267"/>
  </r>
  <r>
    <x v="2046"/>
    <s v="2020-07-08"/>
    <s v="Уход за волосами"/>
    <n v="741"/>
    <d v="2020-07-08T00:00:00"/>
    <n v="1009"/>
  </r>
  <r>
    <x v="461"/>
    <s v="2022-05-18"/>
    <s v="Уход"/>
    <n v="1259"/>
    <d v="2022-05-18T00:00:00"/>
    <n v="330"/>
  </r>
  <r>
    <x v="2047"/>
    <s v="2021-02-08"/>
    <s v="Уход за волосами"/>
    <n v="3696"/>
    <d v="2021-02-08T00:00:00"/>
    <n v="794"/>
  </r>
  <r>
    <x v="2048"/>
    <s v="2022-10-13"/>
    <s v="Уход за волосами"/>
    <n v="2050"/>
    <d v="2022-10-13T00:00:00"/>
    <n v="182"/>
  </r>
  <r>
    <x v="1758"/>
    <s v="2022-09-15"/>
    <s v="Для дома"/>
    <n v="1600"/>
    <d v="2022-09-15T00:00:00"/>
    <n v="210"/>
  </r>
  <r>
    <x v="2049"/>
    <s v="2020-03-12"/>
    <s v="Для дома"/>
    <n v="440"/>
    <d v="2020-03-12T00:00:00"/>
    <n v="1127"/>
  </r>
  <r>
    <x v="2050"/>
    <s v="2020-09-22"/>
    <s v="Уход"/>
    <n v="109"/>
    <d v="2020-09-22T00:00:00"/>
    <n v="933"/>
  </r>
  <r>
    <x v="2051"/>
    <s v="2022-06-12"/>
    <s v="Детский мир"/>
    <n v="157"/>
    <d v="2022-06-12T00:00:00"/>
    <n v="305"/>
  </r>
  <r>
    <x v="2052"/>
    <s v="2020-10-16"/>
    <s v="Уход за волосами"/>
    <n v="1507"/>
    <d v="2020-10-16T00:00:00"/>
    <n v="909"/>
  </r>
  <r>
    <x v="2053"/>
    <s v="2019-10-12"/>
    <s v="Хоз.товары/бытовая химия"/>
    <n v="45"/>
    <d v="2019-10-12T00:00:00"/>
    <n v="1279"/>
  </r>
  <r>
    <x v="2034"/>
    <s v="2020-07-13"/>
    <s v="Уход"/>
    <n v="2796"/>
    <d v="2020-07-13T00:00:00"/>
    <n v="1004"/>
  </r>
  <r>
    <x v="1513"/>
    <s v="2020-11-28"/>
    <s v="Макияж"/>
    <n v="2640"/>
    <d v="2020-11-28T00:00:00"/>
    <n v="866"/>
  </r>
  <r>
    <x v="2054"/>
    <s v="2023-03-13"/>
    <s v="Уход за волосами"/>
    <n v="8220"/>
    <d v="2023-03-13T00:00:00"/>
    <n v="31"/>
  </r>
  <r>
    <x v="2055"/>
    <s v="2023-01-25"/>
    <s v="Уход за волосами"/>
    <n v="5080"/>
    <d v="2023-01-25T00:00:00"/>
    <n v="78"/>
  </r>
  <r>
    <x v="1889"/>
    <s v="2020-06-26"/>
    <s v="Для дома"/>
    <n v="271"/>
    <d v="2020-06-26T00:00:00"/>
    <n v="1021"/>
  </r>
  <r>
    <x v="1476"/>
    <s v="2020-07-19"/>
    <s v="Уход за волосами"/>
    <n v="2210"/>
    <d v="2020-07-19T00:00:00"/>
    <n v="998"/>
  </r>
  <r>
    <x v="1583"/>
    <s v="2022-07-22"/>
    <s v="Уход за волосами"/>
    <n v="1199"/>
    <d v="2022-07-22T00:00:00"/>
    <n v="265"/>
  </r>
  <r>
    <x v="702"/>
    <s v="2023-01-01"/>
    <s v="Для дома"/>
    <n v="6665"/>
    <d v="2023-01-01T00:00:00"/>
    <n v="102"/>
  </r>
  <r>
    <x v="2056"/>
    <s v="2020-12-31"/>
    <s v="Уход"/>
    <n v="112"/>
    <d v="2020-12-31T00:00:00"/>
    <n v="833"/>
  </r>
  <r>
    <x v="2057"/>
    <s v="2021-12-27"/>
    <s v="Уход"/>
    <n v="5820"/>
    <d v="2021-12-27T00:00:00"/>
    <n v="472"/>
  </r>
  <r>
    <x v="2058"/>
    <s v="2021-11-10"/>
    <s v="Уход за волосами"/>
    <n v="238"/>
    <d v="2021-11-10T00:00:00"/>
    <n v="519"/>
  </r>
  <r>
    <x v="1056"/>
    <s v="2020-11-17"/>
    <s v="Уход за волосами"/>
    <n v="1693"/>
    <d v="2020-11-17T00:00:00"/>
    <n v="877"/>
  </r>
  <r>
    <x v="2059"/>
    <s v="2022-05-12"/>
    <s v="Уход за волосами"/>
    <n v="141"/>
    <d v="2022-05-12T00:00:00"/>
    <n v="336"/>
  </r>
  <r>
    <x v="264"/>
    <s v="2022-02-03"/>
    <s v="Для дома"/>
    <n v="585"/>
    <d v="2022-02-03T00:00:00"/>
    <n v="434"/>
  </r>
  <r>
    <x v="782"/>
    <s v="2023-01-19"/>
    <s v="Уход за волосами"/>
    <n v="747"/>
    <d v="2023-01-19T00:00:00"/>
    <n v="84"/>
  </r>
  <r>
    <x v="1488"/>
    <s v="2020-11-08"/>
    <s v="Уход"/>
    <n v="1560"/>
    <d v="2020-11-08T00:00:00"/>
    <n v="886"/>
  </r>
  <r>
    <x v="2060"/>
    <s v="2020-06-12"/>
    <s v="Хоз.товары/бытовая химия"/>
    <n v="156"/>
    <d v="2020-06-12T00:00:00"/>
    <n v="1035"/>
  </r>
  <r>
    <x v="2061"/>
    <s v="2022-08-15"/>
    <s v="Уход за волосами"/>
    <n v="1716"/>
    <d v="2022-08-15T00:00:00"/>
    <n v="241"/>
  </r>
  <r>
    <x v="1668"/>
    <s v="2022-10-19"/>
    <s v="Уход за волосами"/>
    <n v="1073"/>
    <d v="2022-10-19T00:00:00"/>
    <n v="176"/>
  </r>
  <r>
    <x v="2062"/>
    <s v="2020-02-13"/>
    <s v="Хоз.товары/бытовая химия"/>
    <n v="518"/>
    <d v="2020-02-13T00:00:00"/>
    <n v="1155"/>
  </r>
  <r>
    <x v="2063"/>
    <s v="2022-10-26"/>
    <s v="Уход"/>
    <n v="453"/>
    <d v="2022-10-26T00:00:00"/>
    <n v="169"/>
  </r>
  <r>
    <x v="519"/>
    <s v="2019-12-29"/>
    <s v="Одежда и аксессуары"/>
    <n v="515"/>
    <d v="2019-12-29T00:00:00"/>
    <n v="1201"/>
  </r>
  <r>
    <x v="2064"/>
    <s v="2022-09-05"/>
    <s v="Для дома"/>
    <n v="3115"/>
    <d v="2022-09-05T00:00:00"/>
    <n v="220"/>
  </r>
  <r>
    <x v="289"/>
    <s v="2023-02-27"/>
    <s v="Уход за волосами"/>
    <n v="269"/>
    <d v="2023-02-27T00:00:00"/>
    <n v="45"/>
  </r>
  <r>
    <x v="1638"/>
    <s v="2020-05-05"/>
    <s v="Уход"/>
    <n v="1099"/>
    <d v="2020-05-05T00:00:00"/>
    <n v="1073"/>
  </r>
  <r>
    <x v="2065"/>
    <s v="2021-06-13"/>
    <s v="Уход за волосами"/>
    <n v="7629"/>
    <d v="2021-06-13T00:00:00"/>
    <n v="669"/>
  </r>
  <r>
    <x v="2066"/>
    <s v="2020-08-24"/>
    <s v="Уход"/>
    <n v="2187"/>
    <d v="2020-08-24T00:00:00"/>
    <n v="962"/>
  </r>
  <r>
    <x v="2067"/>
    <s v="2023-01-30"/>
    <s v="Уход"/>
    <n v="2070"/>
    <d v="2023-01-30T00:00:00"/>
    <n v="73"/>
  </r>
  <r>
    <x v="581"/>
    <s v="2020-09-11"/>
    <s v="Уход за волосами"/>
    <n v="17760"/>
    <d v="2020-09-11T00:00:00"/>
    <n v="944"/>
  </r>
  <r>
    <x v="2068"/>
    <s v="2022-12-17"/>
    <s v="Уход"/>
    <n v="496"/>
    <d v="2022-12-17T00:00:00"/>
    <n v="117"/>
  </r>
  <r>
    <x v="2069"/>
    <s v="2022-11-16"/>
    <s v="Уход"/>
    <n v="2801"/>
    <d v="2022-11-16T00:00:00"/>
    <n v="148"/>
  </r>
  <r>
    <x v="1154"/>
    <s v="2023-01-18"/>
    <s v="Уход"/>
    <n v="13249"/>
    <d v="2023-01-18T00:00:00"/>
    <n v="85"/>
  </r>
  <r>
    <x v="2070"/>
    <s v="2021-02-08"/>
    <s v="Уход за волосами"/>
    <n v="1871"/>
    <d v="2021-02-08T00:00:00"/>
    <n v="794"/>
  </r>
  <r>
    <x v="2006"/>
    <s v="2021-03-14"/>
    <s v="Уход за волосами"/>
    <n v="1209"/>
    <d v="2021-03-14T00:00:00"/>
    <n v="760"/>
  </r>
  <r>
    <x v="1089"/>
    <s v="2023-02-25"/>
    <s v="Уход"/>
    <n v="2191"/>
    <d v="2023-02-25T00:00:00"/>
    <n v="47"/>
  </r>
  <r>
    <x v="2071"/>
    <s v="2019-09-28"/>
    <s v="Уход за волосами"/>
    <n v="4395"/>
    <d v="2019-09-28T00:00:00"/>
    <n v="1293"/>
  </r>
  <r>
    <x v="18"/>
    <s v="2023-03-13"/>
    <s v="Макияж"/>
    <n v="3420"/>
    <d v="2023-03-13T00:00:00"/>
    <n v="31"/>
  </r>
  <r>
    <x v="689"/>
    <s v="2022-08-30"/>
    <s v="Для дома"/>
    <n v="3660"/>
    <d v="2022-08-30T00:00:00"/>
    <n v="226"/>
  </r>
  <r>
    <x v="2072"/>
    <s v="2022-12-22"/>
    <s v="Уход"/>
    <n v="5035"/>
    <d v="2022-12-22T00:00:00"/>
    <n v="112"/>
  </r>
  <r>
    <x v="2073"/>
    <s v="2021-11-24"/>
    <s v="Одежда и аксессуары"/>
    <n v="179"/>
    <d v="2021-11-24T00:00:00"/>
    <n v="505"/>
  </r>
  <r>
    <x v="794"/>
    <s v="2023-03-27"/>
    <s v="Для дома"/>
    <n v="227"/>
    <d v="2023-03-27T00:00:00"/>
    <n v="17"/>
  </r>
  <r>
    <x v="806"/>
    <s v="2022-07-05"/>
    <s v="Уход за волосами"/>
    <n v="4070"/>
    <d v="2022-07-05T00:00:00"/>
    <n v="282"/>
  </r>
  <r>
    <x v="1170"/>
    <s v="2023-01-05"/>
    <s v="Уход за волосами"/>
    <n v="1290"/>
    <d v="2023-01-05T00:00:00"/>
    <n v="98"/>
  </r>
  <r>
    <x v="2074"/>
    <s v="2020-11-09"/>
    <s v="Для дома"/>
    <n v="590"/>
    <d v="2020-11-09T00:00:00"/>
    <n v="885"/>
  </r>
  <r>
    <x v="2075"/>
    <s v="2023-02-24"/>
    <s v="Уход за волосами"/>
    <n v="2220"/>
    <d v="2023-02-24T00:00:00"/>
    <n v="48"/>
  </r>
  <r>
    <x v="1524"/>
    <s v="2020-06-21"/>
    <s v="Макияж"/>
    <n v="605"/>
    <d v="2020-06-21T00:00:00"/>
    <n v="1026"/>
  </r>
  <r>
    <x v="2076"/>
    <s v="2019-09-30"/>
    <s v="Хоз.товары/бытовая химия"/>
    <n v="309"/>
    <d v="2019-09-30T00:00:00"/>
    <n v="1291"/>
  </r>
  <r>
    <x v="2077"/>
    <s v="2022-09-03"/>
    <s v="Уход"/>
    <n v="1289"/>
    <d v="2022-09-03T00:00:00"/>
    <n v="222"/>
  </r>
  <r>
    <x v="34"/>
    <s v="2017-09-10"/>
    <s v="Уход за волосами"/>
    <n v="3230738.68"/>
    <d v="2017-09-10T00:00:00"/>
    <n v="2041"/>
  </r>
  <r>
    <x v="2078"/>
    <s v="2023-03-31"/>
    <s v="Уход за волосами"/>
    <n v="18400"/>
    <d v="2023-03-31T00:00:00"/>
    <n v="13"/>
  </r>
  <r>
    <x v="828"/>
    <s v="2022-05-06"/>
    <s v="Уход"/>
    <n v="1654"/>
    <d v="2022-05-06T00:00:00"/>
    <n v="342"/>
  </r>
  <r>
    <x v="2079"/>
    <s v="2021-03-18"/>
    <s v="Уход за волосами"/>
    <n v="4770"/>
    <d v="2021-03-18T00:00:00"/>
    <n v="756"/>
  </r>
  <r>
    <x v="2080"/>
    <s v="2023-03-19"/>
    <s v="Макияж"/>
    <n v="890"/>
    <d v="2023-03-19T00:00:00"/>
    <n v="25"/>
  </r>
  <r>
    <x v="2081"/>
    <s v="2023-02-09"/>
    <s v="Одежда и аксессуары"/>
    <n v="1978"/>
    <d v="2023-02-09T00:00:00"/>
    <n v="63"/>
  </r>
  <r>
    <x v="2082"/>
    <s v="2023-02-22"/>
    <s v="Уход за волосами"/>
    <n v="519"/>
    <d v="2023-02-22T00:00:00"/>
    <n v="50"/>
  </r>
  <r>
    <x v="2083"/>
    <s v="2021-02-01"/>
    <s v="Для дома"/>
    <n v="1329"/>
    <d v="2021-02-01T00:00:00"/>
    <n v="801"/>
  </r>
  <r>
    <x v="1332"/>
    <s v="2020-05-01"/>
    <s v="Уход за волосами"/>
    <n v="423"/>
    <d v="2020-05-01T00:00:00"/>
    <n v="1077"/>
  </r>
  <r>
    <x v="2084"/>
    <s v="2021-09-16"/>
    <s v="Уход за волосами"/>
    <n v="2038"/>
    <d v="2021-09-16T00:00:00"/>
    <n v="574"/>
  </r>
  <r>
    <x v="1887"/>
    <s v="2020-12-11"/>
    <s v="Для дома"/>
    <n v="181"/>
    <d v="2020-12-11T00:00:00"/>
    <n v="853"/>
  </r>
  <r>
    <x v="132"/>
    <s v="2021-03-05"/>
    <s v="Детский мир"/>
    <n v="4240"/>
    <d v="2021-03-05T00:00:00"/>
    <n v="769"/>
  </r>
  <r>
    <x v="1234"/>
    <s v="2021-04-30"/>
    <s v="Уход"/>
    <n v="13395"/>
    <d v="2021-04-30T00:00:00"/>
    <n v="713"/>
  </r>
  <r>
    <x v="1241"/>
    <s v="2021-06-15"/>
    <s v="Уход за волосами"/>
    <n v="1191"/>
    <d v="2021-06-15T00:00:00"/>
    <n v="667"/>
  </r>
  <r>
    <x v="53"/>
    <s v="2023-01-07"/>
    <s v="Уход за волосами"/>
    <n v="2215"/>
    <d v="2023-01-07T00:00:00"/>
    <n v="96"/>
  </r>
  <r>
    <x v="325"/>
    <s v="2023-03-25"/>
    <s v="Уход"/>
    <n v="2240"/>
    <d v="2023-03-25T00:00:00"/>
    <n v="19"/>
  </r>
  <r>
    <x v="1266"/>
    <s v="2020-11-22"/>
    <s v="Уход"/>
    <n v="780"/>
    <d v="2020-11-22T00:00:00"/>
    <n v="872"/>
  </r>
  <r>
    <x v="2085"/>
    <s v="2022-05-27"/>
    <s v="Уход"/>
    <n v="4491"/>
    <d v="2022-05-27T00:00:00"/>
    <n v="321"/>
  </r>
  <r>
    <x v="34"/>
    <s v="2023-02-27"/>
    <s v="Одежда и аксессуары"/>
    <n v="40698.68"/>
    <d v="2023-02-27T00:00:00"/>
    <n v="45"/>
  </r>
  <r>
    <x v="277"/>
    <s v="2021-11-01"/>
    <s v="Уход за волосами"/>
    <n v="6299"/>
    <d v="2021-11-01T00:00:00"/>
    <n v="528"/>
  </r>
  <r>
    <x v="2086"/>
    <s v="2022-07-22"/>
    <s v="Уход"/>
    <n v="579"/>
    <d v="2022-07-22T00:00:00"/>
    <n v="265"/>
  </r>
  <r>
    <x v="79"/>
    <s v="2022-06-22"/>
    <s v="Уход за волосами"/>
    <n v="946"/>
    <d v="2022-06-22T00:00:00"/>
    <n v="295"/>
  </r>
  <r>
    <x v="1483"/>
    <s v="2023-03-08"/>
    <s v="Уход"/>
    <n v="363"/>
    <d v="2023-03-08T00:00:00"/>
    <n v="36"/>
  </r>
  <r>
    <x v="2087"/>
    <s v="2022-05-09"/>
    <s v="Уход за волосами"/>
    <n v="1829"/>
    <d v="2022-05-09T00:00:00"/>
    <n v="339"/>
  </r>
  <r>
    <x v="2088"/>
    <s v="2020-03-25"/>
    <s v="Уход за волосами"/>
    <n v="171"/>
    <d v="2020-03-25T00:00:00"/>
    <n v="1114"/>
  </r>
  <r>
    <x v="2089"/>
    <s v="2023-03-07"/>
    <s v="Уход"/>
    <n v="897"/>
    <d v="2023-03-07T00:00:00"/>
    <n v="37"/>
  </r>
  <r>
    <x v="34"/>
    <s v="2019-01-10"/>
    <s v="Для дома"/>
    <n v="347725.5"/>
    <d v="2019-01-10T00:00:00"/>
    <n v="1554"/>
  </r>
  <r>
    <x v="591"/>
    <s v="2023-03-12"/>
    <s v="Уход за волосами"/>
    <n v="2940"/>
    <d v="2023-03-12T00:00:00"/>
    <n v="32"/>
  </r>
  <r>
    <x v="2090"/>
    <s v="2019-11-29"/>
    <s v="Для дома"/>
    <n v="235"/>
    <d v="2019-11-29T00:00:00"/>
    <n v="1231"/>
  </r>
  <r>
    <x v="2091"/>
    <s v="2021-03-02"/>
    <s v="Уход за волосами"/>
    <n v="459"/>
    <d v="2021-03-02T00:00:00"/>
    <n v="772"/>
  </r>
  <r>
    <x v="1745"/>
    <s v="2021-10-25"/>
    <s v="Уход за волосами"/>
    <n v="2577"/>
    <d v="2021-10-25T00:00:00"/>
    <n v="535"/>
  </r>
  <r>
    <x v="2092"/>
    <s v="2021-10-13"/>
    <s v="Уход за волосами"/>
    <n v="567"/>
    <d v="2021-10-13T00:00:00"/>
    <n v="547"/>
  </r>
  <r>
    <x v="2093"/>
    <s v="2020-08-24"/>
    <s v="Уход"/>
    <n v="909"/>
    <d v="2020-08-24T00:00:00"/>
    <n v="962"/>
  </r>
  <r>
    <x v="2094"/>
    <s v="2019-11-07"/>
    <s v="Детский мир"/>
    <n v="3627"/>
    <d v="2019-11-07T00:00:00"/>
    <n v="1253"/>
  </r>
  <r>
    <x v="2095"/>
    <s v="2021-10-02"/>
    <s v="Уход"/>
    <n v="6150"/>
    <d v="2021-10-02T00:00:00"/>
    <n v="558"/>
  </r>
  <r>
    <x v="2096"/>
    <s v="2023-01-30"/>
    <s v="Одежда и аксессуары"/>
    <n v="1090"/>
    <d v="2023-01-30T00:00:00"/>
    <n v="73"/>
  </r>
  <r>
    <x v="20"/>
    <s v="2022-09-04"/>
    <s v="Уход"/>
    <n v="1290"/>
    <d v="2022-09-04T00:00:00"/>
    <n v="221"/>
  </r>
  <r>
    <x v="880"/>
    <s v="2020-07-06"/>
    <s v="Макияж"/>
    <n v="561"/>
    <d v="2020-07-06T00:00:00"/>
    <n v="1011"/>
  </r>
  <r>
    <x v="1851"/>
    <s v="2022-08-28"/>
    <s v="Уход"/>
    <n v="816"/>
    <d v="2022-08-28T00:00:00"/>
    <n v="228"/>
  </r>
  <r>
    <x v="2097"/>
    <s v="2020-09-20"/>
    <s v="Уход"/>
    <n v="138"/>
    <d v="2020-09-20T00:00:00"/>
    <n v="935"/>
  </r>
  <r>
    <x v="1872"/>
    <s v="2020-12-24"/>
    <s v="Уход"/>
    <n v="1884"/>
    <d v="2020-12-24T00:00:00"/>
    <n v="840"/>
  </r>
  <r>
    <x v="2098"/>
    <s v="2022-10-11"/>
    <s v="Уход"/>
    <n v="1262"/>
    <d v="2022-10-11T00:00:00"/>
    <n v="184"/>
  </r>
  <r>
    <x v="454"/>
    <s v="2021-05-01"/>
    <s v="Уход"/>
    <n v="1490"/>
    <d v="2021-05-01T00:00:00"/>
    <n v="712"/>
  </r>
  <r>
    <x v="2099"/>
    <s v="2021-03-29"/>
    <s v="Для дома"/>
    <n v="30"/>
    <d v="2021-03-29T00:00:00"/>
    <n v="745"/>
  </r>
  <r>
    <x v="2100"/>
    <s v="2021-08-04"/>
    <s v="Уход"/>
    <n v="139"/>
    <d v="2021-08-04T00:00:00"/>
    <n v="617"/>
  </r>
  <r>
    <x v="1779"/>
    <s v="2023-03-02"/>
    <s v="Уход за волосами"/>
    <n v="12669"/>
    <d v="2023-03-02T00:00:00"/>
    <n v="42"/>
  </r>
  <r>
    <x v="2101"/>
    <s v="2022-03-04"/>
    <s v="Уход"/>
    <n v="585"/>
    <d v="2022-03-04T00:00:00"/>
    <n v="405"/>
  </r>
  <r>
    <x v="838"/>
    <s v="2022-01-29"/>
    <s v="Уход"/>
    <n v="6165"/>
    <d v="2022-01-29T00:00:00"/>
    <n v="439"/>
  </r>
  <r>
    <x v="2102"/>
    <s v="2021-08-06"/>
    <s v="Уход"/>
    <n v="1829"/>
    <d v="2021-08-06T00:00:00"/>
    <n v="615"/>
  </r>
  <r>
    <x v="2103"/>
    <s v="2023-01-29"/>
    <s v="Уход за волосами"/>
    <n v="477"/>
    <d v="2023-01-29T00:00:00"/>
    <n v="74"/>
  </r>
  <r>
    <x v="466"/>
    <s v="2020-01-18"/>
    <s v="Уход за волосами"/>
    <n v="293"/>
    <d v="2020-01-18T00:00:00"/>
    <n v="1181"/>
  </r>
  <r>
    <x v="2104"/>
    <s v="2022-05-02"/>
    <s v="Макияж"/>
    <n v="1660"/>
    <d v="2022-05-02T00:00:00"/>
    <n v="346"/>
  </r>
  <r>
    <x v="2105"/>
    <s v="2019-09-15"/>
    <s v="Детский мир"/>
    <n v="220"/>
    <d v="2019-09-15T00:00:00"/>
    <n v="1306"/>
  </r>
  <r>
    <x v="6"/>
    <s v="2023-01-10"/>
    <s v="Уход за волосами"/>
    <n v="1376"/>
    <d v="2023-01-10T00:00:00"/>
    <n v="93"/>
  </r>
  <r>
    <x v="483"/>
    <s v="2022-01-08"/>
    <s v="Детский мир"/>
    <n v="393"/>
    <d v="2022-01-08T00:00:00"/>
    <n v="460"/>
  </r>
  <r>
    <x v="2106"/>
    <s v="2020-09-17"/>
    <s v="Для дома"/>
    <n v="240"/>
    <d v="2020-09-17T00:00:00"/>
    <n v="938"/>
  </r>
  <r>
    <x v="2107"/>
    <s v="2022-09-28"/>
    <s v="Для дома"/>
    <n v="560"/>
    <d v="2022-09-28T00:00:00"/>
    <n v="197"/>
  </r>
  <r>
    <x v="98"/>
    <s v="2021-01-30"/>
    <s v="Для дома"/>
    <n v="232"/>
    <d v="2021-01-30T00:00:00"/>
    <n v="803"/>
  </r>
  <r>
    <x v="2108"/>
    <s v="2021-04-29"/>
    <s v="Уход за волосами"/>
    <n v="351"/>
    <d v="2021-04-29T00:00:00"/>
    <n v="714"/>
  </r>
  <r>
    <x v="2109"/>
    <s v="2020-02-07"/>
    <s v="Уход"/>
    <n v="5535"/>
    <d v="2020-02-07T00:00:00"/>
    <n v="1161"/>
  </r>
  <r>
    <x v="2102"/>
    <s v="2022-01-06"/>
    <s v="Для дома"/>
    <n v="59"/>
    <d v="2022-01-06T00:00:00"/>
    <n v="462"/>
  </r>
  <r>
    <x v="1605"/>
    <s v="2020-09-18"/>
    <s v="Уход"/>
    <n v="3139"/>
    <d v="2020-09-18T00:00:00"/>
    <n v="937"/>
  </r>
  <r>
    <x v="1206"/>
    <s v="2020-03-09"/>
    <s v="Уход"/>
    <n v="374"/>
    <d v="2020-03-09T00:00:00"/>
    <n v="1130"/>
  </r>
  <r>
    <x v="2110"/>
    <s v="2022-11-16"/>
    <s v="Уход за волосами"/>
    <n v="1640"/>
    <d v="2022-11-16T00:00:00"/>
    <n v="148"/>
  </r>
  <r>
    <x v="2064"/>
    <s v="2021-05-13"/>
    <s v="Для дома"/>
    <n v="374"/>
    <d v="2021-05-13T00:00:00"/>
    <n v="700"/>
  </r>
  <r>
    <x v="1819"/>
    <s v="2023-02-04"/>
    <s v="Уход"/>
    <n v="1071"/>
    <d v="2023-02-04T00:00:00"/>
    <n v="68"/>
  </r>
  <r>
    <x v="590"/>
    <s v="2021-10-20"/>
    <s v="Уход"/>
    <n v="1065"/>
    <d v="2021-10-20T00:00:00"/>
    <n v="540"/>
  </r>
  <r>
    <x v="814"/>
    <s v="2022-03-25"/>
    <s v="Хоз.товары/бытовая химия"/>
    <n v="34"/>
    <d v="2022-03-25T00:00:00"/>
    <n v="384"/>
  </r>
  <r>
    <x v="138"/>
    <s v="2022-04-04"/>
    <s v="Уход за волосами"/>
    <n v="4076"/>
    <d v="2022-04-04T00:00:00"/>
    <n v="374"/>
  </r>
  <r>
    <x v="929"/>
    <s v="2022-06-13"/>
    <s v="Уход за волосами"/>
    <n v="600"/>
    <d v="2022-06-13T00:00:00"/>
    <n v="304"/>
  </r>
  <r>
    <x v="2111"/>
    <s v="2023-04-03"/>
    <s v="Хоз.товары/бытовая химия"/>
    <n v="28"/>
    <d v="2023-04-03T00:00:00"/>
    <n v="10"/>
  </r>
  <r>
    <x v="2112"/>
    <s v="2021-05-10"/>
    <s v="Уход"/>
    <n v="645"/>
    <d v="2021-05-10T00:00:00"/>
    <n v="703"/>
  </r>
  <r>
    <x v="1611"/>
    <s v="2021-06-17"/>
    <s v="Уход"/>
    <n v="195"/>
    <d v="2021-06-17T00:00:00"/>
    <n v="665"/>
  </r>
  <r>
    <x v="2113"/>
    <s v="2023-01-09"/>
    <s v="Для дома"/>
    <n v="12760"/>
    <d v="2023-01-09T00:00:00"/>
    <n v="94"/>
  </r>
  <r>
    <x v="2114"/>
    <s v="2021-12-27"/>
    <s v="Детский мир"/>
    <n v="519"/>
    <d v="2021-12-27T00:00:00"/>
    <n v="472"/>
  </r>
  <r>
    <x v="1030"/>
    <s v="2021-09-19"/>
    <s v="Уход за волосами"/>
    <n v="286"/>
    <d v="2021-09-19T00:00:00"/>
    <n v="571"/>
  </r>
  <r>
    <x v="1600"/>
    <s v="2020-02-15"/>
    <s v="Уход"/>
    <n v="278"/>
    <d v="2020-02-15T00:00:00"/>
    <n v="1153"/>
  </r>
  <r>
    <x v="174"/>
    <s v="2022-07-17"/>
    <s v="Уход за волосами"/>
    <n v="820"/>
    <d v="2022-07-17T00:00:00"/>
    <n v="270"/>
  </r>
  <r>
    <x v="2115"/>
    <s v="2022-03-05"/>
    <s v="Хоз.товары/бытовая химия"/>
    <n v="289"/>
    <d v="2022-03-05T00:00:00"/>
    <n v="4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1D1B4-F344-4985-BA18-C7D07D442CFB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20" firstHeaderRow="0" firstDataRow="1" firstDataCol="1"/>
  <pivotFields count="6">
    <pivotField axis="axisRow" dataField="1" showAll="0">
      <items count="2117">
        <item x="1212"/>
        <item x="1766"/>
        <item x="1112"/>
        <item x="1366"/>
        <item x="1281"/>
        <item x="1393"/>
        <item x="12"/>
        <item x="2074"/>
        <item x="121"/>
        <item x="895"/>
        <item x="855"/>
        <item x="722"/>
        <item x="1461"/>
        <item x="799"/>
        <item x="446"/>
        <item x="1698"/>
        <item x="1166"/>
        <item x="1058"/>
        <item x="869"/>
        <item x="1356"/>
        <item x="1683"/>
        <item x="76"/>
        <item x="2043"/>
        <item x="253"/>
        <item x="885"/>
        <item x="1204"/>
        <item x="1692"/>
        <item x="1441"/>
        <item x="1450"/>
        <item x="467"/>
        <item x="523"/>
        <item x="970"/>
        <item x="1533"/>
        <item x="1454"/>
        <item x="1505"/>
        <item x="490"/>
        <item x="237"/>
        <item x="739"/>
        <item x="358"/>
        <item x="1984"/>
        <item x="861"/>
        <item x="539"/>
        <item x="15"/>
        <item x="390"/>
        <item x="418"/>
        <item x="1114"/>
        <item x="1327"/>
        <item x="921"/>
        <item x="1646"/>
        <item x="1439"/>
        <item x="1270"/>
        <item x="57"/>
        <item x="419"/>
        <item x="629"/>
        <item x="809"/>
        <item x="2034"/>
        <item x="590"/>
        <item x="1398"/>
        <item x="412"/>
        <item x="2064"/>
        <item x="800"/>
        <item x="1117"/>
        <item x="1942"/>
        <item x="29"/>
        <item x="378"/>
        <item x="1078"/>
        <item x="866"/>
        <item x="1200"/>
        <item x="1472"/>
        <item x="1045"/>
        <item x="1678"/>
        <item x="164"/>
        <item x="1894"/>
        <item x="504"/>
        <item x="1634"/>
        <item x="1612"/>
        <item x="2025"/>
        <item x="1209"/>
        <item x="782"/>
        <item x="72"/>
        <item x="1759"/>
        <item x="717"/>
        <item x="1030"/>
        <item x="1283"/>
        <item x="503"/>
        <item x="349"/>
        <item x="2015"/>
        <item x="1843"/>
        <item x="1108"/>
        <item x="1697"/>
        <item x="1774"/>
        <item x="1438"/>
        <item x="1917"/>
        <item x="1503"/>
        <item x="859"/>
        <item x="450"/>
        <item x="1730"/>
        <item x="1246"/>
        <item x="1490"/>
        <item x="1047"/>
        <item x="760"/>
        <item x="1243"/>
        <item x="518"/>
        <item x="768"/>
        <item x="312"/>
        <item x="216"/>
        <item x="125"/>
        <item x="362"/>
        <item x="178"/>
        <item x="195"/>
        <item x="1214"/>
        <item x="1565"/>
        <item x="781"/>
        <item x="1076"/>
        <item x="2085"/>
        <item x="202"/>
        <item x="1788"/>
        <item x="180"/>
        <item x="1168"/>
        <item x="2023"/>
        <item x="2055"/>
        <item x="235"/>
        <item x="2050"/>
        <item x="1543"/>
        <item x="147"/>
        <item x="399"/>
        <item x="698"/>
        <item x="348"/>
        <item x="801"/>
        <item x="667"/>
        <item x="1642"/>
        <item x="265"/>
        <item x="2021"/>
        <item x="1962"/>
        <item x="1654"/>
        <item x="765"/>
        <item x="571"/>
        <item x="272"/>
        <item x="1607"/>
        <item x="713"/>
        <item x="1775"/>
        <item x="1351"/>
        <item x="1924"/>
        <item x="434"/>
        <item x="1985"/>
        <item x="391"/>
        <item x="306"/>
        <item x="1873"/>
        <item x="1638"/>
        <item x="1559"/>
        <item x="1571"/>
        <item x="459"/>
        <item x="1794"/>
        <item x="530"/>
        <item x="315"/>
        <item x="157"/>
        <item x="580"/>
        <item x="1310"/>
        <item x="992"/>
        <item x="1603"/>
        <item x="1991"/>
        <item x="672"/>
        <item x="1415"/>
        <item x="1369"/>
        <item x="343"/>
        <item x="45"/>
        <item x="1271"/>
        <item x="956"/>
        <item x="583"/>
        <item x="102"/>
        <item x="1223"/>
        <item x="204"/>
        <item x="2095"/>
        <item x="532"/>
        <item x="1932"/>
        <item x="1001"/>
        <item x="656"/>
        <item x="1109"/>
        <item x="1908"/>
        <item x="848"/>
        <item x="472"/>
        <item x="1494"/>
        <item x="1096"/>
        <item x="2016"/>
        <item x="2018"/>
        <item x="1411"/>
        <item x="1177"/>
        <item x="1227"/>
        <item x="857"/>
        <item x="587"/>
        <item x="1224"/>
        <item x="1440"/>
        <item x="682"/>
        <item x="528"/>
        <item x="1954"/>
        <item x="1764"/>
        <item x="1817"/>
        <item x="893"/>
        <item x="718"/>
        <item x="2086"/>
        <item x="1425"/>
        <item x="217"/>
        <item x="174"/>
        <item x="513"/>
        <item x="1680"/>
        <item x="124"/>
        <item x="1463"/>
        <item x="376"/>
        <item x="1796"/>
        <item x="334"/>
        <item x="1104"/>
        <item x="724"/>
        <item x="155"/>
        <item x="478"/>
        <item x="415"/>
        <item x="1673"/>
        <item x="150"/>
        <item x="1357"/>
        <item x="2000"/>
        <item x="115"/>
        <item x="1703"/>
        <item x="1452"/>
        <item x="1876"/>
        <item x="995"/>
        <item x="1916"/>
        <item x="42"/>
        <item x="1220"/>
        <item x="1355"/>
        <item x="889"/>
        <item x="1971"/>
        <item x="1897"/>
        <item x="1806"/>
        <item x="479"/>
        <item x="723"/>
        <item x="988"/>
        <item x="1715"/>
        <item x="153"/>
        <item x="1362"/>
        <item x="1487"/>
        <item x="822"/>
        <item x="2056"/>
        <item x="1664"/>
        <item x="186"/>
        <item x="132"/>
        <item x="959"/>
        <item x="1862"/>
        <item x="1679"/>
        <item x="1477"/>
        <item x="1581"/>
        <item x="1936"/>
        <item x="2041"/>
        <item x="919"/>
        <item x="727"/>
        <item x="554"/>
        <item x="417"/>
        <item x="26"/>
        <item x="1956"/>
        <item x="1152"/>
        <item x="1028"/>
        <item x="1517"/>
        <item x="1399"/>
        <item x="1667"/>
        <item x="935"/>
        <item x="560"/>
        <item x="322"/>
        <item x="585"/>
        <item x="1531"/>
        <item x="1702"/>
        <item x="67"/>
        <item x="1633"/>
        <item x="1604"/>
        <item x="1941"/>
        <item x="1082"/>
        <item x="803"/>
        <item x="85"/>
        <item x="1272"/>
        <item x="984"/>
        <item x="1891"/>
        <item x="1447"/>
        <item x="1129"/>
        <item x="2030"/>
        <item x="1201"/>
        <item x="427"/>
        <item x="1786"/>
        <item x="1705"/>
        <item x="1410"/>
        <item x="821"/>
        <item x="2065"/>
        <item x="1746"/>
        <item x="1083"/>
        <item x="1686"/>
        <item x="1952"/>
        <item x="497"/>
        <item x="422"/>
        <item x="1998"/>
        <item x="1790"/>
        <item x="8"/>
        <item x="136"/>
        <item x="475"/>
        <item x="626"/>
        <item x="473"/>
        <item x="355"/>
        <item x="1813"/>
        <item x="684"/>
        <item x="28"/>
        <item x="326"/>
        <item x="1002"/>
        <item x="1060"/>
        <item x="1023"/>
        <item x="61"/>
        <item x="1342"/>
        <item x="568"/>
        <item x="1074"/>
        <item x="156"/>
        <item x="62"/>
        <item x="1428"/>
        <item x="1363"/>
        <item x="220"/>
        <item x="1049"/>
        <item x="466"/>
        <item x="143"/>
        <item x="676"/>
        <item x="894"/>
        <item x="872"/>
        <item x="291"/>
        <item x="296"/>
        <item x="886"/>
        <item x="968"/>
        <item x="1542"/>
        <item x="1915"/>
        <item x="328"/>
        <item x="1205"/>
        <item x="1453"/>
        <item x="242"/>
        <item x="1163"/>
        <item x="693"/>
        <item x="605"/>
        <item x="1148"/>
        <item x="3"/>
        <item x="2068"/>
        <item x="1068"/>
        <item x="1125"/>
        <item x="1611"/>
        <item x="1608"/>
        <item x="1857"/>
        <item x="2114"/>
        <item x="955"/>
        <item x="1432"/>
        <item x="2017"/>
        <item x="2093"/>
        <item x="2008"/>
        <item x="860"/>
        <item x="1628"/>
        <item x="2103"/>
        <item x="2054"/>
        <item x="1479"/>
        <item x="1043"/>
        <item x="246"/>
        <item x="952"/>
        <item x="182"/>
        <item x="586"/>
        <item x="1067"/>
        <item x="746"/>
        <item x="738"/>
        <item x="604"/>
        <item x="309"/>
        <item x="2006"/>
        <item x="951"/>
        <item x="942"/>
        <item x="336"/>
        <item x="68"/>
        <item x="1776"/>
        <item x="1768"/>
        <item x="1261"/>
        <item x="610"/>
        <item x="1556"/>
        <item x="1979"/>
        <item x="1044"/>
        <item x="152"/>
        <item x="1164"/>
        <item x="1032"/>
        <item x="1435"/>
        <item x="345"/>
        <item x="1677"/>
        <item x="954"/>
        <item x="1313"/>
        <item x="1245"/>
        <item x="1150"/>
        <item x="389"/>
        <item x="1137"/>
        <item x="464"/>
        <item x="974"/>
        <item x="1922"/>
        <item x="1111"/>
        <item x="1630"/>
        <item x="1217"/>
        <item x="602"/>
        <item x="1262"/>
        <item x="1671"/>
        <item x="1785"/>
        <item x="1847"/>
        <item x="406"/>
        <item x="843"/>
        <item x="631"/>
        <item x="622"/>
        <item x="1379"/>
        <item x="2088"/>
        <item x="383"/>
        <item x="90"/>
        <item x="1802"/>
        <item x="1755"/>
        <item x="1034"/>
        <item x="687"/>
        <item x="1282"/>
        <item x="1040"/>
        <item x="1014"/>
        <item x="647"/>
        <item x="1350"/>
        <item x="2100"/>
        <item x="1120"/>
        <item x="1540"/>
        <item x="474"/>
        <item x="1250"/>
        <item x="1508"/>
        <item x="313"/>
        <item x="252"/>
        <item x="1483"/>
        <item x="816"/>
        <item x="171"/>
        <item x="1955"/>
        <item x="1605"/>
        <item x="269"/>
        <item x="308"/>
        <item x="190"/>
        <item x="516"/>
        <item x="1549"/>
        <item x="1649"/>
        <item x="1524"/>
        <item x="1669"/>
        <item x="25"/>
        <item x="1481"/>
        <item x="577"/>
        <item x="756"/>
        <item x="203"/>
        <item x="1613"/>
        <item x="2004"/>
        <item x="1421"/>
        <item x="181"/>
        <item x="1154"/>
        <item x="900"/>
        <item x="1615"/>
        <item x="891"/>
        <item x="2035"/>
        <item x="870"/>
        <item x="524"/>
        <item x="1801"/>
        <item x="292"/>
        <item x="946"/>
        <item x="1426"/>
        <item x="1792"/>
        <item x="1251"/>
        <item x="1139"/>
        <item x="2079"/>
        <item x="43"/>
        <item x="938"/>
        <item x="1509"/>
        <item x="74"/>
        <item x="887"/>
        <item x="339"/>
        <item x="386"/>
        <item x="1062"/>
        <item x="642"/>
        <item x="247"/>
        <item x="1720"/>
        <item x="1820"/>
        <item x="1234"/>
        <item x="1648"/>
        <item x="1502"/>
        <item x="793"/>
        <item x="1749"/>
        <item x="1157"/>
        <item x="1614"/>
        <item x="1123"/>
        <item x="305"/>
        <item x="515"/>
        <item x="1141"/>
        <item x="56"/>
        <item x="744"/>
        <item x="263"/>
        <item x="2"/>
        <item x="1704"/>
        <item x="1101"/>
        <item x="521"/>
        <item x="804"/>
        <item x="149"/>
        <item x="1119"/>
        <item x="1621"/>
        <item x="1467"/>
        <item x="424"/>
        <item x="927"/>
        <item x="563"/>
        <item x="666"/>
        <item x="845"/>
        <item x="670"/>
        <item x="114"/>
        <item x="373"/>
        <item x="706"/>
        <item x="500"/>
        <item x="761"/>
        <item x="608"/>
        <item x="2076"/>
        <item x="1787"/>
        <item x="1999"/>
        <item x="103"/>
        <item x="507"/>
        <item x="498"/>
        <item x="783"/>
        <item x="633"/>
        <item x="2108"/>
        <item x="892"/>
        <item x="1584"/>
        <item x="1249"/>
        <item x="1491"/>
        <item x="1716"/>
        <item x="1757"/>
        <item x="1909"/>
        <item x="1742"/>
        <item x="591"/>
        <item x="1031"/>
        <item x="320"/>
        <item x="1408"/>
        <item x="1647"/>
        <item x="983"/>
        <item x="1347"/>
        <item x="1381"/>
        <item x="2080"/>
        <item x="282"/>
        <item x="1564"/>
        <item x="410"/>
        <item x="634"/>
        <item x="92"/>
        <item x="317"/>
        <item x="1352"/>
        <item x="646"/>
        <item x="137"/>
        <item x="1057"/>
        <item x="1331"/>
        <item x="128"/>
        <item x="1975"/>
        <item x="1392"/>
        <item x="736"/>
        <item x="1368"/>
        <item x="1744"/>
        <item x="416"/>
        <item x="710"/>
        <item x="324"/>
        <item x="575"/>
        <item x="175"/>
        <item x="749"/>
        <item x="1848"/>
        <item x="839"/>
        <item x="1055"/>
        <item x="353"/>
        <item x="1377"/>
        <item x="2031"/>
        <item x="414"/>
        <item x="1631"/>
        <item x="625"/>
        <item x="1639"/>
        <item x="2101"/>
        <item x="1006"/>
        <item x="1530"/>
        <item x="111"/>
        <item x="188"/>
        <item x="1986"/>
        <item x="818"/>
        <item x="201"/>
        <item x="449"/>
        <item x="685"/>
        <item x="1641"/>
        <item x="97"/>
        <item x="1846"/>
        <item x="1655"/>
        <item x="1578"/>
        <item x="1216"/>
        <item x="158"/>
        <item x="165"/>
        <item x="876"/>
        <item x="832"/>
        <item x="1827"/>
        <item x="2053"/>
        <item x="2002"/>
        <item x="413"/>
        <item x="453"/>
        <item x="1039"/>
        <item x="225"/>
        <item x="1013"/>
        <item x="1696"/>
        <item x="1779"/>
        <item x="471"/>
        <item x="261"/>
        <item x="1091"/>
        <item x="1504"/>
        <item x="962"/>
        <item x="939"/>
        <item x="1263"/>
        <item x="266"/>
        <item x="1772"/>
        <item x="963"/>
        <item x="1534"/>
        <item x="1397"/>
        <item x="193"/>
        <item x="1532"/>
        <item x="1596"/>
        <item x="51"/>
        <item x="398"/>
        <item x="11"/>
        <item x="908"/>
        <item x="1905"/>
        <item x="1297"/>
        <item x="1799"/>
        <item x="1102"/>
        <item x="1128"/>
        <item x="1798"/>
        <item x="1403"/>
        <item x="1341"/>
        <item x="1291"/>
        <item x="38"/>
        <item x="205"/>
        <item x="1287"/>
        <item x="2098"/>
        <item x="650"/>
        <item x="34"/>
        <item x="429"/>
        <item x="214"/>
        <item x="1566"/>
        <item x="1561"/>
        <item x="909"/>
        <item x="2084"/>
        <item x="1838"/>
        <item x="709"/>
        <item x="831"/>
        <item x="1142"/>
        <item x="1395"/>
        <item x="966"/>
        <item x="762"/>
        <item x="899"/>
        <item x="392"/>
        <item x="1071"/>
        <item x="1898"/>
        <item x="131"/>
        <item x="1685"/>
        <item x="953"/>
        <item x="1872"/>
        <item x="1551"/>
        <item x="620"/>
        <item x="1568"/>
        <item x="619"/>
        <item x="1739"/>
        <item x="1863"/>
        <item x="52"/>
        <item x="624"/>
        <item x="1825"/>
        <item x="1124"/>
        <item x="421"/>
        <item x="1468"/>
        <item x="402"/>
        <item x="1745"/>
        <item x="1179"/>
        <item x="636"/>
        <item x="875"/>
        <item x="22"/>
        <item x="998"/>
        <item x="505"/>
        <item x="1497"/>
        <item x="651"/>
        <item x="1911"/>
        <item x="1740"/>
        <item x="117"/>
        <item x="1253"/>
        <item x="280"/>
        <item x="354"/>
        <item x="1054"/>
        <item x="82"/>
        <item x="31"/>
        <item x="545"/>
        <item x="849"/>
        <item x="208"/>
        <item x="1691"/>
        <item x="482"/>
        <item x="1400"/>
        <item x="1929"/>
        <item x="138"/>
        <item x="73"/>
        <item x="1499"/>
        <item x="1526"/>
        <item x="1237"/>
        <item x="1660"/>
        <item x="1304"/>
        <item x="363"/>
        <item x="1218"/>
        <item x="1011"/>
        <item x="1385"/>
        <item x="1758"/>
        <item x="54"/>
        <item x="771"/>
        <item x="259"/>
        <item x="1966"/>
        <item x="1349"/>
        <item x="1865"/>
        <item x="145"/>
        <item x="218"/>
        <item x="1050"/>
        <item x="588"/>
        <item x="574"/>
        <item x="10"/>
        <item x="2012"/>
        <item x="1858"/>
        <item x="197"/>
        <item x="212"/>
        <item x="1167"/>
        <item x="1644"/>
        <item x="841"/>
        <item x="1694"/>
        <item x="106"/>
        <item x="387"/>
        <item x="187"/>
        <item x="1516"/>
        <item x="1169"/>
        <item x="393"/>
        <item x="37"/>
        <item x="784"/>
        <item x="828"/>
        <item x="1073"/>
        <item x="1725"/>
        <item x="98"/>
        <item x="255"/>
        <item x="1359"/>
        <item x="1470"/>
        <item x="1144"/>
        <item x="2036"/>
        <item x="1319"/>
        <item x="327"/>
        <item x="1939"/>
        <item x="1520"/>
        <item x="536"/>
        <item x="1622"/>
        <item x="972"/>
        <item x="1290"/>
        <item x="299"/>
        <item x="511"/>
        <item x="1312"/>
        <item x="725"/>
        <item x="1056"/>
        <item x="257"/>
        <item x="1316"/>
        <item x="1029"/>
        <item x="517"/>
        <item x="1275"/>
        <item x="162"/>
        <item x="1215"/>
        <item x="496"/>
        <item x="4"/>
        <item x="492"/>
        <item x="1875"/>
        <item x="104"/>
        <item x="2107"/>
        <item x="411"/>
        <item x="18"/>
        <item x="1726"/>
        <item x="1485"/>
        <item x="239"/>
        <item x="1574"/>
        <item x="2009"/>
        <item x="1789"/>
        <item x="1308"/>
        <item x="948"/>
        <item x="1957"/>
        <item x="2007"/>
        <item x="454"/>
        <item x="653"/>
        <item x="1394"/>
        <item x="1278"/>
        <item x="2048"/>
        <item x="643"/>
        <item x="1717"/>
        <item x="1239"/>
        <item x="980"/>
        <item x="364"/>
        <item x="377"/>
        <item x="285"/>
        <item x="1844"/>
        <item x="652"/>
        <item x="311"/>
        <item x="1958"/>
        <item x="1782"/>
        <item x="1160"/>
        <item x="1627"/>
        <item x="1207"/>
        <item x="234"/>
        <item x="1493"/>
        <item x="1121"/>
        <item x="950"/>
        <item x="1015"/>
        <item x="1907"/>
        <item x="1970"/>
        <item x="813"/>
        <item x="691"/>
        <item x="770"/>
        <item x="840"/>
        <item x="400"/>
        <item x="159"/>
        <item x="612"/>
        <item x="2044"/>
        <item x="1960"/>
        <item x="792"/>
        <item x="1902"/>
        <item x="838"/>
        <item x="835"/>
        <item x="30"/>
        <item x="1938"/>
        <item x="1294"/>
        <item x="1260"/>
        <item x="1640"/>
        <item x="2042"/>
        <item x="690"/>
        <item x="330"/>
        <item x="1830"/>
        <item x="1722"/>
        <item x="1753"/>
        <item x="1292"/>
        <item x="366"/>
        <item x="1145"/>
        <item x="1864"/>
        <item x="135"/>
        <item x="200"/>
        <item x="1301"/>
        <item x="1183"/>
        <item x="969"/>
        <item x="1338"/>
        <item x="1267"/>
        <item x="1026"/>
        <item x="1466"/>
        <item x="59"/>
        <item x="877"/>
        <item x="1923"/>
        <item x="2057"/>
        <item x="1583"/>
        <item x="1"/>
        <item x="430"/>
        <item x="47"/>
        <item x="1321"/>
        <item x="323"/>
        <item x="616"/>
        <item x="245"/>
        <item x="1934"/>
        <item x="943"/>
        <item x="1665"/>
        <item x="1365"/>
        <item x="1339"/>
        <item x="99"/>
        <item x="457"/>
        <item x="997"/>
        <item x="863"/>
        <item x="1413"/>
        <item x="166"/>
        <item x="544"/>
        <item x="1585"/>
        <item x="333"/>
        <item x="1482"/>
        <item x="1190"/>
        <item x="465"/>
        <item x="1594"/>
        <item x="274"/>
        <item x="711"/>
        <item x="1098"/>
        <item x="1172"/>
        <item x="1563"/>
        <item x="767"/>
        <item x="436"/>
        <item x="499"/>
        <item x="1348"/>
        <item x="1818"/>
        <item x="1637"/>
        <item x="548"/>
        <item x="1989"/>
        <item x="918"/>
        <item x="630"/>
        <item x="1877"/>
        <item x="977"/>
        <item x="1555"/>
        <item x="1550"/>
        <item x="1089"/>
        <item x="1332"/>
        <item x="1173"/>
        <item x="1448"/>
        <item x="1046"/>
        <item x="2024"/>
        <item x="1888"/>
        <item x="965"/>
        <item x="1077"/>
        <item x="1414"/>
        <item x="1277"/>
        <item x="1699"/>
        <item x="751"/>
        <item x="1719"/>
        <item x="1489"/>
        <item x="1158"/>
        <item x="1599"/>
        <item x="1980"/>
        <item x="307"/>
        <item x="2104"/>
        <item x="2022"/>
        <item x="578"/>
        <item x="1712"/>
        <item x="1106"/>
        <item x="1826"/>
        <item x="211"/>
        <item x="2029"/>
        <item x="1038"/>
        <item x="1488"/>
        <item x="798"/>
        <item x="1522"/>
        <item x="1147"/>
        <item x="351"/>
        <item x="914"/>
        <item x="1449"/>
        <item x="1353"/>
        <item x="606"/>
        <item x="119"/>
        <item x="1233"/>
        <item x="1188"/>
        <item x="1804"/>
        <item x="1515"/>
        <item x="981"/>
        <item x="609"/>
        <item x="112"/>
        <item x="589"/>
        <item x="2010"/>
        <item x="654"/>
        <item x="53"/>
        <item x="1276"/>
        <item x="678"/>
        <item x="198"/>
        <item x="550"/>
        <item x="1412"/>
        <item x="1127"/>
        <item x="1020"/>
        <item x="1229"/>
        <item x="337"/>
        <item x="1701"/>
        <item x="1268"/>
        <item x="1977"/>
        <item x="1444"/>
        <item x="227"/>
        <item x="795"/>
        <item x="627"/>
        <item x="122"/>
        <item x="2037"/>
        <item x="1797"/>
        <item x="1075"/>
        <item x="1770"/>
        <item x="1458"/>
        <item x="1035"/>
        <item x="542"/>
        <item x="223"/>
        <item x="356"/>
        <item x="1616"/>
        <item x="1577"/>
        <item x="1464"/>
        <item x="2096"/>
        <item x="433"/>
        <item x="1951"/>
        <item x="80"/>
        <item x="1751"/>
        <item x="2047"/>
        <item x="276"/>
        <item x="271"/>
        <item x="1541"/>
        <item x="1086"/>
        <item x="708"/>
        <item x="146"/>
        <item x="764"/>
        <item x="1552"/>
        <item x="680"/>
        <item x="1241"/>
        <item x="644"/>
        <item x="1819"/>
        <item x="1298"/>
        <item x="1445"/>
        <item x="14"/>
        <item x="1325"/>
        <item x="1635"/>
        <item x="110"/>
        <item x="1629"/>
        <item x="1778"/>
        <item x="287"/>
        <item x="1370"/>
        <item x="1094"/>
        <item x="1933"/>
        <item x="229"/>
        <item x="1236"/>
        <item x="1896"/>
        <item x="1371"/>
        <item x="1950"/>
        <item x="1597"/>
        <item x="2111"/>
        <item x="332"/>
        <item x="1329"/>
        <item x="281"/>
        <item x="183"/>
        <item x="743"/>
        <item x="1537"/>
        <item x="485"/>
        <item x="96"/>
        <item x="293"/>
        <item x="737"/>
        <item x="1756"/>
        <item x="1528"/>
        <item x="1146"/>
        <item x="1194"/>
        <item x="154"/>
        <item x="785"/>
        <item x="689"/>
        <item x="1100"/>
        <item x="1874"/>
        <item x="1736"/>
        <item x="365"/>
        <item x="1836"/>
        <item x="215"/>
        <item x="694"/>
        <item x="712"/>
        <item x="1881"/>
        <item x="569"/>
        <item x="1582"/>
        <item x="705"/>
        <item x="1964"/>
        <item x="426"/>
        <item x="1202"/>
        <item x="758"/>
        <item x="1695"/>
        <item x="522"/>
        <item x="635"/>
        <item x="1318"/>
        <item x="733"/>
        <item x="1903"/>
        <item x="1688"/>
        <item x="1842"/>
        <item x="639"/>
        <item x="1019"/>
        <item x="911"/>
        <item x="1378"/>
        <item x="1175"/>
        <item x="1657"/>
        <item x="1088"/>
        <item x="1747"/>
        <item x="87"/>
        <item x="1266"/>
        <item x="209"/>
        <item x="769"/>
        <item x="1833"/>
        <item x="862"/>
        <item x="1372"/>
        <item x="1384"/>
        <item x="185"/>
        <item x="1855"/>
        <item x="1469"/>
        <item x="579"/>
        <item x="1409"/>
        <item x="774"/>
        <item x="1928"/>
        <item x="1059"/>
        <item x="543"/>
        <item x="109"/>
        <item x="275"/>
        <item x="1391"/>
        <item x="600"/>
        <item x="933"/>
        <item x="1734"/>
        <item x="928"/>
        <item x="288"/>
        <item x="254"/>
        <item x="986"/>
        <item x="16"/>
        <item x="2090"/>
        <item x="912"/>
        <item x="897"/>
        <item x="396"/>
        <item x="1643"/>
        <item x="1682"/>
        <item x="1174"/>
        <item x="772"/>
        <item x="1662"/>
        <item x="1708"/>
        <item x="669"/>
        <item x="1973"/>
        <item x="686"/>
        <item x="1651"/>
        <item x="1781"/>
        <item x="658"/>
        <item x="907"/>
        <item x="289"/>
        <item x="1859"/>
        <item x="1427"/>
        <item x="847"/>
        <item x="576"/>
        <item x="231"/>
        <item x="179"/>
        <item x="1849"/>
        <item x="873"/>
        <item x="1831"/>
        <item x="1462"/>
        <item x="144"/>
        <item x="856"/>
        <item x="597"/>
        <item x="1360"/>
        <item x="160"/>
        <item x="802"/>
        <item x="1345"/>
        <item x="1396"/>
        <item x="1810"/>
        <item x="594"/>
        <item x="716"/>
        <item x="552"/>
        <item x="1987"/>
        <item x="937"/>
        <item x="581"/>
        <item x="645"/>
        <item x="1222"/>
        <item x="913"/>
        <item x="1869"/>
        <item x="129"/>
        <item x="898"/>
        <item x="696"/>
        <item x="374"/>
        <item x="1856"/>
        <item x="811"/>
        <item x="957"/>
        <item x="788"/>
        <item x="2033"/>
        <item x="1693"/>
        <item x="1240"/>
        <item x="1906"/>
        <item x="1093"/>
        <item x="2060"/>
        <item x="1235"/>
        <item x="409"/>
        <item x="1507"/>
        <item x="1808"/>
        <item x="596"/>
        <item x="1242"/>
        <item x="659"/>
        <item x="1232"/>
        <item x="1823"/>
        <item x="1475"/>
        <item x="1814"/>
        <item x="173"/>
        <item x="999"/>
        <item x="551"/>
        <item x="1295"/>
        <item x="1008"/>
        <item x="824"/>
        <item x="1895"/>
        <item x="1899"/>
        <item x="1807"/>
        <item x="556"/>
        <item x="94"/>
        <item x="493"/>
        <item x="1000"/>
        <item x="1079"/>
        <item x="241"/>
        <item x="702"/>
        <item x="303"/>
        <item x="1990"/>
        <item x="192"/>
        <item x="842"/>
        <item x="372"/>
        <item x="7"/>
        <item x="404"/>
        <item x="463"/>
        <item x="926"/>
        <item x="370"/>
        <item x="623"/>
        <item x="1159"/>
        <item x="1105"/>
        <item x="2073"/>
        <item x="264"/>
        <item x="442"/>
        <item x="1519"/>
        <item x="340"/>
        <item x="1860"/>
        <item x="1367"/>
        <item x="1386"/>
        <item x="60"/>
        <item x="648"/>
        <item x="1219"/>
        <item x="1140"/>
        <item x="819"/>
        <item x="967"/>
        <item x="295"/>
        <item x="477"/>
        <item x="677"/>
        <item x="375"/>
        <item x="444"/>
        <item x="1443"/>
        <item x="1690"/>
        <item x="1025"/>
        <item x="1870"/>
        <item x="836"/>
        <item x="168"/>
        <item x="1196"/>
        <item x="858"/>
        <item x="1626"/>
        <item x="1805"/>
        <item x="302"/>
        <item x="755"/>
        <item x="151"/>
        <item x="1981"/>
        <item x="369"/>
        <item x="808"/>
        <item x="1668"/>
        <item x="1211"/>
        <item x="1878"/>
        <item x="361"/>
        <item x="1361"/>
        <item x="460"/>
        <item x="1976"/>
        <item x="1586"/>
        <item x="1208"/>
        <item x="346"/>
        <item x="83"/>
        <item x="258"/>
        <item x="1700"/>
        <item x="1588"/>
        <item x="874"/>
        <item x="21"/>
        <item x="1663"/>
        <item x="2001"/>
        <item x="1007"/>
        <item x="1192"/>
        <item x="826"/>
        <item x="996"/>
        <item x="2105"/>
        <item x="1809"/>
        <item x="1850"/>
        <item x="451"/>
        <item x="1707"/>
        <item x="489"/>
        <item x="2115"/>
        <item x="268"/>
        <item x="945"/>
        <item x="1256"/>
        <item x="1080"/>
        <item x="2066"/>
        <item x="1473"/>
        <item x="1959"/>
        <item x="1914"/>
        <item x="441"/>
        <item x="657"/>
        <item x="679"/>
        <item x="1390"/>
        <item x="318"/>
        <item x="176"/>
        <item x="1773"/>
        <item x="70"/>
        <item x="791"/>
        <item x="1238"/>
        <item x="256"/>
        <item x="1293"/>
        <item x="1852"/>
        <item x="1721"/>
        <item x="817"/>
        <item x="1974"/>
        <item x="699"/>
        <item x="445"/>
        <item x="1254"/>
        <item x="177"/>
        <item x="338"/>
        <item x="1947"/>
        <item x="673"/>
        <item x="1713"/>
        <item x="961"/>
        <item x="1213"/>
        <item x="1675"/>
        <item x="1095"/>
        <item x="440"/>
        <item x="1523"/>
        <item x="91"/>
        <item x="240"/>
        <item x="888"/>
        <item x="1709"/>
        <item x="618"/>
        <item x="1887"/>
        <item x="403"/>
        <item x="468"/>
        <item x="1244"/>
        <item x="1136"/>
        <item x="2113"/>
        <item x="2011"/>
        <item x="1885"/>
        <item x="1930"/>
        <item x="1963"/>
        <item x="929"/>
        <item x="1081"/>
        <item x="1636"/>
        <item x="734"/>
        <item x="540"/>
        <item x="1735"/>
        <item x="750"/>
        <item x="134"/>
        <item x="920"/>
        <item x="1446"/>
        <item x="194"/>
        <item x="1496"/>
        <item x="1431"/>
        <item x="562"/>
        <item x="210"/>
        <item x="1187"/>
        <item x="368"/>
        <item x="846"/>
        <item x="2075"/>
        <item x="1189"/>
        <item x="222"/>
        <item x="495"/>
        <item x="905"/>
        <item x="2089"/>
        <item x="519"/>
        <item x="731"/>
        <item x="2092"/>
        <item x="79"/>
        <item x="1666"/>
        <item x="1892"/>
        <item x="748"/>
        <item x="896"/>
        <item x="1783"/>
        <item x="141"/>
        <item x="476"/>
        <item x="1280"/>
        <item x="1601"/>
        <item x="1279"/>
        <item x="2112"/>
        <item x="865"/>
        <item x="108"/>
        <item x="837"/>
        <item x="127"/>
        <item x="1354"/>
        <item x="1230"/>
        <item x="776"/>
        <item x="58"/>
        <item x="1994"/>
        <item x="2099"/>
        <item x="1592"/>
        <item x="1070"/>
        <item x="688"/>
        <item x="753"/>
        <item x="1815"/>
        <item x="140"/>
        <item x="852"/>
        <item x="2013"/>
        <item x="1840"/>
        <item x="448"/>
        <item x="1018"/>
        <item x="1210"/>
        <item x="1921"/>
        <item x="2109"/>
        <item x="27"/>
        <item x="2094"/>
        <item x="871"/>
        <item x="1388"/>
        <item x="283"/>
        <item x="2071"/>
        <item x="352"/>
        <item x="48"/>
        <item x="139"/>
        <item x="510"/>
        <item x="2106"/>
        <item x="1645"/>
        <item x="1738"/>
        <item x="1288"/>
        <item x="2070"/>
        <item x="916"/>
        <item x="221"/>
        <item x="1879"/>
        <item x="1115"/>
        <item x="189"/>
        <item x="284"/>
        <item x="882"/>
        <item x="978"/>
        <item x="1259"/>
        <item x="665"/>
        <item x="1116"/>
        <item x="1946"/>
        <item x="484"/>
        <item x="512"/>
        <item x="1866"/>
        <item x="1284"/>
        <item x="910"/>
        <item x="1889"/>
        <item x="1548"/>
        <item x="971"/>
        <item x="502"/>
        <item x="806"/>
        <item x="1791"/>
        <item x="384"/>
        <item x="1051"/>
        <item x="1340"/>
        <item x="1935"/>
        <item x="814"/>
        <item x="1750"/>
        <item x="1538"/>
        <item x="675"/>
        <item x="868"/>
        <item x="1004"/>
        <item x="1512"/>
        <item x="1066"/>
        <item x="1134"/>
        <item x="763"/>
        <item x="2020"/>
        <item x="93"/>
        <item x="1181"/>
        <item x="1151"/>
        <item x="1567"/>
        <item x="1257"/>
        <item x="397"/>
        <item x="1131"/>
        <item x="741"/>
        <item x="401"/>
        <item x="41"/>
        <item x="775"/>
        <item x="236"/>
        <item x="1961"/>
        <item x="1130"/>
        <item x="1042"/>
        <item x="766"/>
        <item x="1748"/>
        <item x="172"/>
        <item x="732"/>
        <item x="1529"/>
        <item x="2038"/>
        <item x="1346"/>
        <item x="1816"/>
        <item x="603"/>
        <item x="437"/>
        <item x="613"/>
        <item x="1501"/>
        <item x="342"/>
        <item x="123"/>
        <item x="903"/>
        <item x="692"/>
        <item x="408"/>
        <item x="1269"/>
        <item x="614"/>
        <item x="1854"/>
        <item x="462"/>
        <item x="553"/>
        <item x="1090"/>
        <item x="1784"/>
        <item x="707"/>
        <item x="1451"/>
        <item x="979"/>
        <item x="1420"/>
        <item x="936"/>
        <item x="1476"/>
        <item x="1176"/>
        <item x="660"/>
        <item x="5"/>
        <item x="36"/>
        <item x="1406"/>
        <item x="233"/>
        <item x="1113"/>
        <item x="407"/>
        <item x="488"/>
        <item x="1133"/>
        <item x="823"/>
        <item x="1423"/>
        <item x="621"/>
        <item x="2049"/>
        <item x="1993"/>
        <item x="277"/>
        <item x="279"/>
        <item x="864"/>
        <item x="319"/>
        <item x="1762"/>
        <item x="1302"/>
        <item x="443"/>
        <item x="1839"/>
        <item x="681"/>
        <item x="975"/>
        <item x="570"/>
        <item x="1170"/>
        <item x="720"/>
        <item x="1186"/>
        <item x="742"/>
        <item x="344"/>
        <item x="1197"/>
        <item x="44"/>
        <item x="1389"/>
        <item x="1009"/>
        <item x="915"/>
        <item x="2083"/>
        <item x="2081"/>
        <item x="1714"/>
        <item x="664"/>
        <item x="1560"/>
        <item x="1723"/>
        <item x="2097"/>
        <item x="2045"/>
        <item x="1795"/>
        <item x="1900"/>
        <item x="371"/>
        <item x="663"/>
        <item x="167"/>
        <item x="1777"/>
        <item x="1829"/>
        <item x="757"/>
        <item x="1557"/>
        <item x="599"/>
        <item x="1997"/>
        <item x="1670"/>
        <item x="638"/>
        <item x="671"/>
        <item x="249"/>
        <item x="1010"/>
        <item x="1767"/>
        <item x="786"/>
        <item x="797"/>
        <item x="481"/>
        <item x="213"/>
        <item x="1285"/>
        <item x="161"/>
        <item x="1064"/>
        <item x="1731"/>
        <item x="435"/>
        <item x="480"/>
        <item x="1149"/>
        <item x="582"/>
        <item x="1851"/>
        <item x="558"/>
        <item x="1296"/>
        <item x="830"/>
        <item x="796"/>
        <item x="1024"/>
        <item x="1097"/>
        <item x="1478"/>
        <item x="668"/>
        <item x="1198"/>
        <item x="428"/>
        <item x="1255"/>
        <item x="1904"/>
        <item x="1883"/>
        <item x="13"/>
        <item x="1944"/>
        <item x="232"/>
        <item x="447"/>
        <item x="1580"/>
        <item x="1737"/>
        <item x="947"/>
        <item x="1610"/>
        <item x="66"/>
        <item x="728"/>
        <item x="1920"/>
        <item x="902"/>
        <item x="1286"/>
        <item x="2102"/>
        <item x="219"/>
        <item x="1323"/>
        <item x="431"/>
        <item x="1317"/>
        <item x="1780"/>
        <item x="1579"/>
        <item x="1593"/>
        <item x="2028"/>
        <item x="331"/>
        <item x="1620"/>
        <item x="2032"/>
        <item x="1231"/>
        <item x="169"/>
        <item x="270"/>
        <item x="1570"/>
        <item x="534"/>
        <item x="1132"/>
        <item x="1518"/>
        <item x="420"/>
        <item x="1405"/>
        <item x="77"/>
        <item x="310"/>
        <item x="1092"/>
        <item x="1569"/>
        <item x="747"/>
        <item x="1919"/>
        <item x="985"/>
        <item x="794"/>
        <item x="163"/>
        <item x="1761"/>
        <item x="572"/>
        <item x="290"/>
        <item x="1087"/>
        <item x="367"/>
        <item x="1882"/>
        <item x="555"/>
        <item x="1539"/>
        <item x="1853"/>
        <item x="1226"/>
        <item x="2077"/>
        <item x="1995"/>
        <item x="388"/>
        <item x="879"/>
        <item x="1659"/>
        <item x="1706"/>
        <item x="1021"/>
        <item x="1988"/>
        <item x="63"/>
        <item x="250"/>
        <item x="1617"/>
        <item x="105"/>
        <item x="1811"/>
        <item x="1886"/>
        <item x="113"/>
        <item x="1711"/>
        <item x="1769"/>
        <item x="940"/>
        <item x="1506"/>
        <item x="1005"/>
        <item x="2091"/>
        <item x="1871"/>
        <item x="405"/>
        <item x="1996"/>
        <item x="461"/>
        <item x="964"/>
        <item x="1315"/>
        <item x="547"/>
        <item x="483"/>
        <item x="1718"/>
        <item x="494"/>
        <item x="1553"/>
        <item x="810"/>
        <item x="1373"/>
        <item x="1456"/>
        <item x="273"/>
        <item x="35"/>
        <item x="1992"/>
        <item x="1972"/>
        <item x="1364"/>
        <item x="789"/>
        <item x="23"/>
        <item x="1832"/>
        <item x="458"/>
        <item x="529"/>
        <item x="527"/>
        <item x="632"/>
        <item x="714"/>
        <item x="33"/>
        <item x="611"/>
        <item x="452"/>
        <item x="432"/>
        <item x="2072"/>
        <item x="2078"/>
        <item x="537"/>
        <item x="557"/>
        <item x="325"/>
        <item x="701"/>
        <item x="1546"/>
        <item x="1590"/>
        <item x="1328"/>
        <item x="1460"/>
        <item x="1165"/>
        <item x="1689"/>
        <item x="1374"/>
        <item x="347"/>
        <item x="1893"/>
        <item x="508"/>
        <item x="506"/>
        <item x="2087"/>
        <item x="812"/>
        <item x="1387"/>
        <item x="350"/>
        <item x="531"/>
        <item x="1429"/>
        <item x="1330"/>
        <item x="541"/>
        <item x="1710"/>
        <item x="593"/>
        <item x="1107"/>
        <item x="1156"/>
        <item x="118"/>
        <item x="1733"/>
        <item x="487"/>
        <item x="1949"/>
        <item x="759"/>
        <item x="825"/>
        <item x="1085"/>
        <item x="1135"/>
        <item x="1273"/>
        <item x="567"/>
        <item x="1861"/>
        <item x="1554"/>
        <item x="790"/>
        <item x="360"/>
        <item x="1193"/>
        <item x="1162"/>
        <item x="120"/>
        <item x="1264"/>
        <item x="1195"/>
        <item x="89"/>
        <item x="1138"/>
        <item x="84"/>
        <item x="1419"/>
        <item x="752"/>
        <item x="1525"/>
        <item x="564"/>
        <item x="341"/>
        <item x="923"/>
        <item x="1418"/>
        <item x="2014"/>
        <item x="1225"/>
        <item x="1841"/>
        <item x="1309"/>
        <item x="573"/>
        <item x="1514"/>
        <item x="833"/>
        <item x="1521"/>
        <item x="267"/>
        <item x="19"/>
        <item x="934"/>
        <item x="917"/>
        <item x="316"/>
        <item x="890"/>
        <item x="546"/>
        <item x="1800"/>
        <item x="101"/>
        <item x="1206"/>
        <item x="1041"/>
        <item x="1027"/>
        <item x="1122"/>
        <item x="674"/>
        <item x="1320"/>
        <item x="815"/>
        <item x="1760"/>
        <item x="525"/>
        <item x="883"/>
        <item x="470"/>
        <item x="78"/>
        <item x="88"/>
        <item x="1824"/>
        <item x="456"/>
        <item x="1322"/>
        <item x="976"/>
        <item x="1471"/>
        <item x="278"/>
        <item x="1687"/>
        <item x="148"/>
        <item x="1404"/>
        <item x="721"/>
        <item x="1422"/>
        <item x="628"/>
        <item x="382"/>
        <item x="924"/>
        <item x="904"/>
        <item x="301"/>
        <item x="1459"/>
        <item x="1442"/>
        <item x="1650"/>
        <item x="1812"/>
        <item x="533"/>
        <item x="1495"/>
        <item x="1625"/>
        <item x="1925"/>
        <item x="1927"/>
        <item x="2062"/>
        <item x="1953"/>
        <item x="1562"/>
        <item x="1724"/>
        <item x="1036"/>
        <item x="805"/>
        <item x="1430"/>
        <item x="455"/>
        <item x="901"/>
        <item x="1793"/>
        <item x="1652"/>
        <item x="1434"/>
        <item x="1033"/>
        <item x="1983"/>
        <item x="1324"/>
        <item x="1598"/>
        <item x="439"/>
        <item x="958"/>
        <item x="1931"/>
        <item x="834"/>
        <item x="1912"/>
        <item x="2019"/>
        <item x="1180"/>
        <item x="46"/>
        <item x="922"/>
        <item x="1103"/>
        <item x="1016"/>
        <item x="226"/>
        <item x="1969"/>
        <item x="1311"/>
        <item x="1967"/>
        <item x="1003"/>
        <item x="735"/>
        <item x="2059"/>
        <item x="1624"/>
        <item x="1803"/>
        <item x="745"/>
        <item x="438"/>
        <item x="683"/>
        <item x="991"/>
        <item x="1498"/>
        <item x="930"/>
        <item x="71"/>
        <item x="520"/>
        <item x="1618"/>
        <item x="380"/>
        <item x="1118"/>
        <item x="1978"/>
        <item x="1728"/>
        <item x="641"/>
        <item x="1545"/>
        <item x="1510"/>
        <item x="1053"/>
        <item x="1672"/>
        <item x="379"/>
        <item x="655"/>
        <item x="1676"/>
        <item x="1072"/>
        <item x="649"/>
        <item x="64"/>
        <item x="1252"/>
        <item x="75"/>
        <item x="1729"/>
        <item x="1573"/>
        <item x="729"/>
        <item x="1184"/>
        <item x="1535"/>
        <item x="2003"/>
        <item x="2067"/>
        <item x="880"/>
        <item x="238"/>
        <item x="1126"/>
        <item x="1274"/>
        <item x="359"/>
        <item x="1834"/>
        <item x="385"/>
        <item x="304"/>
        <item x="486"/>
        <item x="1940"/>
        <item x="1436"/>
        <item x="2051"/>
        <item x="1684"/>
        <item x="700"/>
        <item x="1110"/>
        <item x="1681"/>
        <item x="1752"/>
        <item x="321"/>
        <item x="1484"/>
        <item x="1084"/>
        <item x="1828"/>
        <item x="1913"/>
        <item x="773"/>
        <item x="1867"/>
        <item x="1918"/>
        <item x="1247"/>
        <item x="1289"/>
        <item x="469"/>
        <item x="1417"/>
        <item x="1052"/>
        <item x="715"/>
        <item x="2110"/>
        <item x="2069"/>
        <item x="949"/>
        <item x="592"/>
        <item x="1335"/>
        <item x="2039"/>
        <item x="1401"/>
        <item x="1305"/>
        <item x="1228"/>
        <item x="1945"/>
        <item x="1069"/>
        <item x="719"/>
        <item x="1178"/>
        <item x="1500"/>
        <item x="425"/>
        <item x="1185"/>
        <item x="228"/>
        <item x="2061"/>
        <item x="1727"/>
        <item x="1153"/>
        <item x="1968"/>
        <item x="1743"/>
        <item x="1402"/>
        <item x="17"/>
        <item x="1416"/>
        <item x="1161"/>
        <item x="661"/>
        <item x="286"/>
        <item x="807"/>
        <item x="2027"/>
        <item x="1558"/>
        <item x="116"/>
        <item x="1307"/>
        <item x="598"/>
        <item x="423"/>
        <item x="300"/>
        <item x="394"/>
        <item x="829"/>
        <item x="703"/>
        <item x="1937"/>
        <item x="1595"/>
        <item x="2026"/>
        <item x="1880"/>
        <item x="982"/>
        <item x="754"/>
        <item x="1632"/>
        <item x="20"/>
        <item x="2046"/>
        <item x="1303"/>
        <item x="1343"/>
        <item x="584"/>
        <item x="1191"/>
        <item x="1926"/>
        <item x="526"/>
        <item x="39"/>
        <item x="1306"/>
        <item x="595"/>
        <item x="40"/>
        <item x="69"/>
        <item x="95"/>
        <item x="1337"/>
        <item x="81"/>
        <item x="559"/>
        <item x="329"/>
        <item x="243"/>
        <item x="1547"/>
        <item x="1492"/>
        <item x="1965"/>
        <item x="1383"/>
        <item x="1300"/>
        <item x="726"/>
        <item x="1948"/>
        <item x="827"/>
        <item x="549"/>
        <item x="906"/>
        <item x="704"/>
        <item x="1658"/>
        <item x="1258"/>
        <item x="196"/>
        <item x="1884"/>
        <item x="637"/>
        <item x="1837"/>
        <item x="1763"/>
        <item x="1674"/>
        <item x="1602"/>
        <item x="1171"/>
        <item x="514"/>
        <item x="49"/>
        <item x="1623"/>
        <item x="993"/>
        <item x="224"/>
        <item x="730"/>
        <item x="565"/>
        <item x="662"/>
        <item x="206"/>
        <item x="1037"/>
        <item x="1575"/>
        <item x="509"/>
        <item x="695"/>
        <item x="987"/>
        <item x="1437"/>
        <item x="851"/>
        <item x="1771"/>
        <item x="1474"/>
        <item x="1248"/>
        <item x="1457"/>
        <item x="1511"/>
        <item x="538"/>
        <item x="1380"/>
        <item x="191"/>
        <item x="1982"/>
        <item x="566"/>
        <item x="501"/>
        <item x="1619"/>
        <item x="1182"/>
        <item x="1765"/>
        <item x="170"/>
        <item x="1221"/>
        <item x="1868"/>
        <item x="990"/>
        <item x="9"/>
        <item x="1333"/>
        <item x="1754"/>
        <item x="853"/>
        <item x="294"/>
        <item x="1143"/>
        <item x="931"/>
        <item x="740"/>
        <item x="778"/>
        <item x="960"/>
        <item x="1943"/>
        <item x="535"/>
        <item x="1589"/>
        <item x="820"/>
        <item x="207"/>
        <item x="878"/>
        <item x="787"/>
        <item x="262"/>
        <item x="126"/>
        <item x="1455"/>
        <item x="32"/>
        <item x="1591"/>
        <item x="884"/>
        <item x="1486"/>
        <item x="944"/>
        <item x="357"/>
        <item x="850"/>
        <item x="335"/>
        <item x="1544"/>
        <item x="1480"/>
        <item x="230"/>
        <item x="1465"/>
        <item x="2040"/>
        <item x="1536"/>
        <item x="867"/>
        <item x="184"/>
        <item x="1609"/>
        <item x="1382"/>
        <item x="1299"/>
        <item x="248"/>
        <item x="1835"/>
        <item x="133"/>
        <item x="395"/>
        <item x="1424"/>
        <item x="1061"/>
        <item x="1910"/>
        <item x="1407"/>
        <item x="1901"/>
        <item x="844"/>
        <item x="107"/>
        <item x="2005"/>
        <item x="779"/>
        <item x="199"/>
        <item x="1656"/>
        <item x="1336"/>
        <item x="2052"/>
        <item x="1048"/>
        <item x="854"/>
        <item x="2063"/>
        <item x="1572"/>
        <item x="6"/>
        <item x="1314"/>
        <item x="1606"/>
        <item x="130"/>
        <item x="1433"/>
        <item x="932"/>
        <item x="244"/>
        <item x="251"/>
        <item x="994"/>
        <item x="1358"/>
        <item x="881"/>
        <item x="381"/>
        <item x="615"/>
        <item x="780"/>
        <item x="1022"/>
        <item x="1890"/>
        <item x="298"/>
        <item x="1326"/>
        <item x="777"/>
        <item x="1334"/>
        <item x="1732"/>
        <item x="491"/>
        <item x="617"/>
        <item x="1822"/>
        <item x="925"/>
        <item x="2058"/>
        <item x="1344"/>
        <item x="50"/>
        <item x="1821"/>
        <item x="1576"/>
        <item x="1155"/>
        <item x="65"/>
        <item x="1265"/>
        <item x="1661"/>
        <item x="1845"/>
        <item x="561"/>
        <item x="1017"/>
        <item x="1587"/>
        <item x="142"/>
        <item x="697"/>
        <item x="314"/>
        <item x="1600"/>
        <item x="1513"/>
        <item x="1376"/>
        <item x="607"/>
        <item x="1063"/>
        <item x="0"/>
        <item x="1203"/>
        <item x="1741"/>
        <item x="1527"/>
        <item x="86"/>
        <item x="2082"/>
        <item x="1065"/>
        <item x="100"/>
        <item x="55"/>
        <item x="1012"/>
        <item x="989"/>
        <item x="24"/>
        <item x="601"/>
        <item x="260"/>
        <item x="640"/>
        <item x="1099"/>
        <item x="1375"/>
        <item x="1199"/>
        <item x="973"/>
        <item x="1653"/>
        <item x="297"/>
        <item x="941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workbookViewId="0">
      <selection activeCell="E1343" sqref="E1343"/>
    </sheetView>
  </sheetViews>
  <sheetFormatPr defaultRowHeight="14.4" x14ac:dyDescent="0.55000000000000004"/>
  <cols>
    <col min="2" max="2" width="14.89453125" customWidth="1"/>
    <col min="5" max="5" width="10.15625" bestFit="1" customWidth="1"/>
    <col min="8" max="8" width="10.15625" bestFit="1" customWidth="1"/>
  </cols>
  <sheetData>
    <row r="1" spans="1:8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2" t="s">
        <v>1206</v>
      </c>
      <c r="F1" s="2" t="s">
        <v>1207</v>
      </c>
      <c r="H1" s="4">
        <f>MAX(E:E)</f>
        <v>45029</v>
      </c>
    </row>
    <row r="2" spans="1:8" x14ac:dyDescent="0.55000000000000004">
      <c r="A2">
        <v>1.820327599306591E+19</v>
      </c>
      <c r="B2" t="s">
        <v>4</v>
      </c>
      <c r="C2" t="s">
        <v>5</v>
      </c>
      <c r="D2">
        <v>2412</v>
      </c>
      <c r="E2" s="4">
        <f>DATEVALUE(B2)</f>
        <v>45001</v>
      </c>
      <c r="F2">
        <f>$H$1-E2</f>
        <v>28</v>
      </c>
    </row>
    <row r="3" spans="1:8" x14ac:dyDescent="0.55000000000000004">
      <c r="A3">
        <v>7.1895242910988739E+18</v>
      </c>
      <c r="B3" t="s">
        <v>6</v>
      </c>
      <c r="C3" t="s">
        <v>7</v>
      </c>
      <c r="D3">
        <v>690</v>
      </c>
      <c r="E3" s="4">
        <f t="shared" ref="E3:E66" si="0">DATEVALUE(B3)</f>
        <v>44591</v>
      </c>
      <c r="F3">
        <f t="shared" ref="F3:F66" si="1">$H$1-E3</f>
        <v>438</v>
      </c>
    </row>
    <row r="4" spans="1:8" x14ac:dyDescent="0.55000000000000004">
      <c r="A4">
        <v>4.3544470910002161E+18</v>
      </c>
      <c r="B4" t="s">
        <v>8</v>
      </c>
      <c r="C4" t="s">
        <v>7</v>
      </c>
      <c r="D4">
        <v>7500</v>
      </c>
      <c r="E4" s="4">
        <f t="shared" si="0"/>
        <v>44067</v>
      </c>
      <c r="F4">
        <f t="shared" si="1"/>
        <v>962</v>
      </c>
    </row>
    <row r="5" spans="1:8" x14ac:dyDescent="0.55000000000000004">
      <c r="A5">
        <v>3.0717687172480732E+18</v>
      </c>
      <c r="B5" t="s">
        <v>9</v>
      </c>
      <c r="C5" t="s">
        <v>10</v>
      </c>
      <c r="D5">
        <v>1800</v>
      </c>
      <c r="E5" s="4">
        <f t="shared" si="0"/>
        <v>44597</v>
      </c>
      <c r="F5">
        <f t="shared" si="1"/>
        <v>432</v>
      </c>
    </row>
    <row r="6" spans="1:8" x14ac:dyDescent="0.55000000000000004">
      <c r="A6">
        <v>6.3309673559597763E+18</v>
      </c>
      <c r="B6" t="s">
        <v>11</v>
      </c>
      <c r="C6" t="s">
        <v>7</v>
      </c>
      <c r="D6">
        <v>1422</v>
      </c>
      <c r="E6" s="4">
        <f t="shared" si="0"/>
        <v>44923</v>
      </c>
      <c r="F6">
        <f t="shared" si="1"/>
        <v>106</v>
      </c>
    </row>
    <row r="7" spans="1:8" x14ac:dyDescent="0.55000000000000004">
      <c r="A7">
        <v>1.2672251890430099E+19</v>
      </c>
      <c r="B7" t="s">
        <v>12</v>
      </c>
      <c r="C7" t="s">
        <v>13</v>
      </c>
      <c r="D7">
        <v>686</v>
      </c>
      <c r="E7" s="4">
        <f t="shared" si="0"/>
        <v>45010</v>
      </c>
      <c r="F7">
        <f t="shared" si="1"/>
        <v>19</v>
      </c>
    </row>
    <row r="8" spans="1:8" x14ac:dyDescent="0.55000000000000004">
      <c r="A8">
        <v>1.7784724407515521E+19</v>
      </c>
      <c r="B8" t="s">
        <v>14</v>
      </c>
      <c r="C8" t="s">
        <v>13</v>
      </c>
      <c r="D8">
        <v>251</v>
      </c>
      <c r="E8" s="4">
        <f t="shared" si="0"/>
        <v>44832</v>
      </c>
      <c r="F8">
        <f t="shared" si="1"/>
        <v>197</v>
      </c>
    </row>
    <row r="9" spans="1:8" x14ac:dyDescent="0.55000000000000004">
      <c r="A9">
        <v>1.0208256641071489E+19</v>
      </c>
      <c r="B9" t="s">
        <v>15</v>
      </c>
      <c r="C9" t="s">
        <v>5</v>
      </c>
      <c r="D9">
        <v>778</v>
      </c>
      <c r="E9" s="4">
        <f t="shared" si="0"/>
        <v>44212</v>
      </c>
      <c r="F9">
        <f t="shared" si="1"/>
        <v>817</v>
      </c>
    </row>
    <row r="10" spans="1:8" x14ac:dyDescent="0.55000000000000004">
      <c r="A10">
        <v>2.6685497503073772E+18</v>
      </c>
      <c r="B10" t="s">
        <v>16</v>
      </c>
      <c r="C10" t="s">
        <v>13</v>
      </c>
      <c r="D10">
        <v>4218</v>
      </c>
      <c r="E10" s="4">
        <f t="shared" si="0"/>
        <v>44465</v>
      </c>
      <c r="F10">
        <f t="shared" si="1"/>
        <v>564</v>
      </c>
    </row>
    <row r="11" spans="1:8" x14ac:dyDescent="0.55000000000000004">
      <c r="A11">
        <v>1.736292643533686E+19</v>
      </c>
      <c r="B11" t="s">
        <v>12</v>
      </c>
      <c r="C11" t="s">
        <v>13</v>
      </c>
      <c r="D11">
        <v>1420</v>
      </c>
      <c r="E11" s="4">
        <f t="shared" si="0"/>
        <v>45010</v>
      </c>
      <c r="F11">
        <f t="shared" si="1"/>
        <v>19</v>
      </c>
    </row>
    <row r="12" spans="1:8" x14ac:dyDescent="0.55000000000000004">
      <c r="A12">
        <v>5.9912185336162427E+18</v>
      </c>
      <c r="B12" t="s">
        <v>17</v>
      </c>
      <c r="C12" t="s">
        <v>5</v>
      </c>
      <c r="D12">
        <v>690</v>
      </c>
      <c r="E12" s="4">
        <f t="shared" si="0"/>
        <v>44251</v>
      </c>
      <c r="F12">
        <f t="shared" si="1"/>
        <v>778</v>
      </c>
    </row>
    <row r="13" spans="1:8" x14ac:dyDescent="0.55000000000000004">
      <c r="A13">
        <v>5.306007669942868E+18</v>
      </c>
      <c r="B13" t="s">
        <v>18</v>
      </c>
      <c r="C13" t="s">
        <v>13</v>
      </c>
      <c r="D13">
        <v>1840</v>
      </c>
      <c r="E13" s="4">
        <f t="shared" si="0"/>
        <v>44982</v>
      </c>
      <c r="F13">
        <f t="shared" si="1"/>
        <v>47</v>
      </c>
    </row>
    <row r="14" spans="1:8" x14ac:dyDescent="0.55000000000000004">
      <c r="A14">
        <v>6.2331944931402336E+16</v>
      </c>
      <c r="B14" t="s">
        <v>19</v>
      </c>
      <c r="C14" t="s">
        <v>10</v>
      </c>
      <c r="D14">
        <v>198</v>
      </c>
      <c r="E14" s="4">
        <f t="shared" si="0"/>
        <v>44739</v>
      </c>
      <c r="F14">
        <f t="shared" si="1"/>
        <v>290</v>
      </c>
    </row>
    <row r="15" spans="1:8" x14ac:dyDescent="0.55000000000000004">
      <c r="A15">
        <v>1.334954948546442E+19</v>
      </c>
      <c r="B15" t="s">
        <v>20</v>
      </c>
      <c r="C15" t="s">
        <v>13</v>
      </c>
      <c r="D15">
        <v>3519</v>
      </c>
      <c r="E15" s="4">
        <f t="shared" si="0"/>
        <v>44423</v>
      </c>
      <c r="F15">
        <f t="shared" si="1"/>
        <v>606</v>
      </c>
    </row>
    <row r="16" spans="1:8" x14ac:dyDescent="0.55000000000000004">
      <c r="A16">
        <v>8.6074183131094415E+18</v>
      </c>
      <c r="B16" t="s">
        <v>21</v>
      </c>
      <c r="C16" t="s">
        <v>13</v>
      </c>
      <c r="D16">
        <v>3310</v>
      </c>
      <c r="E16" s="4">
        <f t="shared" si="0"/>
        <v>44563</v>
      </c>
      <c r="F16">
        <f t="shared" si="1"/>
        <v>466</v>
      </c>
    </row>
    <row r="17" spans="1:6" x14ac:dyDescent="0.55000000000000004">
      <c r="A17">
        <v>3.6529955794416147E+17</v>
      </c>
      <c r="B17" t="s">
        <v>22</v>
      </c>
      <c r="C17" t="s">
        <v>10</v>
      </c>
      <c r="D17">
        <v>1708</v>
      </c>
      <c r="E17" s="4">
        <f t="shared" si="0"/>
        <v>44560</v>
      </c>
      <c r="F17">
        <f t="shared" si="1"/>
        <v>469</v>
      </c>
    </row>
    <row r="18" spans="1:6" x14ac:dyDescent="0.55000000000000004">
      <c r="A18">
        <v>9.3420725521030205E+18</v>
      </c>
      <c r="B18" t="s">
        <v>23</v>
      </c>
      <c r="C18" t="s">
        <v>13</v>
      </c>
      <c r="D18">
        <v>38433</v>
      </c>
      <c r="E18" s="4">
        <f t="shared" si="0"/>
        <v>44337</v>
      </c>
      <c r="F18">
        <f t="shared" si="1"/>
        <v>692</v>
      </c>
    </row>
    <row r="19" spans="1:6" x14ac:dyDescent="0.55000000000000004">
      <c r="A19">
        <v>1.6500053159019121E+19</v>
      </c>
      <c r="B19" t="s">
        <v>24</v>
      </c>
      <c r="C19" t="s">
        <v>10</v>
      </c>
      <c r="D19">
        <v>2495</v>
      </c>
      <c r="E19" s="4">
        <f t="shared" si="0"/>
        <v>44527</v>
      </c>
      <c r="F19">
        <f t="shared" si="1"/>
        <v>502</v>
      </c>
    </row>
    <row r="20" spans="1:6" x14ac:dyDescent="0.55000000000000004">
      <c r="A20">
        <v>6.3662245030475868E+18</v>
      </c>
      <c r="B20" t="s">
        <v>25</v>
      </c>
      <c r="C20" t="s">
        <v>26</v>
      </c>
      <c r="D20">
        <v>1189</v>
      </c>
      <c r="E20" s="4">
        <f t="shared" si="0"/>
        <v>44976</v>
      </c>
      <c r="F20">
        <f t="shared" si="1"/>
        <v>53</v>
      </c>
    </row>
    <row r="21" spans="1:6" x14ac:dyDescent="0.55000000000000004">
      <c r="A21">
        <v>1.495961101144532E+19</v>
      </c>
      <c r="B21" t="s">
        <v>27</v>
      </c>
      <c r="C21" t="s">
        <v>26</v>
      </c>
      <c r="D21">
        <v>229</v>
      </c>
      <c r="E21" s="4">
        <f t="shared" si="0"/>
        <v>44451</v>
      </c>
      <c r="F21">
        <f t="shared" si="1"/>
        <v>578</v>
      </c>
    </row>
    <row r="22" spans="1:6" x14ac:dyDescent="0.55000000000000004">
      <c r="A22">
        <v>1.670911701449976E+19</v>
      </c>
      <c r="B22" t="s">
        <v>28</v>
      </c>
      <c r="C22" t="s">
        <v>13</v>
      </c>
      <c r="D22">
        <v>369</v>
      </c>
      <c r="E22" s="4">
        <f t="shared" si="0"/>
        <v>44360</v>
      </c>
      <c r="F22">
        <f t="shared" si="1"/>
        <v>669</v>
      </c>
    </row>
    <row r="23" spans="1:6" x14ac:dyDescent="0.55000000000000004">
      <c r="A23">
        <v>1.0796066666527969E+19</v>
      </c>
      <c r="B23" t="s">
        <v>29</v>
      </c>
      <c r="C23" t="s">
        <v>7</v>
      </c>
      <c r="D23">
        <v>1590</v>
      </c>
      <c r="E23" s="4">
        <f t="shared" si="0"/>
        <v>44536</v>
      </c>
      <c r="F23">
        <f t="shared" si="1"/>
        <v>493</v>
      </c>
    </row>
    <row r="24" spans="1:6" x14ac:dyDescent="0.55000000000000004">
      <c r="A24">
        <v>5.6918524632912978E+18</v>
      </c>
      <c r="B24" t="s">
        <v>30</v>
      </c>
      <c r="C24" t="s">
        <v>10</v>
      </c>
      <c r="D24">
        <v>3288</v>
      </c>
      <c r="E24" s="4">
        <f t="shared" si="0"/>
        <v>44954</v>
      </c>
      <c r="F24">
        <f t="shared" si="1"/>
        <v>75</v>
      </c>
    </row>
    <row r="25" spans="1:6" x14ac:dyDescent="0.55000000000000004">
      <c r="A25">
        <v>1.4262226225398641E+19</v>
      </c>
      <c r="B25" t="s">
        <v>31</v>
      </c>
      <c r="C25" t="s">
        <v>13</v>
      </c>
      <c r="D25">
        <v>3074</v>
      </c>
      <c r="E25" s="4">
        <f t="shared" si="0"/>
        <v>43814</v>
      </c>
      <c r="F25">
        <f t="shared" si="1"/>
        <v>1215</v>
      </c>
    </row>
    <row r="26" spans="1:6" x14ac:dyDescent="0.55000000000000004">
      <c r="A26">
        <v>1.83139076252951E+19</v>
      </c>
      <c r="B26" t="s">
        <v>32</v>
      </c>
      <c r="C26" t="s">
        <v>10</v>
      </c>
      <c r="D26">
        <v>634</v>
      </c>
      <c r="E26" s="4">
        <f t="shared" si="0"/>
        <v>44516</v>
      </c>
      <c r="F26">
        <f t="shared" si="1"/>
        <v>513</v>
      </c>
    </row>
    <row r="27" spans="1:6" x14ac:dyDescent="0.55000000000000004">
      <c r="A27">
        <v>3.911655942259586E+18</v>
      </c>
      <c r="B27" t="s">
        <v>33</v>
      </c>
      <c r="C27" t="s">
        <v>13</v>
      </c>
      <c r="D27">
        <v>1250</v>
      </c>
      <c r="E27" s="4">
        <f t="shared" si="0"/>
        <v>44013</v>
      </c>
      <c r="F27">
        <f t="shared" si="1"/>
        <v>1016</v>
      </c>
    </row>
    <row r="28" spans="1:6" x14ac:dyDescent="0.55000000000000004">
      <c r="A28">
        <v>2.344110911434175E+18</v>
      </c>
      <c r="B28" t="s">
        <v>34</v>
      </c>
      <c r="C28" t="s">
        <v>13</v>
      </c>
      <c r="D28">
        <v>19740</v>
      </c>
      <c r="E28" s="4">
        <f t="shared" si="0"/>
        <v>44934</v>
      </c>
      <c r="F28">
        <f t="shared" si="1"/>
        <v>95</v>
      </c>
    </row>
    <row r="29" spans="1:6" x14ac:dyDescent="0.55000000000000004">
      <c r="A29">
        <v>1.1816606548421321E+19</v>
      </c>
      <c r="B29" t="s">
        <v>35</v>
      </c>
      <c r="C29" t="s">
        <v>10</v>
      </c>
      <c r="D29">
        <v>2086</v>
      </c>
      <c r="E29" s="4">
        <f t="shared" si="0"/>
        <v>44053</v>
      </c>
      <c r="F29">
        <f t="shared" si="1"/>
        <v>976</v>
      </c>
    </row>
    <row r="30" spans="1:6" x14ac:dyDescent="0.55000000000000004">
      <c r="A30">
        <v>2.7738114444906752E+18</v>
      </c>
      <c r="B30" t="s">
        <v>36</v>
      </c>
      <c r="C30" t="s">
        <v>13</v>
      </c>
      <c r="D30">
        <v>969</v>
      </c>
      <c r="E30" s="4">
        <f t="shared" si="0"/>
        <v>44808</v>
      </c>
      <c r="F30">
        <f t="shared" si="1"/>
        <v>221</v>
      </c>
    </row>
    <row r="31" spans="1:6" x14ac:dyDescent="0.55000000000000004">
      <c r="A31">
        <v>5.7520093369095059E+17</v>
      </c>
      <c r="B31" t="s">
        <v>37</v>
      </c>
      <c r="C31" t="s">
        <v>10</v>
      </c>
      <c r="D31">
        <v>504</v>
      </c>
      <c r="E31" s="4">
        <f t="shared" si="0"/>
        <v>44663</v>
      </c>
      <c r="F31">
        <f t="shared" si="1"/>
        <v>366</v>
      </c>
    </row>
    <row r="32" spans="1:6" x14ac:dyDescent="0.55000000000000004">
      <c r="A32">
        <v>6.8786533844441723E+18</v>
      </c>
      <c r="B32" t="s">
        <v>38</v>
      </c>
      <c r="C32" t="s">
        <v>10</v>
      </c>
      <c r="D32">
        <v>280</v>
      </c>
      <c r="E32" s="4">
        <f t="shared" si="0"/>
        <v>44541</v>
      </c>
      <c r="F32">
        <f t="shared" si="1"/>
        <v>488</v>
      </c>
    </row>
    <row r="33" spans="1:6" x14ac:dyDescent="0.55000000000000004">
      <c r="A33">
        <v>5.7976081621662054E+18</v>
      </c>
      <c r="B33" t="s">
        <v>39</v>
      </c>
      <c r="C33" t="s">
        <v>7</v>
      </c>
      <c r="D33">
        <v>690</v>
      </c>
      <c r="E33" s="4">
        <f t="shared" si="0"/>
        <v>44285</v>
      </c>
      <c r="F33">
        <f t="shared" si="1"/>
        <v>744</v>
      </c>
    </row>
    <row r="34" spans="1:6" x14ac:dyDescent="0.55000000000000004">
      <c r="A34">
        <v>1.751723558495684E+19</v>
      </c>
      <c r="B34" t="s">
        <v>40</v>
      </c>
      <c r="C34" t="s">
        <v>10</v>
      </c>
      <c r="D34">
        <v>1733</v>
      </c>
      <c r="E34" s="4">
        <f t="shared" si="0"/>
        <v>44990</v>
      </c>
      <c r="F34">
        <f t="shared" si="1"/>
        <v>39</v>
      </c>
    </row>
    <row r="35" spans="1:6" x14ac:dyDescent="0.55000000000000004">
      <c r="A35">
        <v>1.430480357151803E+19</v>
      </c>
      <c r="B35" t="s">
        <v>41</v>
      </c>
      <c r="C35" t="s">
        <v>7</v>
      </c>
      <c r="D35">
        <v>633</v>
      </c>
      <c r="E35" s="4">
        <f t="shared" si="0"/>
        <v>44346</v>
      </c>
      <c r="F35">
        <f t="shared" si="1"/>
        <v>683</v>
      </c>
    </row>
    <row r="36" spans="1:6" x14ac:dyDescent="0.55000000000000004">
      <c r="A36">
        <v>5.3973038049061745E+18</v>
      </c>
      <c r="B36" t="s">
        <v>42</v>
      </c>
      <c r="C36" t="s">
        <v>5</v>
      </c>
      <c r="D36">
        <v>99289.1</v>
      </c>
      <c r="E36" s="4">
        <f t="shared" si="0"/>
        <v>43353</v>
      </c>
      <c r="F36">
        <f t="shared" si="1"/>
        <v>1676</v>
      </c>
    </row>
    <row r="37" spans="1:6" x14ac:dyDescent="0.55000000000000004">
      <c r="A37">
        <v>1.421415178824958E+19</v>
      </c>
      <c r="B37" t="s">
        <v>43</v>
      </c>
      <c r="C37" t="s">
        <v>10</v>
      </c>
      <c r="D37">
        <v>238</v>
      </c>
      <c r="E37" s="4">
        <f t="shared" si="0"/>
        <v>44545</v>
      </c>
      <c r="F37">
        <f t="shared" si="1"/>
        <v>484</v>
      </c>
    </row>
    <row r="38" spans="1:6" x14ac:dyDescent="0.55000000000000004">
      <c r="A38">
        <v>1.2685288237024381E+19</v>
      </c>
      <c r="B38" t="s">
        <v>44</v>
      </c>
      <c r="C38" t="s">
        <v>26</v>
      </c>
      <c r="D38">
        <v>79</v>
      </c>
      <c r="E38" s="4">
        <f t="shared" si="0"/>
        <v>44867</v>
      </c>
      <c r="F38">
        <f t="shared" si="1"/>
        <v>162</v>
      </c>
    </row>
    <row r="39" spans="1:6" x14ac:dyDescent="0.55000000000000004">
      <c r="A39">
        <v>6.1294857726784379E+18</v>
      </c>
      <c r="B39" t="s">
        <v>45</v>
      </c>
      <c r="C39" t="s">
        <v>46</v>
      </c>
      <c r="D39">
        <v>69</v>
      </c>
      <c r="E39" s="4">
        <f t="shared" si="0"/>
        <v>44331</v>
      </c>
      <c r="F39">
        <f t="shared" si="1"/>
        <v>698</v>
      </c>
    </row>
    <row r="40" spans="1:6" x14ac:dyDescent="0.55000000000000004">
      <c r="A40">
        <v>5.3732341107030211E+18</v>
      </c>
      <c r="B40" t="s">
        <v>47</v>
      </c>
      <c r="C40" t="s">
        <v>46</v>
      </c>
      <c r="D40">
        <v>209</v>
      </c>
      <c r="E40" s="4">
        <f t="shared" si="0"/>
        <v>44588</v>
      </c>
      <c r="F40">
        <f t="shared" si="1"/>
        <v>441</v>
      </c>
    </row>
    <row r="41" spans="1:6" x14ac:dyDescent="0.55000000000000004">
      <c r="A41">
        <v>1.676357141237368E+19</v>
      </c>
      <c r="B41" t="s">
        <v>48</v>
      </c>
      <c r="C41" t="s">
        <v>7</v>
      </c>
      <c r="D41">
        <v>48</v>
      </c>
      <c r="E41" s="4">
        <f t="shared" si="0"/>
        <v>44817</v>
      </c>
      <c r="F41">
        <f t="shared" si="1"/>
        <v>212</v>
      </c>
    </row>
    <row r="42" spans="1:6" x14ac:dyDescent="0.55000000000000004">
      <c r="A42">
        <v>1.6777193568567321E+19</v>
      </c>
      <c r="B42" t="s">
        <v>49</v>
      </c>
      <c r="C42" t="s">
        <v>50</v>
      </c>
      <c r="D42">
        <v>232</v>
      </c>
      <c r="E42" s="4">
        <f t="shared" si="0"/>
        <v>44134</v>
      </c>
      <c r="F42">
        <f t="shared" si="1"/>
        <v>895</v>
      </c>
    </row>
    <row r="43" spans="1:6" x14ac:dyDescent="0.55000000000000004">
      <c r="A43">
        <v>1.240325528226262E+19</v>
      </c>
      <c r="B43" t="s">
        <v>51</v>
      </c>
      <c r="C43" t="s">
        <v>10</v>
      </c>
      <c r="D43">
        <v>939</v>
      </c>
      <c r="E43" s="4">
        <f t="shared" si="0"/>
        <v>44310</v>
      </c>
      <c r="F43">
        <f t="shared" si="1"/>
        <v>719</v>
      </c>
    </row>
    <row r="44" spans="1:6" x14ac:dyDescent="0.55000000000000004">
      <c r="A44">
        <v>2.0771841791762591E+18</v>
      </c>
      <c r="B44" t="s">
        <v>52</v>
      </c>
      <c r="C44" t="s">
        <v>10</v>
      </c>
      <c r="D44">
        <v>690</v>
      </c>
      <c r="E44" s="4">
        <f t="shared" si="0"/>
        <v>44896</v>
      </c>
      <c r="F44">
        <f t="shared" si="1"/>
        <v>133</v>
      </c>
    </row>
    <row r="45" spans="1:6" x14ac:dyDescent="0.55000000000000004">
      <c r="A45">
        <v>4.1851863206250301E+18</v>
      </c>
      <c r="B45" t="s">
        <v>53</v>
      </c>
      <c r="C45" t="s">
        <v>13</v>
      </c>
      <c r="D45">
        <v>0</v>
      </c>
      <c r="E45" s="4">
        <f t="shared" si="0"/>
        <v>44866</v>
      </c>
      <c r="F45">
        <f t="shared" si="1"/>
        <v>163</v>
      </c>
    </row>
    <row r="46" spans="1:6" x14ac:dyDescent="0.55000000000000004">
      <c r="A46">
        <v>1.28627772289622E+19</v>
      </c>
      <c r="B46" t="s">
        <v>54</v>
      </c>
      <c r="C46" t="s">
        <v>13</v>
      </c>
      <c r="D46">
        <v>1516</v>
      </c>
      <c r="E46" s="4">
        <f t="shared" si="0"/>
        <v>44943</v>
      </c>
      <c r="F46">
        <f t="shared" si="1"/>
        <v>86</v>
      </c>
    </row>
    <row r="47" spans="1:6" x14ac:dyDescent="0.55000000000000004">
      <c r="A47">
        <v>1.5840800185098491E+18</v>
      </c>
      <c r="B47" t="s">
        <v>55</v>
      </c>
      <c r="C47" t="s">
        <v>46</v>
      </c>
      <c r="D47">
        <v>1388</v>
      </c>
      <c r="E47" s="4">
        <f t="shared" si="0"/>
        <v>45004</v>
      </c>
      <c r="F47">
        <f t="shared" si="1"/>
        <v>25</v>
      </c>
    </row>
    <row r="48" spans="1:6" x14ac:dyDescent="0.55000000000000004">
      <c r="A48">
        <v>1.5574239814710999E+19</v>
      </c>
      <c r="B48" t="s">
        <v>56</v>
      </c>
      <c r="C48" t="s">
        <v>50</v>
      </c>
      <c r="D48">
        <v>29</v>
      </c>
      <c r="E48" s="4">
        <f t="shared" si="0"/>
        <v>44542</v>
      </c>
      <c r="F48">
        <f t="shared" si="1"/>
        <v>487</v>
      </c>
    </row>
    <row r="49" spans="1:6" x14ac:dyDescent="0.55000000000000004">
      <c r="A49">
        <v>7.2076794550135798E+18</v>
      </c>
      <c r="B49" t="s">
        <v>57</v>
      </c>
      <c r="C49" t="s">
        <v>7</v>
      </c>
      <c r="D49">
        <v>156</v>
      </c>
      <c r="E49" s="4">
        <f t="shared" si="0"/>
        <v>44021</v>
      </c>
      <c r="F49">
        <f t="shared" si="1"/>
        <v>1008</v>
      </c>
    </row>
    <row r="50" spans="1:6" x14ac:dyDescent="0.55000000000000004">
      <c r="A50">
        <v>1.1886913938454659E+19</v>
      </c>
      <c r="B50" t="s">
        <v>58</v>
      </c>
      <c r="C50" t="s">
        <v>7</v>
      </c>
      <c r="D50">
        <v>207</v>
      </c>
      <c r="E50" s="4">
        <f t="shared" si="0"/>
        <v>44381</v>
      </c>
      <c r="F50">
        <f t="shared" si="1"/>
        <v>648</v>
      </c>
    </row>
    <row r="51" spans="1:6" x14ac:dyDescent="0.55000000000000004">
      <c r="A51">
        <v>1.7064670473445911E+19</v>
      </c>
      <c r="B51" t="s">
        <v>59</v>
      </c>
      <c r="C51" t="s">
        <v>10</v>
      </c>
      <c r="D51">
        <v>946</v>
      </c>
      <c r="E51" s="4">
        <f t="shared" si="0"/>
        <v>43882</v>
      </c>
      <c r="F51">
        <f t="shared" si="1"/>
        <v>1147</v>
      </c>
    </row>
    <row r="52" spans="1:6" x14ac:dyDescent="0.55000000000000004">
      <c r="A52">
        <v>1.802287598892639E+19</v>
      </c>
      <c r="B52" t="s">
        <v>60</v>
      </c>
      <c r="C52" t="s">
        <v>7</v>
      </c>
      <c r="D52">
        <v>519</v>
      </c>
      <c r="E52" s="4">
        <f t="shared" si="0"/>
        <v>44335</v>
      </c>
      <c r="F52">
        <f t="shared" si="1"/>
        <v>694</v>
      </c>
    </row>
    <row r="53" spans="1:6" x14ac:dyDescent="0.55000000000000004">
      <c r="A53">
        <v>5.2922210755784581E+18</v>
      </c>
      <c r="B53" t="s">
        <v>32</v>
      </c>
      <c r="C53" t="s">
        <v>13</v>
      </c>
      <c r="D53">
        <v>847</v>
      </c>
      <c r="E53" s="4">
        <f t="shared" si="0"/>
        <v>44516</v>
      </c>
      <c r="F53">
        <f t="shared" si="1"/>
        <v>513</v>
      </c>
    </row>
    <row r="54" spans="1:6" x14ac:dyDescent="0.55000000000000004">
      <c r="A54">
        <v>5.6058152256816343E+18</v>
      </c>
      <c r="B54" t="s">
        <v>61</v>
      </c>
      <c r="C54" t="s">
        <v>50</v>
      </c>
      <c r="D54">
        <v>147</v>
      </c>
      <c r="E54" s="4">
        <f t="shared" si="0"/>
        <v>44894</v>
      </c>
      <c r="F54">
        <f t="shared" si="1"/>
        <v>135</v>
      </c>
    </row>
    <row r="55" spans="1:6" x14ac:dyDescent="0.55000000000000004">
      <c r="A55">
        <v>8.1026168591445023E+18</v>
      </c>
      <c r="B55" t="s">
        <v>62</v>
      </c>
      <c r="C55" t="s">
        <v>13</v>
      </c>
      <c r="D55">
        <v>5007</v>
      </c>
      <c r="E55" s="4">
        <f t="shared" si="0"/>
        <v>44349</v>
      </c>
      <c r="F55">
        <f t="shared" si="1"/>
        <v>680</v>
      </c>
    </row>
    <row r="56" spans="1:6" x14ac:dyDescent="0.55000000000000004">
      <c r="A56">
        <v>5.880092382884011E+18</v>
      </c>
      <c r="B56" t="s">
        <v>63</v>
      </c>
      <c r="C56" t="s">
        <v>13</v>
      </c>
      <c r="D56">
        <v>2871</v>
      </c>
      <c r="E56" s="4">
        <f t="shared" si="0"/>
        <v>45005</v>
      </c>
      <c r="F56">
        <f t="shared" si="1"/>
        <v>24</v>
      </c>
    </row>
    <row r="57" spans="1:6" x14ac:dyDescent="0.55000000000000004">
      <c r="A57">
        <v>1.8290896633043259E+19</v>
      </c>
      <c r="B57" t="s">
        <v>64</v>
      </c>
      <c r="C57" t="s">
        <v>10</v>
      </c>
      <c r="D57">
        <v>2990</v>
      </c>
      <c r="E57" s="4">
        <f t="shared" si="0"/>
        <v>44287</v>
      </c>
      <c r="F57">
        <f t="shared" si="1"/>
        <v>742</v>
      </c>
    </row>
    <row r="58" spans="1:6" x14ac:dyDescent="0.55000000000000004">
      <c r="A58">
        <v>4.3136611516126039E+18</v>
      </c>
      <c r="B58" t="s">
        <v>65</v>
      </c>
      <c r="C58" t="s">
        <v>46</v>
      </c>
      <c r="D58">
        <v>155</v>
      </c>
      <c r="E58" s="4">
        <f t="shared" si="0"/>
        <v>44558</v>
      </c>
      <c r="F58">
        <f t="shared" si="1"/>
        <v>471</v>
      </c>
    </row>
    <row r="59" spans="1:6" x14ac:dyDescent="0.55000000000000004">
      <c r="A59">
        <v>4.7412492185996429E+17</v>
      </c>
      <c r="B59" t="s">
        <v>66</v>
      </c>
      <c r="C59" t="s">
        <v>10</v>
      </c>
      <c r="D59">
        <v>1015</v>
      </c>
      <c r="E59" s="4">
        <f t="shared" si="0"/>
        <v>44789</v>
      </c>
      <c r="F59">
        <f t="shared" si="1"/>
        <v>240</v>
      </c>
    </row>
    <row r="60" spans="1:6" x14ac:dyDescent="0.55000000000000004">
      <c r="A60">
        <v>1.169476368133078E+19</v>
      </c>
      <c r="B60" t="s">
        <v>67</v>
      </c>
      <c r="C60" t="s">
        <v>10</v>
      </c>
      <c r="D60">
        <v>3122</v>
      </c>
      <c r="E60" s="4">
        <f t="shared" si="0"/>
        <v>44987</v>
      </c>
      <c r="F60">
        <f t="shared" si="1"/>
        <v>42</v>
      </c>
    </row>
    <row r="61" spans="1:6" x14ac:dyDescent="0.55000000000000004">
      <c r="A61">
        <v>7.1585107620074312E+18</v>
      </c>
      <c r="B61" t="s">
        <v>16</v>
      </c>
      <c r="C61" t="s">
        <v>10</v>
      </c>
      <c r="D61">
        <v>874</v>
      </c>
      <c r="E61" s="4">
        <f t="shared" si="0"/>
        <v>44465</v>
      </c>
      <c r="F61">
        <f t="shared" si="1"/>
        <v>564</v>
      </c>
    </row>
    <row r="62" spans="1:6" x14ac:dyDescent="0.55000000000000004">
      <c r="A62">
        <v>1.036004001663831E+19</v>
      </c>
      <c r="B62" t="s">
        <v>68</v>
      </c>
      <c r="C62" t="s">
        <v>13</v>
      </c>
      <c r="D62">
        <v>4153</v>
      </c>
      <c r="E62" s="4">
        <f t="shared" si="0"/>
        <v>44958</v>
      </c>
      <c r="F62">
        <f t="shared" si="1"/>
        <v>71</v>
      </c>
    </row>
    <row r="63" spans="1:6" x14ac:dyDescent="0.55000000000000004">
      <c r="A63">
        <v>2.845766777001474E+18</v>
      </c>
      <c r="B63" t="s">
        <v>69</v>
      </c>
      <c r="C63" t="s">
        <v>10</v>
      </c>
      <c r="D63">
        <v>2847</v>
      </c>
      <c r="E63" s="4">
        <f t="shared" si="0"/>
        <v>43778</v>
      </c>
      <c r="F63">
        <f t="shared" si="1"/>
        <v>1251</v>
      </c>
    </row>
    <row r="64" spans="1:6" x14ac:dyDescent="0.55000000000000004">
      <c r="A64">
        <v>2.8791522318330199E+18</v>
      </c>
      <c r="B64" t="s">
        <v>70</v>
      </c>
      <c r="C64" t="s">
        <v>50</v>
      </c>
      <c r="D64">
        <v>203</v>
      </c>
      <c r="E64" s="4">
        <f t="shared" si="0"/>
        <v>44850</v>
      </c>
      <c r="F64">
        <f t="shared" si="1"/>
        <v>179</v>
      </c>
    </row>
    <row r="65" spans="1:6" x14ac:dyDescent="0.55000000000000004">
      <c r="A65">
        <v>1.3917480670769701E+19</v>
      </c>
      <c r="B65" t="s">
        <v>71</v>
      </c>
      <c r="C65" t="s">
        <v>10</v>
      </c>
      <c r="D65">
        <v>1554</v>
      </c>
      <c r="E65" s="4">
        <f t="shared" si="0"/>
        <v>43990</v>
      </c>
      <c r="F65">
        <f t="shared" si="1"/>
        <v>1039</v>
      </c>
    </row>
    <row r="66" spans="1:6" x14ac:dyDescent="0.55000000000000004">
      <c r="A66">
        <v>1.591836987103461E+19</v>
      </c>
      <c r="B66" t="s">
        <v>72</v>
      </c>
      <c r="C66" t="s">
        <v>13</v>
      </c>
      <c r="D66">
        <v>153</v>
      </c>
      <c r="E66" s="4">
        <f t="shared" si="0"/>
        <v>43961</v>
      </c>
      <c r="F66">
        <f t="shared" si="1"/>
        <v>1068</v>
      </c>
    </row>
    <row r="67" spans="1:6" x14ac:dyDescent="0.55000000000000004">
      <c r="A67">
        <v>1.8064953439810699E+19</v>
      </c>
      <c r="B67" t="s">
        <v>73</v>
      </c>
      <c r="C67" t="s">
        <v>10</v>
      </c>
      <c r="D67">
        <v>9537</v>
      </c>
      <c r="E67" s="4">
        <f t="shared" ref="E67:E130" si="2">DATEVALUE(B67)</f>
        <v>44188</v>
      </c>
      <c r="F67">
        <f t="shared" ref="F67:F130" si="3">$H$1-E67</f>
        <v>841</v>
      </c>
    </row>
    <row r="68" spans="1:6" x14ac:dyDescent="0.55000000000000004">
      <c r="A68">
        <v>1.34213405262877E+19</v>
      </c>
      <c r="B68" t="s">
        <v>74</v>
      </c>
      <c r="C68" t="s">
        <v>10</v>
      </c>
      <c r="D68">
        <v>2038</v>
      </c>
      <c r="E68" s="4">
        <f t="shared" si="2"/>
        <v>44157</v>
      </c>
      <c r="F68">
        <f t="shared" si="3"/>
        <v>872</v>
      </c>
    </row>
    <row r="69" spans="1:6" x14ac:dyDescent="0.55000000000000004">
      <c r="A69">
        <v>2.4913460905217208E+18</v>
      </c>
      <c r="B69" t="s">
        <v>75</v>
      </c>
      <c r="C69" t="s">
        <v>50</v>
      </c>
      <c r="D69">
        <v>376</v>
      </c>
      <c r="E69" s="4">
        <f t="shared" si="2"/>
        <v>45022</v>
      </c>
      <c r="F69">
        <f t="shared" si="3"/>
        <v>7</v>
      </c>
    </row>
    <row r="70" spans="1:6" x14ac:dyDescent="0.55000000000000004">
      <c r="A70">
        <v>3.3061567698177551E+18</v>
      </c>
      <c r="B70" t="s">
        <v>76</v>
      </c>
      <c r="C70" t="s">
        <v>13</v>
      </c>
      <c r="D70">
        <v>4360</v>
      </c>
      <c r="E70" s="4">
        <f t="shared" si="2"/>
        <v>43994</v>
      </c>
      <c r="F70">
        <f t="shared" si="3"/>
        <v>1035</v>
      </c>
    </row>
    <row r="71" spans="1:6" x14ac:dyDescent="0.55000000000000004">
      <c r="A71">
        <v>1.679598666735361E+19</v>
      </c>
      <c r="B71" t="s">
        <v>77</v>
      </c>
      <c r="C71" t="s">
        <v>7</v>
      </c>
      <c r="D71">
        <v>1650</v>
      </c>
      <c r="E71" s="4">
        <f t="shared" si="2"/>
        <v>44375</v>
      </c>
      <c r="F71">
        <f t="shared" si="3"/>
        <v>654</v>
      </c>
    </row>
    <row r="72" spans="1:6" x14ac:dyDescent="0.55000000000000004">
      <c r="A72">
        <v>1.1031905768337531E+19</v>
      </c>
      <c r="B72" t="s">
        <v>78</v>
      </c>
      <c r="C72" t="s">
        <v>46</v>
      </c>
      <c r="D72">
        <v>1936</v>
      </c>
      <c r="E72" s="4">
        <f t="shared" si="2"/>
        <v>44363</v>
      </c>
      <c r="F72">
        <f t="shared" si="3"/>
        <v>666</v>
      </c>
    </row>
    <row r="73" spans="1:6" x14ac:dyDescent="0.55000000000000004">
      <c r="A73">
        <v>1.5813384205698601E+19</v>
      </c>
      <c r="B73" t="s">
        <v>79</v>
      </c>
      <c r="C73" t="s">
        <v>10</v>
      </c>
      <c r="D73">
        <v>180</v>
      </c>
      <c r="E73" s="4">
        <f t="shared" si="2"/>
        <v>44249</v>
      </c>
      <c r="F73">
        <f t="shared" si="3"/>
        <v>780</v>
      </c>
    </row>
    <row r="74" spans="1:6" x14ac:dyDescent="0.55000000000000004">
      <c r="A74">
        <v>7.7097380129693888E+17</v>
      </c>
      <c r="B74" t="s">
        <v>80</v>
      </c>
      <c r="C74" t="s">
        <v>10</v>
      </c>
      <c r="D74">
        <v>5112</v>
      </c>
      <c r="E74" s="4">
        <f t="shared" si="2"/>
        <v>44621</v>
      </c>
      <c r="F74">
        <f t="shared" si="3"/>
        <v>408</v>
      </c>
    </row>
    <row r="75" spans="1:6" x14ac:dyDescent="0.55000000000000004">
      <c r="A75">
        <v>5.8340963873294909E+18</v>
      </c>
      <c r="B75" t="s">
        <v>52</v>
      </c>
      <c r="C75" t="s">
        <v>46</v>
      </c>
      <c r="D75">
        <v>1400</v>
      </c>
      <c r="E75" s="4">
        <f t="shared" si="2"/>
        <v>44896</v>
      </c>
      <c r="F75">
        <f t="shared" si="3"/>
        <v>133</v>
      </c>
    </row>
    <row r="76" spans="1:6" x14ac:dyDescent="0.55000000000000004">
      <c r="A76">
        <v>4.196813306737175E+18</v>
      </c>
      <c r="B76" t="s">
        <v>81</v>
      </c>
      <c r="C76" t="s">
        <v>13</v>
      </c>
      <c r="D76">
        <v>1474</v>
      </c>
      <c r="E76" s="4">
        <f t="shared" si="2"/>
        <v>44086</v>
      </c>
      <c r="F76">
        <f t="shared" si="3"/>
        <v>943</v>
      </c>
    </row>
    <row r="77" spans="1:6" x14ac:dyDescent="0.55000000000000004">
      <c r="A77">
        <v>1.5926796688468109E+19</v>
      </c>
      <c r="B77" t="s">
        <v>82</v>
      </c>
      <c r="C77" t="s">
        <v>13</v>
      </c>
      <c r="D77">
        <v>2310</v>
      </c>
      <c r="E77" s="4">
        <f t="shared" si="2"/>
        <v>44225</v>
      </c>
      <c r="F77">
        <f t="shared" si="3"/>
        <v>804</v>
      </c>
    </row>
    <row r="78" spans="1:6" x14ac:dyDescent="0.55000000000000004">
      <c r="A78">
        <v>1.8435006646178829E+17</v>
      </c>
      <c r="B78" t="s">
        <v>83</v>
      </c>
      <c r="C78" t="s">
        <v>10</v>
      </c>
      <c r="D78">
        <v>2556</v>
      </c>
      <c r="E78" s="4">
        <f t="shared" si="2"/>
        <v>44793</v>
      </c>
      <c r="F78">
        <f t="shared" si="3"/>
        <v>236</v>
      </c>
    </row>
    <row r="79" spans="1:6" x14ac:dyDescent="0.55000000000000004">
      <c r="A79">
        <v>1.363333817944542E+19</v>
      </c>
      <c r="B79" t="s">
        <v>84</v>
      </c>
      <c r="C79" t="s">
        <v>10</v>
      </c>
      <c r="D79">
        <v>2055</v>
      </c>
      <c r="E79" s="4">
        <f t="shared" si="2"/>
        <v>44230</v>
      </c>
      <c r="F79">
        <f t="shared" si="3"/>
        <v>799</v>
      </c>
    </row>
    <row r="80" spans="1:6" x14ac:dyDescent="0.55000000000000004">
      <c r="A80">
        <v>1.5103585447139899E+19</v>
      </c>
      <c r="B80" t="s">
        <v>85</v>
      </c>
      <c r="C80" t="s">
        <v>10</v>
      </c>
      <c r="D80">
        <v>2741</v>
      </c>
      <c r="E80" s="4">
        <f t="shared" si="2"/>
        <v>44851</v>
      </c>
      <c r="F80">
        <f t="shared" si="3"/>
        <v>178</v>
      </c>
    </row>
    <row r="81" spans="1:6" x14ac:dyDescent="0.55000000000000004">
      <c r="A81">
        <v>1.1550104643117511E+19</v>
      </c>
      <c r="B81" t="s">
        <v>86</v>
      </c>
      <c r="C81" t="s">
        <v>10</v>
      </c>
      <c r="D81">
        <v>717</v>
      </c>
      <c r="E81" s="4">
        <f t="shared" si="2"/>
        <v>44263</v>
      </c>
      <c r="F81">
        <f t="shared" si="3"/>
        <v>766</v>
      </c>
    </row>
    <row r="82" spans="1:6" x14ac:dyDescent="0.55000000000000004">
      <c r="A82">
        <v>8.4525285881887816E+18</v>
      </c>
      <c r="B82" t="s">
        <v>87</v>
      </c>
      <c r="C82" t="s">
        <v>13</v>
      </c>
      <c r="D82">
        <v>289</v>
      </c>
      <c r="E82" s="4">
        <f t="shared" si="2"/>
        <v>44727</v>
      </c>
      <c r="F82">
        <f t="shared" si="3"/>
        <v>302</v>
      </c>
    </row>
    <row r="83" spans="1:6" x14ac:dyDescent="0.55000000000000004">
      <c r="A83">
        <v>1.6808117805538869E+19</v>
      </c>
      <c r="B83" t="s">
        <v>88</v>
      </c>
      <c r="C83" t="s">
        <v>10</v>
      </c>
      <c r="D83">
        <v>1419</v>
      </c>
      <c r="E83" s="4">
        <f t="shared" si="2"/>
        <v>44898</v>
      </c>
      <c r="F83">
        <f t="shared" si="3"/>
        <v>131</v>
      </c>
    </row>
    <row r="84" spans="1:6" x14ac:dyDescent="0.55000000000000004">
      <c r="A84">
        <v>5.7910861182605609E+18</v>
      </c>
      <c r="B84" t="s">
        <v>89</v>
      </c>
      <c r="C84" t="s">
        <v>26</v>
      </c>
      <c r="D84">
        <v>296</v>
      </c>
      <c r="E84" s="4">
        <f t="shared" si="2"/>
        <v>44950</v>
      </c>
      <c r="F84">
        <f t="shared" si="3"/>
        <v>79</v>
      </c>
    </row>
    <row r="85" spans="1:6" x14ac:dyDescent="0.55000000000000004">
      <c r="A85">
        <v>1.071092417031841E+19</v>
      </c>
      <c r="B85" t="s">
        <v>90</v>
      </c>
      <c r="C85" t="s">
        <v>7</v>
      </c>
      <c r="D85">
        <v>258</v>
      </c>
      <c r="E85" s="4">
        <f t="shared" si="2"/>
        <v>44899</v>
      </c>
      <c r="F85">
        <f t="shared" si="3"/>
        <v>130</v>
      </c>
    </row>
    <row r="86" spans="1:6" x14ac:dyDescent="0.55000000000000004">
      <c r="A86">
        <v>1.481483603206348E+19</v>
      </c>
      <c r="B86" t="s">
        <v>91</v>
      </c>
      <c r="C86" t="s">
        <v>7</v>
      </c>
      <c r="D86">
        <v>810</v>
      </c>
      <c r="E86" s="4">
        <f t="shared" si="2"/>
        <v>44831</v>
      </c>
      <c r="F86">
        <f t="shared" si="3"/>
        <v>198</v>
      </c>
    </row>
    <row r="87" spans="1:6" x14ac:dyDescent="0.55000000000000004">
      <c r="A87">
        <v>2.5412988130793498E+18</v>
      </c>
      <c r="B87" t="s">
        <v>55</v>
      </c>
      <c r="C87" t="s">
        <v>10</v>
      </c>
      <c r="D87">
        <v>4909</v>
      </c>
      <c r="E87" s="4">
        <f t="shared" si="2"/>
        <v>45004</v>
      </c>
      <c r="F87">
        <f t="shared" si="3"/>
        <v>25</v>
      </c>
    </row>
    <row r="88" spans="1:6" x14ac:dyDescent="0.55000000000000004">
      <c r="A88">
        <v>1.825626145972831E+19</v>
      </c>
      <c r="B88" t="s">
        <v>92</v>
      </c>
      <c r="C88" t="s">
        <v>13</v>
      </c>
      <c r="D88">
        <v>2964</v>
      </c>
      <c r="E88" s="4">
        <f t="shared" si="2"/>
        <v>44483</v>
      </c>
      <c r="F88">
        <f t="shared" si="3"/>
        <v>546</v>
      </c>
    </row>
    <row r="89" spans="1:6" x14ac:dyDescent="0.55000000000000004">
      <c r="A89">
        <v>9.1212184918702653E+18</v>
      </c>
      <c r="B89" t="s">
        <v>93</v>
      </c>
      <c r="C89" t="s">
        <v>7</v>
      </c>
      <c r="D89">
        <v>1106</v>
      </c>
      <c r="E89" s="4">
        <f t="shared" si="2"/>
        <v>44006</v>
      </c>
      <c r="F89">
        <f t="shared" si="3"/>
        <v>1023</v>
      </c>
    </row>
    <row r="90" spans="1:6" x14ac:dyDescent="0.55000000000000004">
      <c r="A90">
        <v>1.510372968522557E+19</v>
      </c>
      <c r="B90" t="s">
        <v>94</v>
      </c>
      <c r="C90" t="s">
        <v>10</v>
      </c>
      <c r="D90">
        <v>150</v>
      </c>
      <c r="E90" s="4">
        <f t="shared" si="2"/>
        <v>44600</v>
      </c>
      <c r="F90">
        <f t="shared" si="3"/>
        <v>429</v>
      </c>
    </row>
    <row r="91" spans="1:6" x14ac:dyDescent="0.55000000000000004">
      <c r="A91">
        <v>1.479679806587535E+19</v>
      </c>
      <c r="B91" t="s">
        <v>95</v>
      </c>
      <c r="C91" t="s">
        <v>5</v>
      </c>
      <c r="D91">
        <v>4770</v>
      </c>
      <c r="E91" s="4">
        <f t="shared" si="2"/>
        <v>44289</v>
      </c>
      <c r="F91">
        <f t="shared" si="3"/>
        <v>740</v>
      </c>
    </row>
    <row r="92" spans="1:6" x14ac:dyDescent="0.55000000000000004">
      <c r="A92">
        <v>3.6793056153410719E+18</v>
      </c>
      <c r="B92" t="s">
        <v>96</v>
      </c>
      <c r="C92" t="s">
        <v>7</v>
      </c>
      <c r="D92">
        <v>290</v>
      </c>
      <c r="E92" s="4">
        <f t="shared" si="2"/>
        <v>44532</v>
      </c>
      <c r="F92">
        <f t="shared" si="3"/>
        <v>497</v>
      </c>
    </row>
    <row r="93" spans="1:6" x14ac:dyDescent="0.55000000000000004">
      <c r="A93">
        <v>1.1243664569943089E+19</v>
      </c>
      <c r="B93" t="s">
        <v>97</v>
      </c>
      <c r="C93" t="s">
        <v>10</v>
      </c>
      <c r="D93">
        <v>3639</v>
      </c>
      <c r="E93" s="4">
        <f t="shared" si="2"/>
        <v>44444</v>
      </c>
      <c r="F93">
        <f t="shared" si="3"/>
        <v>585</v>
      </c>
    </row>
    <row r="94" spans="1:6" x14ac:dyDescent="0.55000000000000004">
      <c r="A94">
        <v>4.7892406125369027E+18</v>
      </c>
      <c r="B94" t="s">
        <v>98</v>
      </c>
      <c r="C94" t="s">
        <v>5</v>
      </c>
      <c r="D94">
        <v>4680</v>
      </c>
      <c r="E94" s="4">
        <f t="shared" si="2"/>
        <v>43983</v>
      </c>
      <c r="F94">
        <f t="shared" si="3"/>
        <v>1046</v>
      </c>
    </row>
    <row r="95" spans="1:6" x14ac:dyDescent="0.55000000000000004">
      <c r="A95">
        <v>1.234620301174427E+19</v>
      </c>
      <c r="B95" t="s">
        <v>99</v>
      </c>
      <c r="C95" t="s">
        <v>10</v>
      </c>
      <c r="D95">
        <v>1590</v>
      </c>
      <c r="E95" s="4">
        <f t="shared" si="2"/>
        <v>44764</v>
      </c>
      <c r="F95">
        <f t="shared" si="3"/>
        <v>265</v>
      </c>
    </row>
    <row r="96" spans="1:6" x14ac:dyDescent="0.55000000000000004">
      <c r="A96">
        <v>1.010084852275994E+19</v>
      </c>
      <c r="B96" t="s">
        <v>100</v>
      </c>
      <c r="C96" t="s">
        <v>13</v>
      </c>
      <c r="D96">
        <v>2150</v>
      </c>
      <c r="E96" s="4">
        <f t="shared" si="2"/>
        <v>44909</v>
      </c>
      <c r="F96">
        <f t="shared" si="3"/>
        <v>120</v>
      </c>
    </row>
    <row r="97" spans="1:6" x14ac:dyDescent="0.55000000000000004">
      <c r="A97">
        <v>1.83139076252951E+19</v>
      </c>
      <c r="B97" t="s">
        <v>101</v>
      </c>
      <c r="C97" t="s">
        <v>5</v>
      </c>
      <c r="D97">
        <v>7410</v>
      </c>
      <c r="E97" s="4">
        <f t="shared" si="2"/>
        <v>44270</v>
      </c>
      <c r="F97">
        <f t="shared" si="3"/>
        <v>759</v>
      </c>
    </row>
    <row r="98" spans="1:6" x14ac:dyDescent="0.55000000000000004">
      <c r="A98">
        <v>1.6798863010277089E+19</v>
      </c>
      <c r="B98" t="s">
        <v>102</v>
      </c>
      <c r="C98" t="s">
        <v>10</v>
      </c>
      <c r="D98">
        <v>1716</v>
      </c>
      <c r="E98" s="4">
        <f t="shared" si="2"/>
        <v>44913</v>
      </c>
      <c r="F98">
        <f t="shared" si="3"/>
        <v>116</v>
      </c>
    </row>
    <row r="99" spans="1:6" x14ac:dyDescent="0.55000000000000004">
      <c r="A99">
        <v>8.8209216732971704E+18</v>
      </c>
      <c r="B99" t="s">
        <v>103</v>
      </c>
      <c r="C99" t="s">
        <v>5</v>
      </c>
      <c r="D99">
        <v>605</v>
      </c>
      <c r="E99" s="4">
        <f t="shared" si="2"/>
        <v>44098</v>
      </c>
      <c r="F99">
        <f t="shared" si="3"/>
        <v>931</v>
      </c>
    </row>
    <row r="100" spans="1:6" x14ac:dyDescent="0.55000000000000004">
      <c r="A100">
        <v>5.0200884906810337E+18</v>
      </c>
      <c r="B100" t="s">
        <v>104</v>
      </c>
      <c r="C100" t="s">
        <v>10</v>
      </c>
      <c r="D100">
        <v>657</v>
      </c>
      <c r="E100" s="4">
        <f t="shared" si="2"/>
        <v>44304</v>
      </c>
      <c r="F100">
        <f t="shared" si="3"/>
        <v>725</v>
      </c>
    </row>
    <row r="101" spans="1:6" x14ac:dyDescent="0.55000000000000004">
      <c r="A101">
        <v>6.1484501004097894E+18</v>
      </c>
      <c r="B101" t="s">
        <v>105</v>
      </c>
      <c r="C101" t="s">
        <v>50</v>
      </c>
      <c r="D101">
        <v>369</v>
      </c>
      <c r="E101" s="4">
        <f t="shared" si="2"/>
        <v>44989</v>
      </c>
      <c r="F101">
        <f t="shared" si="3"/>
        <v>40</v>
      </c>
    </row>
    <row r="102" spans="1:6" x14ac:dyDescent="0.55000000000000004">
      <c r="A102">
        <v>7.2768294671938744E+18</v>
      </c>
      <c r="B102" t="s">
        <v>106</v>
      </c>
      <c r="C102" t="s">
        <v>13</v>
      </c>
      <c r="D102">
        <v>1260</v>
      </c>
      <c r="E102" s="4">
        <f t="shared" si="2"/>
        <v>45006</v>
      </c>
      <c r="F102">
        <f t="shared" si="3"/>
        <v>23</v>
      </c>
    </row>
    <row r="103" spans="1:6" x14ac:dyDescent="0.55000000000000004">
      <c r="A103">
        <v>1.828978405457094E+19</v>
      </c>
      <c r="B103" t="s">
        <v>107</v>
      </c>
      <c r="C103" t="s">
        <v>13</v>
      </c>
      <c r="D103">
        <v>438</v>
      </c>
      <c r="E103" s="4">
        <f t="shared" si="2"/>
        <v>45019</v>
      </c>
      <c r="F103">
        <f t="shared" si="3"/>
        <v>10</v>
      </c>
    </row>
    <row r="104" spans="1:6" x14ac:dyDescent="0.55000000000000004">
      <c r="A104">
        <v>1.499652581721549E+19</v>
      </c>
      <c r="B104" t="s">
        <v>108</v>
      </c>
      <c r="C104" t="s">
        <v>10</v>
      </c>
      <c r="D104">
        <v>309</v>
      </c>
      <c r="E104" s="4">
        <f t="shared" si="2"/>
        <v>44904</v>
      </c>
      <c r="F104">
        <f t="shared" si="3"/>
        <v>125</v>
      </c>
    </row>
    <row r="105" spans="1:6" x14ac:dyDescent="0.55000000000000004">
      <c r="A105">
        <v>1.608732702164681E+18</v>
      </c>
      <c r="B105" t="s">
        <v>65</v>
      </c>
      <c r="C105" t="s">
        <v>10</v>
      </c>
      <c r="D105">
        <v>179</v>
      </c>
      <c r="E105" s="4">
        <f t="shared" si="2"/>
        <v>44558</v>
      </c>
      <c r="F105">
        <f t="shared" si="3"/>
        <v>471</v>
      </c>
    </row>
    <row r="106" spans="1:6" x14ac:dyDescent="0.55000000000000004">
      <c r="A106">
        <v>5.3973038049061745E+18</v>
      </c>
      <c r="B106" t="s">
        <v>109</v>
      </c>
      <c r="C106" t="s">
        <v>5</v>
      </c>
      <c r="D106">
        <v>310819</v>
      </c>
      <c r="E106" s="4">
        <f t="shared" si="2"/>
        <v>43606</v>
      </c>
      <c r="F106">
        <f t="shared" si="3"/>
        <v>1423</v>
      </c>
    </row>
    <row r="107" spans="1:6" x14ac:dyDescent="0.55000000000000004">
      <c r="A107">
        <v>4.5992564956347039E+18</v>
      </c>
      <c r="B107" t="s">
        <v>110</v>
      </c>
      <c r="C107" t="s">
        <v>13</v>
      </c>
      <c r="D107">
        <v>691</v>
      </c>
      <c r="E107" s="4">
        <f t="shared" si="2"/>
        <v>44210</v>
      </c>
      <c r="F107">
        <f t="shared" si="3"/>
        <v>819</v>
      </c>
    </row>
    <row r="108" spans="1:6" x14ac:dyDescent="0.55000000000000004">
      <c r="A108">
        <v>6.3481624462595748E+18</v>
      </c>
      <c r="B108" t="s">
        <v>111</v>
      </c>
      <c r="C108" t="s">
        <v>7</v>
      </c>
      <c r="D108">
        <v>494</v>
      </c>
      <c r="E108" s="4">
        <f t="shared" si="2"/>
        <v>44293</v>
      </c>
      <c r="F108">
        <f t="shared" si="3"/>
        <v>736</v>
      </c>
    </row>
    <row r="109" spans="1:6" x14ac:dyDescent="0.55000000000000004">
      <c r="A109">
        <v>1.3933325988243599E+19</v>
      </c>
      <c r="B109" t="s">
        <v>112</v>
      </c>
      <c r="C109" t="s">
        <v>26</v>
      </c>
      <c r="D109">
        <v>2220</v>
      </c>
      <c r="E109" s="4">
        <f t="shared" si="2"/>
        <v>44835</v>
      </c>
      <c r="F109">
        <f t="shared" si="3"/>
        <v>194</v>
      </c>
    </row>
    <row r="110" spans="1:6" x14ac:dyDescent="0.55000000000000004">
      <c r="A110">
        <v>6.084764153214294E+18</v>
      </c>
      <c r="B110" t="s">
        <v>113</v>
      </c>
      <c r="C110" t="s">
        <v>10</v>
      </c>
      <c r="D110">
        <v>3588</v>
      </c>
      <c r="E110" s="4">
        <f t="shared" si="2"/>
        <v>43870</v>
      </c>
      <c r="F110">
        <f t="shared" si="3"/>
        <v>1159</v>
      </c>
    </row>
    <row r="111" spans="1:6" x14ac:dyDescent="0.55000000000000004">
      <c r="A111">
        <v>5.3973038049061745E+18</v>
      </c>
      <c r="B111" t="s">
        <v>114</v>
      </c>
      <c r="C111" t="s">
        <v>7</v>
      </c>
      <c r="D111">
        <v>263832.90000000002</v>
      </c>
      <c r="E111" s="4">
        <f t="shared" si="2"/>
        <v>43712</v>
      </c>
      <c r="F111">
        <f t="shared" si="3"/>
        <v>1317</v>
      </c>
    </row>
    <row r="112" spans="1:6" x14ac:dyDescent="0.55000000000000004">
      <c r="A112">
        <v>6.084764153214294E+18</v>
      </c>
      <c r="B112" t="s">
        <v>6</v>
      </c>
      <c r="C112" t="s">
        <v>7</v>
      </c>
      <c r="D112">
        <v>19</v>
      </c>
      <c r="E112" s="4">
        <f t="shared" si="2"/>
        <v>44591</v>
      </c>
      <c r="F112">
        <f t="shared" si="3"/>
        <v>438</v>
      </c>
    </row>
    <row r="113" spans="1:6" x14ac:dyDescent="0.55000000000000004">
      <c r="A113">
        <v>1.769683217212792E+19</v>
      </c>
      <c r="B113" t="s">
        <v>115</v>
      </c>
      <c r="C113" t="s">
        <v>10</v>
      </c>
      <c r="D113">
        <v>3340</v>
      </c>
      <c r="E113" s="4">
        <f t="shared" si="2"/>
        <v>44580</v>
      </c>
      <c r="F113">
        <f t="shared" si="3"/>
        <v>449</v>
      </c>
    </row>
    <row r="114" spans="1:6" x14ac:dyDescent="0.55000000000000004">
      <c r="A114">
        <v>1.1655005617193689E+19</v>
      </c>
      <c r="B114" t="s">
        <v>116</v>
      </c>
      <c r="C114" t="s">
        <v>13</v>
      </c>
      <c r="D114">
        <v>6096</v>
      </c>
      <c r="E114" s="4">
        <f t="shared" si="2"/>
        <v>44877</v>
      </c>
      <c r="F114">
        <f t="shared" si="3"/>
        <v>152</v>
      </c>
    </row>
    <row r="115" spans="1:6" x14ac:dyDescent="0.55000000000000004">
      <c r="A115">
        <v>9.2786993871629066E+18</v>
      </c>
      <c r="B115" t="s">
        <v>117</v>
      </c>
      <c r="C115" t="s">
        <v>7</v>
      </c>
      <c r="D115">
        <v>42</v>
      </c>
      <c r="E115" s="4">
        <f t="shared" si="2"/>
        <v>44122</v>
      </c>
      <c r="F115">
        <f t="shared" si="3"/>
        <v>907</v>
      </c>
    </row>
    <row r="116" spans="1:6" x14ac:dyDescent="0.55000000000000004">
      <c r="A116">
        <v>8.615932288906793E+18</v>
      </c>
      <c r="B116" t="s">
        <v>118</v>
      </c>
      <c r="C116" t="s">
        <v>10</v>
      </c>
      <c r="D116">
        <v>3981</v>
      </c>
      <c r="E116" s="4">
        <f t="shared" si="2"/>
        <v>43757</v>
      </c>
      <c r="F116">
        <f t="shared" si="3"/>
        <v>1272</v>
      </c>
    </row>
    <row r="117" spans="1:6" x14ac:dyDescent="0.55000000000000004">
      <c r="A117">
        <v>4.9450563649617633E+18</v>
      </c>
      <c r="B117" t="s">
        <v>119</v>
      </c>
      <c r="C117" t="s">
        <v>5</v>
      </c>
      <c r="D117">
        <v>69</v>
      </c>
      <c r="E117" s="4">
        <f t="shared" si="2"/>
        <v>44792</v>
      </c>
      <c r="F117">
        <f t="shared" si="3"/>
        <v>237</v>
      </c>
    </row>
    <row r="118" spans="1:6" x14ac:dyDescent="0.55000000000000004">
      <c r="A118">
        <v>8.0400317019907297E+18</v>
      </c>
      <c r="B118" t="s">
        <v>120</v>
      </c>
      <c r="C118" t="s">
        <v>50</v>
      </c>
      <c r="D118">
        <v>58</v>
      </c>
      <c r="E118" s="4">
        <f t="shared" si="2"/>
        <v>44386</v>
      </c>
      <c r="F118">
        <f t="shared" si="3"/>
        <v>643</v>
      </c>
    </row>
    <row r="119" spans="1:6" x14ac:dyDescent="0.55000000000000004">
      <c r="A119">
        <v>1.3968261657304629E+19</v>
      </c>
      <c r="B119" t="s">
        <v>121</v>
      </c>
      <c r="C119" t="s">
        <v>13</v>
      </c>
      <c r="D119">
        <v>3300</v>
      </c>
      <c r="E119" s="4">
        <f t="shared" si="2"/>
        <v>44781</v>
      </c>
      <c r="F119">
        <f t="shared" si="3"/>
        <v>248</v>
      </c>
    </row>
    <row r="120" spans="1:6" x14ac:dyDescent="0.55000000000000004">
      <c r="A120">
        <v>4.5328982199816069E+18</v>
      </c>
      <c r="B120" t="s">
        <v>122</v>
      </c>
      <c r="C120" t="s">
        <v>10</v>
      </c>
      <c r="D120">
        <v>195</v>
      </c>
      <c r="E120" s="4">
        <f t="shared" si="2"/>
        <v>44994</v>
      </c>
      <c r="F120">
        <f t="shared" si="3"/>
        <v>35</v>
      </c>
    </row>
    <row r="121" spans="1:6" x14ac:dyDescent="0.55000000000000004">
      <c r="A121">
        <v>2.04599369723842E+18</v>
      </c>
      <c r="B121" t="s">
        <v>123</v>
      </c>
      <c r="C121" t="s">
        <v>13</v>
      </c>
      <c r="D121">
        <v>900</v>
      </c>
      <c r="E121" s="4">
        <f t="shared" si="2"/>
        <v>43861</v>
      </c>
      <c r="F121">
        <f t="shared" si="3"/>
        <v>1168</v>
      </c>
    </row>
    <row r="122" spans="1:6" x14ac:dyDescent="0.55000000000000004">
      <c r="A122">
        <v>1.6598048745780359E+19</v>
      </c>
      <c r="B122" t="s">
        <v>124</v>
      </c>
      <c r="C122" t="s">
        <v>13</v>
      </c>
      <c r="D122">
        <v>5808</v>
      </c>
      <c r="E122" s="4">
        <f t="shared" si="2"/>
        <v>44370</v>
      </c>
      <c r="F122">
        <f t="shared" si="3"/>
        <v>659</v>
      </c>
    </row>
    <row r="123" spans="1:6" x14ac:dyDescent="0.55000000000000004">
      <c r="A123">
        <v>1.8064953439810699E+19</v>
      </c>
      <c r="B123" t="s">
        <v>125</v>
      </c>
      <c r="C123" t="s">
        <v>13</v>
      </c>
      <c r="D123">
        <v>2580</v>
      </c>
      <c r="E123" s="4">
        <f t="shared" si="2"/>
        <v>44316</v>
      </c>
      <c r="F123">
        <f t="shared" si="3"/>
        <v>713</v>
      </c>
    </row>
    <row r="124" spans="1:6" x14ac:dyDescent="0.55000000000000004">
      <c r="A124">
        <v>5.7314394643560571E+18</v>
      </c>
      <c r="B124" t="s">
        <v>126</v>
      </c>
      <c r="C124" t="s">
        <v>10</v>
      </c>
      <c r="D124">
        <v>221</v>
      </c>
      <c r="E124" s="4">
        <f t="shared" si="2"/>
        <v>43833</v>
      </c>
      <c r="F124">
        <f t="shared" si="3"/>
        <v>1196</v>
      </c>
    </row>
    <row r="125" spans="1:6" x14ac:dyDescent="0.55000000000000004">
      <c r="A125">
        <v>1.455987265867716E+19</v>
      </c>
      <c r="B125" t="s">
        <v>95</v>
      </c>
      <c r="C125" t="s">
        <v>13</v>
      </c>
      <c r="D125">
        <v>8634</v>
      </c>
      <c r="E125" s="4">
        <f t="shared" si="2"/>
        <v>44289</v>
      </c>
      <c r="F125">
        <f t="shared" si="3"/>
        <v>740</v>
      </c>
    </row>
    <row r="126" spans="1:6" x14ac:dyDescent="0.55000000000000004">
      <c r="A126">
        <v>8.012821087019391E+18</v>
      </c>
      <c r="B126" t="s">
        <v>127</v>
      </c>
      <c r="C126" t="s">
        <v>26</v>
      </c>
      <c r="D126">
        <v>311</v>
      </c>
      <c r="E126" s="4">
        <f t="shared" si="2"/>
        <v>43824</v>
      </c>
      <c r="F126">
        <f t="shared" si="3"/>
        <v>1205</v>
      </c>
    </row>
    <row r="127" spans="1:6" x14ac:dyDescent="0.55000000000000004">
      <c r="A127">
        <v>1.476654758115046E+19</v>
      </c>
      <c r="B127" t="s">
        <v>128</v>
      </c>
      <c r="C127" t="s">
        <v>10</v>
      </c>
      <c r="D127">
        <v>1283</v>
      </c>
      <c r="E127" s="4">
        <f t="shared" si="2"/>
        <v>43719</v>
      </c>
      <c r="F127">
        <f t="shared" si="3"/>
        <v>1310</v>
      </c>
    </row>
    <row r="128" spans="1:6" x14ac:dyDescent="0.55000000000000004">
      <c r="A128">
        <v>7.5960602852994256E+16</v>
      </c>
      <c r="B128" t="s">
        <v>129</v>
      </c>
      <c r="C128" t="s">
        <v>26</v>
      </c>
      <c r="D128">
        <v>1292</v>
      </c>
      <c r="E128" s="4">
        <f t="shared" si="2"/>
        <v>44854</v>
      </c>
      <c r="F128">
        <f t="shared" si="3"/>
        <v>175</v>
      </c>
    </row>
    <row r="129" spans="1:6" x14ac:dyDescent="0.55000000000000004">
      <c r="A129">
        <v>8.3220998613881928E+18</v>
      </c>
      <c r="B129" t="s">
        <v>130</v>
      </c>
      <c r="C129" t="s">
        <v>13</v>
      </c>
      <c r="D129">
        <v>5747</v>
      </c>
      <c r="E129" s="4">
        <f t="shared" si="2"/>
        <v>44627</v>
      </c>
      <c r="F129">
        <f t="shared" si="3"/>
        <v>402</v>
      </c>
    </row>
    <row r="130" spans="1:6" x14ac:dyDescent="0.55000000000000004">
      <c r="A130">
        <v>1.2530939074231751E+19</v>
      </c>
      <c r="B130" t="s">
        <v>131</v>
      </c>
      <c r="C130" t="s">
        <v>10</v>
      </c>
      <c r="D130">
        <v>50535</v>
      </c>
      <c r="E130" s="4">
        <f t="shared" si="2"/>
        <v>44559</v>
      </c>
      <c r="F130">
        <f t="shared" si="3"/>
        <v>470</v>
      </c>
    </row>
    <row r="131" spans="1:6" x14ac:dyDescent="0.55000000000000004">
      <c r="A131">
        <v>1.9526037705138371E+18</v>
      </c>
      <c r="B131" t="s">
        <v>132</v>
      </c>
      <c r="C131" t="s">
        <v>13</v>
      </c>
      <c r="D131">
        <v>3060</v>
      </c>
      <c r="E131" s="4">
        <f t="shared" ref="E131:E194" si="4">DATEVALUE(B131)</f>
        <v>44345</v>
      </c>
      <c r="F131">
        <f t="shared" ref="F131:F194" si="5">$H$1-E131</f>
        <v>684</v>
      </c>
    </row>
    <row r="132" spans="1:6" x14ac:dyDescent="0.55000000000000004">
      <c r="A132">
        <v>1.005152142697114E+18</v>
      </c>
      <c r="B132" t="s">
        <v>133</v>
      </c>
      <c r="C132" t="s">
        <v>13</v>
      </c>
      <c r="D132">
        <v>2241</v>
      </c>
      <c r="E132" s="4">
        <f t="shared" si="4"/>
        <v>44944</v>
      </c>
      <c r="F132">
        <f t="shared" si="5"/>
        <v>85</v>
      </c>
    </row>
    <row r="133" spans="1:6" x14ac:dyDescent="0.55000000000000004">
      <c r="A133">
        <v>1.750162701425094E+19</v>
      </c>
      <c r="B133" t="s">
        <v>134</v>
      </c>
      <c r="C133" t="s">
        <v>10</v>
      </c>
      <c r="D133">
        <v>4029</v>
      </c>
      <c r="E133" s="4">
        <f t="shared" si="4"/>
        <v>44312</v>
      </c>
      <c r="F133">
        <f t="shared" si="5"/>
        <v>717</v>
      </c>
    </row>
    <row r="134" spans="1:6" x14ac:dyDescent="0.55000000000000004">
      <c r="A134">
        <v>1.168101444233914E+19</v>
      </c>
      <c r="B134" t="s">
        <v>135</v>
      </c>
      <c r="C134" t="s">
        <v>13</v>
      </c>
      <c r="D134">
        <v>880</v>
      </c>
      <c r="E134" s="4">
        <f t="shared" si="4"/>
        <v>44481</v>
      </c>
      <c r="F134">
        <f t="shared" si="5"/>
        <v>548</v>
      </c>
    </row>
    <row r="135" spans="1:6" x14ac:dyDescent="0.55000000000000004">
      <c r="A135">
        <v>4.8202440816167782E+18</v>
      </c>
      <c r="B135" t="s">
        <v>136</v>
      </c>
      <c r="C135" t="s">
        <v>10</v>
      </c>
      <c r="D135">
        <v>1952</v>
      </c>
      <c r="E135" s="4">
        <f t="shared" si="4"/>
        <v>44955</v>
      </c>
      <c r="F135">
        <f t="shared" si="5"/>
        <v>74</v>
      </c>
    </row>
    <row r="136" spans="1:6" x14ac:dyDescent="0.55000000000000004">
      <c r="A136">
        <v>9.771607642693548E+18</v>
      </c>
      <c r="B136" t="s">
        <v>137</v>
      </c>
      <c r="C136" t="s">
        <v>46</v>
      </c>
      <c r="D136">
        <v>686</v>
      </c>
      <c r="E136" s="4">
        <f t="shared" si="4"/>
        <v>44294</v>
      </c>
      <c r="F136">
        <f t="shared" si="5"/>
        <v>735</v>
      </c>
    </row>
    <row r="137" spans="1:6" x14ac:dyDescent="0.55000000000000004">
      <c r="A137">
        <v>1.7830572075161309E+19</v>
      </c>
      <c r="B137" t="s">
        <v>138</v>
      </c>
      <c r="C137" t="s">
        <v>7</v>
      </c>
      <c r="D137">
        <v>1500</v>
      </c>
      <c r="E137" s="4">
        <f t="shared" si="4"/>
        <v>44320</v>
      </c>
      <c r="F137">
        <f t="shared" si="5"/>
        <v>709</v>
      </c>
    </row>
    <row r="138" spans="1:6" x14ac:dyDescent="0.55000000000000004">
      <c r="A138">
        <v>5.5407192610282045E+18</v>
      </c>
      <c r="B138" t="s">
        <v>106</v>
      </c>
      <c r="C138" t="s">
        <v>50</v>
      </c>
      <c r="D138">
        <v>335</v>
      </c>
      <c r="E138" s="4">
        <f t="shared" si="4"/>
        <v>45006</v>
      </c>
      <c r="F138">
        <f t="shared" si="5"/>
        <v>23</v>
      </c>
    </row>
    <row r="139" spans="1:6" x14ac:dyDescent="0.55000000000000004">
      <c r="A139">
        <v>2.225462902853954E+18</v>
      </c>
      <c r="B139" t="s">
        <v>139</v>
      </c>
      <c r="C139" t="s">
        <v>46</v>
      </c>
      <c r="D139">
        <v>5097</v>
      </c>
      <c r="E139" s="4">
        <f t="shared" si="4"/>
        <v>44125</v>
      </c>
      <c r="F139">
        <f t="shared" si="5"/>
        <v>904</v>
      </c>
    </row>
    <row r="140" spans="1:6" x14ac:dyDescent="0.55000000000000004">
      <c r="A140">
        <v>1.764911761322428E+19</v>
      </c>
      <c r="B140" t="s">
        <v>140</v>
      </c>
      <c r="C140" t="s">
        <v>13</v>
      </c>
      <c r="D140">
        <v>7098</v>
      </c>
      <c r="E140" s="4">
        <f t="shared" si="4"/>
        <v>44358</v>
      </c>
      <c r="F140">
        <f t="shared" si="5"/>
        <v>671</v>
      </c>
    </row>
    <row r="141" spans="1:6" x14ac:dyDescent="0.55000000000000004">
      <c r="A141">
        <v>1.145588362923189E+19</v>
      </c>
      <c r="B141" t="s">
        <v>141</v>
      </c>
      <c r="C141" t="s">
        <v>13</v>
      </c>
      <c r="D141">
        <v>975</v>
      </c>
      <c r="E141" s="4">
        <f t="shared" si="4"/>
        <v>43706</v>
      </c>
      <c r="F141">
        <f t="shared" si="5"/>
        <v>1323</v>
      </c>
    </row>
    <row r="142" spans="1:6" x14ac:dyDescent="0.55000000000000004">
      <c r="A142">
        <v>7.078790832576682E+18</v>
      </c>
      <c r="B142" t="s">
        <v>142</v>
      </c>
      <c r="C142" t="s">
        <v>10</v>
      </c>
      <c r="D142">
        <v>417</v>
      </c>
      <c r="E142" s="4">
        <f t="shared" si="4"/>
        <v>44272</v>
      </c>
      <c r="F142">
        <f t="shared" si="5"/>
        <v>757</v>
      </c>
    </row>
    <row r="143" spans="1:6" x14ac:dyDescent="0.55000000000000004">
      <c r="A143">
        <v>2.6721041171314299E+18</v>
      </c>
      <c r="B143" t="s">
        <v>143</v>
      </c>
      <c r="C143" t="s">
        <v>10</v>
      </c>
      <c r="D143">
        <v>1240</v>
      </c>
      <c r="E143" s="4">
        <f t="shared" si="4"/>
        <v>44552</v>
      </c>
      <c r="F143">
        <f t="shared" si="5"/>
        <v>477</v>
      </c>
    </row>
    <row r="144" spans="1:6" x14ac:dyDescent="0.55000000000000004">
      <c r="A144">
        <v>4.7931904598988749E+18</v>
      </c>
      <c r="B144" t="s">
        <v>144</v>
      </c>
      <c r="C144" t="s">
        <v>13</v>
      </c>
      <c r="D144">
        <v>390</v>
      </c>
      <c r="E144" s="4">
        <f t="shared" si="4"/>
        <v>44636</v>
      </c>
      <c r="F144">
        <f t="shared" si="5"/>
        <v>393</v>
      </c>
    </row>
    <row r="145" spans="1:6" x14ac:dyDescent="0.55000000000000004">
      <c r="A145">
        <v>5.8340753107297587E+18</v>
      </c>
      <c r="B145" t="s">
        <v>145</v>
      </c>
      <c r="C145" t="s">
        <v>13</v>
      </c>
      <c r="D145">
        <v>1206</v>
      </c>
      <c r="E145" s="4">
        <f t="shared" si="4"/>
        <v>44662</v>
      </c>
      <c r="F145">
        <f t="shared" si="5"/>
        <v>367</v>
      </c>
    </row>
    <row r="146" spans="1:6" x14ac:dyDescent="0.55000000000000004">
      <c r="A146">
        <v>1.1886972157497281E+19</v>
      </c>
      <c r="B146" t="s">
        <v>146</v>
      </c>
      <c r="C146" t="s">
        <v>13</v>
      </c>
      <c r="D146">
        <v>2856</v>
      </c>
      <c r="E146" s="4">
        <f t="shared" si="4"/>
        <v>44072</v>
      </c>
      <c r="F146">
        <f t="shared" si="5"/>
        <v>957</v>
      </c>
    </row>
    <row r="147" spans="1:6" x14ac:dyDescent="0.55000000000000004">
      <c r="A147">
        <v>1.1748387589311001E+19</v>
      </c>
      <c r="B147" t="s">
        <v>40</v>
      </c>
      <c r="C147" t="s">
        <v>5</v>
      </c>
      <c r="D147">
        <v>636</v>
      </c>
      <c r="E147" s="4">
        <f t="shared" si="4"/>
        <v>44990</v>
      </c>
      <c r="F147">
        <f t="shared" si="5"/>
        <v>39</v>
      </c>
    </row>
    <row r="148" spans="1:6" x14ac:dyDescent="0.55000000000000004">
      <c r="A148">
        <v>1.160766389248658E+19</v>
      </c>
      <c r="B148" t="s">
        <v>147</v>
      </c>
      <c r="C148" t="s">
        <v>5</v>
      </c>
      <c r="D148">
        <v>129</v>
      </c>
      <c r="E148" s="4">
        <f t="shared" si="4"/>
        <v>44599</v>
      </c>
      <c r="F148">
        <f t="shared" si="5"/>
        <v>430</v>
      </c>
    </row>
    <row r="149" spans="1:6" x14ac:dyDescent="0.55000000000000004">
      <c r="A149">
        <v>1.8137111385135651E+19</v>
      </c>
      <c r="B149" t="s">
        <v>148</v>
      </c>
      <c r="C149" t="s">
        <v>50</v>
      </c>
      <c r="D149">
        <v>95</v>
      </c>
      <c r="E149" s="4">
        <f t="shared" si="4"/>
        <v>44005</v>
      </c>
      <c r="F149">
        <f t="shared" si="5"/>
        <v>1024</v>
      </c>
    </row>
    <row r="150" spans="1:6" x14ac:dyDescent="0.55000000000000004">
      <c r="A150">
        <v>2.9736787866978289E+18</v>
      </c>
      <c r="B150" t="s">
        <v>51</v>
      </c>
      <c r="C150" t="s">
        <v>13</v>
      </c>
      <c r="D150">
        <v>2634</v>
      </c>
      <c r="E150" s="4">
        <f t="shared" si="4"/>
        <v>44310</v>
      </c>
      <c r="F150">
        <f t="shared" si="5"/>
        <v>719</v>
      </c>
    </row>
    <row r="151" spans="1:6" x14ac:dyDescent="0.55000000000000004">
      <c r="A151">
        <v>9.6122222484694364E+18</v>
      </c>
      <c r="B151" t="s">
        <v>149</v>
      </c>
      <c r="C151" t="s">
        <v>26</v>
      </c>
      <c r="D151">
        <v>417</v>
      </c>
      <c r="E151" s="4">
        <f t="shared" si="4"/>
        <v>43905</v>
      </c>
      <c r="F151">
        <f t="shared" si="5"/>
        <v>1124</v>
      </c>
    </row>
    <row r="152" spans="1:6" x14ac:dyDescent="0.55000000000000004">
      <c r="A152">
        <v>5.9243940192343204E+18</v>
      </c>
      <c r="B152" t="s">
        <v>150</v>
      </c>
      <c r="C152" t="s">
        <v>10</v>
      </c>
      <c r="D152">
        <v>510</v>
      </c>
      <c r="E152" s="4">
        <f t="shared" si="4"/>
        <v>44258</v>
      </c>
      <c r="F152">
        <f t="shared" si="5"/>
        <v>771</v>
      </c>
    </row>
    <row r="153" spans="1:6" x14ac:dyDescent="0.55000000000000004">
      <c r="A153">
        <v>8.4915234036773478E+18</v>
      </c>
      <c r="B153" t="s">
        <v>151</v>
      </c>
      <c r="C153" t="s">
        <v>10</v>
      </c>
      <c r="D153">
        <v>619</v>
      </c>
      <c r="E153" s="4">
        <f t="shared" si="4"/>
        <v>44952</v>
      </c>
      <c r="F153">
        <f t="shared" si="5"/>
        <v>77</v>
      </c>
    </row>
    <row r="154" spans="1:6" x14ac:dyDescent="0.55000000000000004">
      <c r="A154">
        <v>1.1774399960171579E+18</v>
      </c>
      <c r="B154" t="s">
        <v>152</v>
      </c>
      <c r="C154" t="s">
        <v>13</v>
      </c>
      <c r="D154">
        <v>1560</v>
      </c>
      <c r="E154" s="4">
        <f t="shared" si="4"/>
        <v>44256</v>
      </c>
      <c r="F154">
        <f t="shared" si="5"/>
        <v>773</v>
      </c>
    </row>
    <row r="155" spans="1:6" x14ac:dyDescent="0.55000000000000004">
      <c r="A155">
        <v>1.525234002805547E+19</v>
      </c>
      <c r="B155" t="s">
        <v>153</v>
      </c>
      <c r="C155" t="s">
        <v>10</v>
      </c>
      <c r="D155">
        <v>230</v>
      </c>
      <c r="E155" s="4">
        <f t="shared" si="4"/>
        <v>44327</v>
      </c>
      <c r="F155">
        <f t="shared" si="5"/>
        <v>702</v>
      </c>
    </row>
    <row r="156" spans="1:6" x14ac:dyDescent="0.55000000000000004">
      <c r="A156">
        <v>4.3931228336396959E+18</v>
      </c>
      <c r="B156" t="s">
        <v>154</v>
      </c>
      <c r="C156" t="s">
        <v>10</v>
      </c>
      <c r="D156">
        <v>2685</v>
      </c>
      <c r="E156" s="4">
        <f t="shared" si="4"/>
        <v>44884</v>
      </c>
      <c r="F156">
        <f t="shared" si="5"/>
        <v>145</v>
      </c>
    </row>
    <row r="157" spans="1:6" x14ac:dyDescent="0.55000000000000004">
      <c r="A157">
        <v>2.0142520458862761E+18</v>
      </c>
      <c r="B157" t="s">
        <v>155</v>
      </c>
      <c r="C157" t="s">
        <v>10</v>
      </c>
      <c r="D157">
        <v>772</v>
      </c>
      <c r="E157" s="4">
        <f t="shared" si="4"/>
        <v>44081</v>
      </c>
      <c r="F157">
        <f t="shared" si="5"/>
        <v>948</v>
      </c>
    </row>
    <row r="158" spans="1:6" x14ac:dyDescent="0.55000000000000004">
      <c r="A158">
        <v>1.0541013610742131E+19</v>
      </c>
      <c r="B158" t="s">
        <v>156</v>
      </c>
      <c r="C158" t="s">
        <v>10</v>
      </c>
      <c r="D158">
        <v>0</v>
      </c>
      <c r="E158" s="4">
        <f t="shared" si="4"/>
        <v>44903</v>
      </c>
      <c r="F158">
        <f t="shared" si="5"/>
        <v>126</v>
      </c>
    </row>
    <row r="159" spans="1:6" x14ac:dyDescent="0.55000000000000004">
      <c r="A159">
        <v>3.350444082874046E+18</v>
      </c>
      <c r="B159" t="s">
        <v>157</v>
      </c>
      <c r="C159" t="s">
        <v>13</v>
      </c>
      <c r="D159">
        <v>339</v>
      </c>
      <c r="E159" s="4">
        <f t="shared" si="4"/>
        <v>44467</v>
      </c>
      <c r="F159">
        <f t="shared" si="5"/>
        <v>562</v>
      </c>
    </row>
    <row r="160" spans="1:6" x14ac:dyDescent="0.55000000000000004">
      <c r="A160">
        <v>2.186524740627071E+18</v>
      </c>
      <c r="B160" t="s">
        <v>158</v>
      </c>
      <c r="C160" t="s">
        <v>10</v>
      </c>
      <c r="D160">
        <v>1377</v>
      </c>
      <c r="E160" s="4">
        <f t="shared" si="4"/>
        <v>44418</v>
      </c>
      <c r="F160">
        <f t="shared" si="5"/>
        <v>611</v>
      </c>
    </row>
    <row r="161" spans="1:6" x14ac:dyDescent="0.55000000000000004">
      <c r="A161">
        <v>8.8673048398511145E+18</v>
      </c>
      <c r="B161" t="s">
        <v>159</v>
      </c>
      <c r="C161" t="s">
        <v>50</v>
      </c>
      <c r="D161">
        <v>134</v>
      </c>
      <c r="E161" s="4">
        <f t="shared" si="4"/>
        <v>44762</v>
      </c>
      <c r="F161">
        <f t="shared" si="5"/>
        <v>267</v>
      </c>
    </row>
    <row r="162" spans="1:6" x14ac:dyDescent="0.55000000000000004">
      <c r="A162">
        <v>1.9971065681587571E+18</v>
      </c>
      <c r="B162" t="s">
        <v>160</v>
      </c>
      <c r="C162" t="s">
        <v>10</v>
      </c>
      <c r="D162">
        <v>3087</v>
      </c>
      <c r="E162" s="4">
        <f t="shared" si="4"/>
        <v>44723</v>
      </c>
      <c r="F162">
        <f t="shared" si="5"/>
        <v>306</v>
      </c>
    </row>
    <row r="163" spans="1:6" x14ac:dyDescent="0.55000000000000004">
      <c r="A163">
        <v>2.8651927368076319E+18</v>
      </c>
      <c r="B163" t="s">
        <v>161</v>
      </c>
      <c r="C163" t="s">
        <v>10</v>
      </c>
      <c r="D163">
        <v>8107</v>
      </c>
      <c r="E163" s="4">
        <f t="shared" si="4"/>
        <v>44450</v>
      </c>
      <c r="F163">
        <f t="shared" si="5"/>
        <v>579</v>
      </c>
    </row>
    <row r="164" spans="1:6" x14ac:dyDescent="0.55000000000000004">
      <c r="A164">
        <v>1.4691213133281549E+18</v>
      </c>
      <c r="B164" t="s">
        <v>162</v>
      </c>
      <c r="C164" t="s">
        <v>46</v>
      </c>
      <c r="D164">
        <v>3260</v>
      </c>
      <c r="E164" s="4">
        <f t="shared" si="4"/>
        <v>44537</v>
      </c>
      <c r="F164">
        <f t="shared" si="5"/>
        <v>492</v>
      </c>
    </row>
    <row r="165" spans="1:6" x14ac:dyDescent="0.55000000000000004">
      <c r="A165">
        <v>5.0481806929191342E+18</v>
      </c>
      <c r="B165" t="s">
        <v>163</v>
      </c>
      <c r="C165" t="s">
        <v>10</v>
      </c>
      <c r="D165">
        <v>241</v>
      </c>
      <c r="E165" s="4">
        <f t="shared" si="4"/>
        <v>43745</v>
      </c>
      <c r="F165">
        <f t="shared" si="5"/>
        <v>1284</v>
      </c>
    </row>
    <row r="166" spans="1:6" x14ac:dyDescent="0.55000000000000004">
      <c r="A166">
        <v>6.8081673511501599E+18</v>
      </c>
      <c r="B166" t="s">
        <v>164</v>
      </c>
      <c r="C166" t="s">
        <v>13</v>
      </c>
      <c r="D166">
        <v>2840</v>
      </c>
      <c r="E166" s="4">
        <f t="shared" si="4"/>
        <v>44324</v>
      </c>
      <c r="F166">
        <f t="shared" si="5"/>
        <v>705</v>
      </c>
    </row>
    <row r="167" spans="1:6" x14ac:dyDescent="0.55000000000000004">
      <c r="A167">
        <v>9.6321694814680187E+18</v>
      </c>
      <c r="B167" t="s">
        <v>165</v>
      </c>
      <c r="C167" t="s">
        <v>13</v>
      </c>
      <c r="D167">
        <v>282</v>
      </c>
      <c r="E167" s="4">
        <f t="shared" si="4"/>
        <v>44513</v>
      </c>
      <c r="F167">
        <f t="shared" si="5"/>
        <v>516</v>
      </c>
    </row>
    <row r="168" spans="1:6" x14ac:dyDescent="0.55000000000000004">
      <c r="A168">
        <v>1.3124075437308191E+19</v>
      </c>
      <c r="B168" t="s">
        <v>166</v>
      </c>
      <c r="C168" t="s">
        <v>7</v>
      </c>
      <c r="D168">
        <v>17</v>
      </c>
      <c r="E168" s="4">
        <f t="shared" si="4"/>
        <v>43895</v>
      </c>
      <c r="F168">
        <f t="shared" si="5"/>
        <v>1134</v>
      </c>
    </row>
    <row r="169" spans="1:6" x14ac:dyDescent="0.55000000000000004">
      <c r="A169">
        <v>6.31703434655326E+18</v>
      </c>
      <c r="B169" t="s">
        <v>167</v>
      </c>
      <c r="C169" t="s">
        <v>13</v>
      </c>
      <c r="D169">
        <v>388</v>
      </c>
      <c r="E169" s="4">
        <f t="shared" si="4"/>
        <v>44118</v>
      </c>
      <c r="F169">
        <f t="shared" si="5"/>
        <v>911</v>
      </c>
    </row>
    <row r="170" spans="1:6" x14ac:dyDescent="0.55000000000000004">
      <c r="A170">
        <v>1.3705793649912039E+19</v>
      </c>
      <c r="B170" t="s">
        <v>168</v>
      </c>
      <c r="C170" t="s">
        <v>10</v>
      </c>
      <c r="D170">
        <v>252</v>
      </c>
      <c r="E170" s="4">
        <f t="shared" si="4"/>
        <v>43864</v>
      </c>
      <c r="F170">
        <f t="shared" si="5"/>
        <v>1165</v>
      </c>
    </row>
    <row r="171" spans="1:6" x14ac:dyDescent="0.55000000000000004">
      <c r="A171">
        <v>6.6437018081170381E+17</v>
      </c>
      <c r="B171" t="s">
        <v>169</v>
      </c>
      <c r="C171" t="s">
        <v>10</v>
      </c>
      <c r="D171">
        <v>1890</v>
      </c>
      <c r="E171" s="4">
        <f t="shared" si="4"/>
        <v>44291</v>
      </c>
      <c r="F171">
        <f t="shared" si="5"/>
        <v>738</v>
      </c>
    </row>
    <row r="172" spans="1:6" x14ac:dyDescent="0.55000000000000004">
      <c r="A172">
        <v>5.062924551433218E+18</v>
      </c>
      <c r="B172" t="s">
        <v>170</v>
      </c>
      <c r="C172" t="s">
        <v>10</v>
      </c>
      <c r="D172">
        <v>147</v>
      </c>
      <c r="E172" s="4">
        <f t="shared" si="4"/>
        <v>44615</v>
      </c>
      <c r="F172">
        <f t="shared" si="5"/>
        <v>414</v>
      </c>
    </row>
    <row r="173" spans="1:6" x14ac:dyDescent="0.55000000000000004">
      <c r="A173">
        <v>7.3495204148405125E+18</v>
      </c>
      <c r="B173" t="s">
        <v>171</v>
      </c>
      <c r="C173" t="s">
        <v>7</v>
      </c>
      <c r="D173">
        <v>31</v>
      </c>
      <c r="E173" s="4">
        <f t="shared" si="4"/>
        <v>44457</v>
      </c>
      <c r="F173">
        <f t="shared" si="5"/>
        <v>572</v>
      </c>
    </row>
    <row r="174" spans="1:6" x14ac:dyDescent="0.55000000000000004">
      <c r="A174">
        <v>1.300146662164583E+19</v>
      </c>
      <c r="B174" t="s">
        <v>172</v>
      </c>
      <c r="C174" t="s">
        <v>13</v>
      </c>
      <c r="D174">
        <v>231</v>
      </c>
      <c r="E174" s="4">
        <f t="shared" si="4"/>
        <v>43979</v>
      </c>
      <c r="F174">
        <f t="shared" si="5"/>
        <v>1050</v>
      </c>
    </row>
    <row r="175" spans="1:6" x14ac:dyDescent="0.55000000000000004">
      <c r="A175">
        <v>1.049243531480115E+19</v>
      </c>
      <c r="B175" t="s">
        <v>173</v>
      </c>
      <c r="C175" t="s">
        <v>10</v>
      </c>
      <c r="D175">
        <v>2970</v>
      </c>
      <c r="E175" s="4">
        <f t="shared" si="4"/>
        <v>44774</v>
      </c>
      <c r="F175">
        <f t="shared" si="5"/>
        <v>255</v>
      </c>
    </row>
    <row r="176" spans="1:6" x14ac:dyDescent="0.55000000000000004">
      <c r="A176">
        <v>5.3973038049061745E+18</v>
      </c>
      <c r="B176" t="s">
        <v>174</v>
      </c>
      <c r="C176" t="s">
        <v>7</v>
      </c>
      <c r="D176">
        <v>22580</v>
      </c>
      <c r="E176" s="4">
        <f t="shared" si="4"/>
        <v>44008</v>
      </c>
      <c r="F176">
        <f t="shared" si="5"/>
        <v>1021</v>
      </c>
    </row>
    <row r="177" spans="1:6" x14ac:dyDescent="0.55000000000000004">
      <c r="A177">
        <v>1.3593324848231891E+19</v>
      </c>
      <c r="B177" t="s">
        <v>175</v>
      </c>
      <c r="C177" t="s">
        <v>10</v>
      </c>
      <c r="D177">
        <v>493</v>
      </c>
      <c r="E177" s="4">
        <f t="shared" si="4"/>
        <v>44241</v>
      </c>
      <c r="F177">
        <f t="shared" si="5"/>
        <v>788</v>
      </c>
    </row>
    <row r="178" spans="1:6" x14ac:dyDescent="0.55000000000000004">
      <c r="A178">
        <v>1.733656592255062E+19</v>
      </c>
      <c r="B178" t="s">
        <v>20</v>
      </c>
      <c r="C178" t="s">
        <v>50</v>
      </c>
      <c r="D178">
        <v>150</v>
      </c>
      <c r="E178" s="4">
        <f t="shared" si="4"/>
        <v>44423</v>
      </c>
      <c r="F178">
        <f t="shared" si="5"/>
        <v>606</v>
      </c>
    </row>
    <row r="179" spans="1:6" x14ac:dyDescent="0.55000000000000004">
      <c r="A179">
        <v>3.8623480902649252E+18</v>
      </c>
      <c r="B179" t="s">
        <v>176</v>
      </c>
      <c r="C179" t="s">
        <v>10</v>
      </c>
      <c r="D179">
        <v>236</v>
      </c>
      <c r="E179" s="4">
        <f t="shared" si="4"/>
        <v>44773</v>
      </c>
      <c r="F179">
        <f t="shared" si="5"/>
        <v>256</v>
      </c>
    </row>
    <row r="180" spans="1:6" x14ac:dyDescent="0.55000000000000004">
      <c r="A180">
        <v>1.24462809513251E+19</v>
      </c>
      <c r="B180" t="s">
        <v>177</v>
      </c>
      <c r="C180" t="s">
        <v>10</v>
      </c>
      <c r="D180">
        <v>1890</v>
      </c>
      <c r="E180" s="4">
        <f t="shared" si="4"/>
        <v>44633</v>
      </c>
      <c r="F180">
        <f t="shared" si="5"/>
        <v>396</v>
      </c>
    </row>
    <row r="181" spans="1:6" x14ac:dyDescent="0.55000000000000004">
      <c r="A181">
        <v>1.000893489261431E+19</v>
      </c>
      <c r="B181" t="s">
        <v>178</v>
      </c>
      <c r="C181" t="s">
        <v>46</v>
      </c>
      <c r="D181">
        <v>562</v>
      </c>
      <c r="E181" s="4">
        <f t="shared" si="4"/>
        <v>44984</v>
      </c>
      <c r="F181">
        <f t="shared" si="5"/>
        <v>45</v>
      </c>
    </row>
    <row r="182" spans="1:6" x14ac:dyDescent="0.55000000000000004">
      <c r="A182">
        <v>1.9199465908224901E+18</v>
      </c>
      <c r="B182" t="s">
        <v>179</v>
      </c>
      <c r="C182" t="s">
        <v>7</v>
      </c>
      <c r="D182">
        <v>2190</v>
      </c>
      <c r="E182" s="4">
        <f t="shared" si="4"/>
        <v>44991</v>
      </c>
      <c r="F182">
        <f t="shared" si="5"/>
        <v>38</v>
      </c>
    </row>
    <row r="183" spans="1:6" x14ac:dyDescent="0.55000000000000004">
      <c r="A183">
        <v>4.850517775836585E+18</v>
      </c>
      <c r="B183" t="s">
        <v>180</v>
      </c>
      <c r="C183" t="s">
        <v>50</v>
      </c>
      <c r="D183">
        <v>114</v>
      </c>
      <c r="E183" s="4">
        <f t="shared" si="4"/>
        <v>44696</v>
      </c>
      <c r="F183">
        <f t="shared" si="5"/>
        <v>333</v>
      </c>
    </row>
    <row r="184" spans="1:6" x14ac:dyDescent="0.55000000000000004">
      <c r="A184">
        <v>1.099903876814099E+19</v>
      </c>
      <c r="B184" t="s">
        <v>181</v>
      </c>
      <c r="C184" t="s">
        <v>10</v>
      </c>
      <c r="D184">
        <v>6705</v>
      </c>
      <c r="E184" s="4">
        <f t="shared" si="4"/>
        <v>45000</v>
      </c>
      <c r="F184">
        <f t="shared" si="5"/>
        <v>29</v>
      </c>
    </row>
    <row r="185" spans="1:6" x14ac:dyDescent="0.55000000000000004">
      <c r="A185">
        <v>1.115799380323557E+19</v>
      </c>
      <c r="B185" t="s">
        <v>182</v>
      </c>
      <c r="C185" t="s">
        <v>7</v>
      </c>
      <c r="D185">
        <v>5250</v>
      </c>
      <c r="E185" s="4">
        <f t="shared" si="4"/>
        <v>44546</v>
      </c>
      <c r="F185">
        <f t="shared" si="5"/>
        <v>483</v>
      </c>
    </row>
    <row r="186" spans="1:6" x14ac:dyDescent="0.55000000000000004">
      <c r="A186">
        <v>1.023189554626777E+18</v>
      </c>
      <c r="B186" t="s">
        <v>183</v>
      </c>
      <c r="C186" t="s">
        <v>10</v>
      </c>
      <c r="D186">
        <v>13341</v>
      </c>
      <c r="E186" s="4">
        <f t="shared" si="4"/>
        <v>43583</v>
      </c>
      <c r="F186">
        <f t="shared" si="5"/>
        <v>1446</v>
      </c>
    </row>
    <row r="187" spans="1:6" x14ac:dyDescent="0.55000000000000004">
      <c r="A187">
        <v>9.5591234173917E+18</v>
      </c>
      <c r="B187" t="s">
        <v>184</v>
      </c>
      <c r="C187" t="s">
        <v>26</v>
      </c>
      <c r="D187">
        <v>238</v>
      </c>
      <c r="E187" s="4">
        <f t="shared" si="4"/>
        <v>44152</v>
      </c>
      <c r="F187">
        <f t="shared" si="5"/>
        <v>877</v>
      </c>
    </row>
    <row r="188" spans="1:6" x14ac:dyDescent="0.55000000000000004">
      <c r="A188">
        <v>1.122980992366614E+18</v>
      </c>
      <c r="B188" t="s">
        <v>185</v>
      </c>
      <c r="C188" t="s">
        <v>10</v>
      </c>
      <c r="D188">
        <v>1930</v>
      </c>
      <c r="E188" s="4">
        <f t="shared" si="4"/>
        <v>44551</v>
      </c>
      <c r="F188">
        <f t="shared" si="5"/>
        <v>478</v>
      </c>
    </row>
    <row r="189" spans="1:6" x14ac:dyDescent="0.55000000000000004">
      <c r="A189">
        <v>3.9926169556438211E+18</v>
      </c>
      <c r="B189" t="s">
        <v>136</v>
      </c>
      <c r="C189" t="s">
        <v>13</v>
      </c>
      <c r="D189">
        <v>1726</v>
      </c>
      <c r="E189" s="4">
        <f t="shared" si="4"/>
        <v>44955</v>
      </c>
      <c r="F189">
        <f t="shared" si="5"/>
        <v>74</v>
      </c>
    </row>
    <row r="190" spans="1:6" x14ac:dyDescent="0.55000000000000004">
      <c r="A190">
        <v>3.2454530566074941E+18</v>
      </c>
      <c r="B190" t="s">
        <v>186</v>
      </c>
      <c r="C190" t="s">
        <v>7</v>
      </c>
      <c r="D190">
        <v>5370</v>
      </c>
      <c r="E190" s="4">
        <f t="shared" si="4"/>
        <v>44605</v>
      </c>
      <c r="F190">
        <f t="shared" si="5"/>
        <v>424</v>
      </c>
    </row>
    <row r="191" spans="1:6" x14ac:dyDescent="0.55000000000000004">
      <c r="A191">
        <v>8.7716318777703711E+18</v>
      </c>
      <c r="B191" t="s">
        <v>88</v>
      </c>
      <c r="C191" t="s">
        <v>46</v>
      </c>
      <c r="D191">
        <v>387</v>
      </c>
      <c r="E191" s="4">
        <f t="shared" si="4"/>
        <v>44898</v>
      </c>
      <c r="F191">
        <f t="shared" si="5"/>
        <v>131</v>
      </c>
    </row>
    <row r="192" spans="1:6" x14ac:dyDescent="0.55000000000000004">
      <c r="A192">
        <v>1.7584192800198799E+19</v>
      </c>
      <c r="B192" t="s">
        <v>187</v>
      </c>
      <c r="C192" t="s">
        <v>13</v>
      </c>
      <c r="D192">
        <v>239</v>
      </c>
      <c r="E192" s="4">
        <f t="shared" si="4"/>
        <v>44156</v>
      </c>
      <c r="F192">
        <f t="shared" si="5"/>
        <v>873</v>
      </c>
    </row>
    <row r="193" spans="1:6" x14ac:dyDescent="0.55000000000000004">
      <c r="A193">
        <v>9.1869005501774121E+18</v>
      </c>
      <c r="B193" t="s">
        <v>188</v>
      </c>
      <c r="C193" t="s">
        <v>10</v>
      </c>
      <c r="D193">
        <v>96</v>
      </c>
      <c r="E193" s="4">
        <f t="shared" si="4"/>
        <v>43790</v>
      </c>
      <c r="F193">
        <f t="shared" si="5"/>
        <v>1239</v>
      </c>
    </row>
    <row r="194" spans="1:6" x14ac:dyDescent="0.55000000000000004">
      <c r="A194">
        <v>2.2219326285600251E+18</v>
      </c>
      <c r="B194" t="s">
        <v>189</v>
      </c>
      <c r="C194" t="s">
        <v>50</v>
      </c>
      <c r="D194">
        <v>428</v>
      </c>
      <c r="E194" s="4">
        <f t="shared" si="4"/>
        <v>44830</v>
      </c>
      <c r="F194">
        <f t="shared" si="5"/>
        <v>199</v>
      </c>
    </row>
    <row r="195" spans="1:6" x14ac:dyDescent="0.55000000000000004">
      <c r="A195">
        <v>6.0965140272997366E+18</v>
      </c>
      <c r="B195" t="s">
        <v>190</v>
      </c>
      <c r="C195" t="s">
        <v>13</v>
      </c>
      <c r="D195">
        <v>419</v>
      </c>
      <c r="E195" s="4">
        <f t="shared" ref="E195:E258" si="6">DATEVALUE(B195)</f>
        <v>44818</v>
      </c>
      <c r="F195">
        <f t="shared" ref="F195:F258" si="7">$H$1-E195</f>
        <v>211</v>
      </c>
    </row>
    <row r="196" spans="1:6" x14ac:dyDescent="0.55000000000000004">
      <c r="A196">
        <v>1.1774399960171579E+18</v>
      </c>
      <c r="B196" t="s">
        <v>191</v>
      </c>
      <c r="C196" t="s">
        <v>10</v>
      </c>
      <c r="D196">
        <v>5625</v>
      </c>
      <c r="E196" s="4">
        <f t="shared" si="6"/>
        <v>44556</v>
      </c>
      <c r="F196">
        <f t="shared" si="7"/>
        <v>473</v>
      </c>
    </row>
    <row r="197" spans="1:6" x14ac:dyDescent="0.55000000000000004">
      <c r="A197">
        <v>4.9500099252429445E+18</v>
      </c>
      <c r="B197" t="s">
        <v>61</v>
      </c>
      <c r="C197" t="s">
        <v>13</v>
      </c>
      <c r="D197">
        <v>1551</v>
      </c>
      <c r="E197" s="4">
        <f t="shared" si="6"/>
        <v>44894</v>
      </c>
      <c r="F197">
        <f t="shared" si="7"/>
        <v>135</v>
      </c>
    </row>
    <row r="198" spans="1:6" x14ac:dyDescent="0.55000000000000004">
      <c r="A198">
        <v>1.195913589439642E+19</v>
      </c>
      <c r="B198" t="s">
        <v>192</v>
      </c>
      <c r="C198" t="s">
        <v>26</v>
      </c>
      <c r="D198">
        <v>1933</v>
      </c>
      <c r="E198" s="4">
        <f t="shared" si="6"/>
        <v>44148</v>
      </c>
      <c r="F198">
        <f t="shared" si="7"/>
        <v>881</v>
      </c>
    </row>
    <row r="199" spans="1:6" x14ac:dyDescent="0.55000000000000004">
      <c r="A199">
        <v>3.8820816954258478E+18</v>
      </c>
      <c r="B199" t="s">
        <v>193</v>
      </c>
      <c r="C199" t="s">
        <v>13</v>
      </c>
      <c r="D199">
        <v>310</v>
      </c>
      <c r="E199" s="4">
        <f t="shared" si="6"/>
        <v>44575</v>
      </c>
      <c r="F199">
        <f t="shared" si="7"/>
        <v>454</v>
      </c>
    </row>
    <row r="200" spans="1:6" x14ac:dyDescent="0.55000000000000004">
      <c r="A200">
        <v>1.7273082300137501E+19</v>
      </c>
      <c r="B200" t="s">
        <v>194</v>
      </c>
      <c r="C200" t="s">
        <v>13</v>
      </c>
      <c r="D200">
        <v>2373</v>
      </c>
      <c r="E200" s="4">
        <f t="shared" si="6"/>
        <v>44988</v>
      </c>
      <c r="F200">
        <f t="shared" si="7"/>
        <v>41</v>
      </c>
    </row>
    <row r="201" spans="1:6" x14ac:dyDescent="0.55000000000000004">
      <c r="A201">
        <v>1.0162945802526751E+19</v>
      </c>
      <c r="B201" t="s">
        <v>195</v>
      </c>
      <c r="C201" t="s">
        <v>10</v>
      </c>
      <c r="D201">
        <v>565</v>
      </c>
      <c r="E201" s="4">
        <f t="shared" si="6"/>
        <v>44640</v>
      </c>
      <c r="F201">
        <f t="shared" si="7"/>
        <v>389</v>
      </c>
    </row>
    <row r="202" spans="1:6" x14ac:dyDescent="0.55000000000000004">
      <c r="A202">
        <v>5.2552553803214479E+18</v>
      </c>
      <c r="B202" t="s">
        <v>196</v>
      </c>
      <c r="C202" t="s">
        <v>10</v>
      </c>
      <c r="D202">
        <v>2555</v>
      </c>
      <c r="E202" s="4">
        <f t="shared" si="6"/>
        <v>44759</v>
      </c>
      <c r="F202">
        <f t="shared" si="7"/>
        <v>270</v>
      </c>
    </row>
    <row r="203" spans="1:6" x14ac:dyDescent="0.55000000000000004">
      <c r="A203">
        <v>1.1466666695778251E+19</v>
      </c>
      <c r="B203" t="s">
        <v>197</v>
      </c>
      <c r="C203" t="s">
        <v>13</v>
      </c>
      <c r="D203">
        <v>579</v>
      </c>
      <c r="E203" s="4">
        <f t="shared" si="6"/>
        <v>45003</v>
      </c>
      <c r="F203">
        <f t="shared" si="7"/>
        <v>26</v>
      </c>
    </row>
    <row r="204" spans="1:6" x14ac:dyDescent="0.55000000000000004">
      <c r="A204">
        <v>1.046303413898793E+18</v>
      </c>
      <c r="B204" t="s">
        <v>180</v>
      </c>
      <c r="C204" t="s">
        <v>10</v>
      </c>
      <c r="D204">
        <v>40953</v>
      </c>
      <c r="E204" s="4">
        <f t="shared" si="6"/>
        <v>44696</v>
      </c>
      <c r="F204">
        <f t="shared" si="7"/>
        <v>333</v>
      </c>
    </row>
    <row r="205" spans="1:6" x14ac:dyDescent="0.55000000000000004">
      <c r="A205">
        <v>1.6955885148495741E+19</v>
      </c>
      <c r="B205" t="s">
        <v>127</v>
      </c>
      <c r="C205" t="s">
        <v>13</v>
      </c>
      <c r="D205">
        <v>1020</v>
      </c>
      <c r="E205" s="4">
        <f t="shared" si="6"/>
        <v>43824</v>
      </c>
      <c r="F205">
        <f t="shared" si="7"/>
        <v>1205</v>
      </c>
    </row>
    <row r="206" spans="1:6" x14ac:dyDescent="0.55000000000000004">
      <c r="A206">
        <v>4.7892406125369027E+18</v>
      </c>
      <c r="B206" t="s">
        <v>198</v>
      </c>
      <c r="C206" t="s">
        <v>10</v>
      </c>
      <c r="D206">
        <v>3873</v>
      </c>
      <c r="E206" s="4">
        <f t="shared" si="6"/>
        <v>44149</v>
      </c>
      <c r="F206">
        <f t="shared" si="7"/>
        <v>880</v>
      </c>
    </row>
    <row r="207" spans="1:6" x14ac:dyDescent="0.55000000000000004">
      <c r="A207">
        <v>6.0436031502157281E+18</v>
      </c>
      <c r="B207" t="s">
        <v>199</v>
      </c>
      <c r="C207" t="s">
        <v>7</v>
      </c>
      <c r="D207">
        <v>120</v>
      </c>
      <c r="E207" s="4">
        <f t="shared" si="6"/>
        <v>44095</v>
      </c>
      <c r="F207">
        <f t="shared" si="7"/>
        <v>934</v>
      </c>
    </row>
    <row r="208" spans="1:6" x14ac:dyDescent="0.55000000000000004">
      <c r="A208">
        <v>8.1668287347197952E+18</v>
      </c>
      <c r="B208" t="s">
        <v>115</v>
      </c>
      <c r="C208" t="s">
        <v>10</v>
      </c>
      <c r="D208">
        <v>199</v>
      </c>
      <c r="E208" s="4">
        <f t="shared" si="6"/>
        <v>44580</v>
      </c>
      <c r="F208">
        <f t="shared" si="7"/>
        <v>449</v>
      </c>
    </row>
    <row r="209" spans="1:6" x14ac:dyDescent="0.55000000000000004">
      <c r="A209">
        <v>1.7714807636284101E+19</v>
      </c>
      <c r="B209" t="s">
        <v>200</v>
      </c>
      <c r="C209" t="s">
        <v>10</v>
      </c>
      <c r="D209">
        <v>402</v>
      </c>
      <c r="E209" s="4">
        <f t="shared" si="6"/>
        <v>44720</v>
      </c>
      <c r="F209">
        <f t="shared" si="7"/>
        <v>309</v>
      </c>
    </row>
    <row r="210" spans="1:6" x14ac:dyDescent="0.55000000000000004">
      <c r="A210">
        <v>7.0951104832175278E+18</v>
      </c>
      <c r="B210" t="s">
        <v>201</v>
      </c>
      <c r="C210" t="s">
        <v>10</v>
      </c>
      <c r="D210">
        <v>2720</v>
      </c>
      <c r="E210" s="4">
        <f t="shared" si="6"/>
        <v>44715</v>
      </c>
      <c r="F210">
        <f t="shared" si="7"/>
        <v>314</v>
      </c>
    </row>
    <row r="211" spans="1:6" x14ac:dyDescent="0.55000000000000004">
      <c r="A211">
        <v>4.9679677734774938E+18</v>
      </c>
      <c r="B211" t="s">
        <v>155</v>
      </c>
      <c r="C211" t="s">
        <v>13</v>
      </c>
      <c r="D211">
        <v>404</v>
      </c>
      <c r="E211" s="4">
        <f t="shared" si="6"/>
        <v>44081</v>
      </c>
      <c r="F211">
        <f t="shared" si="7"/>
        <v>948</v>
      </c>
    </row>
    <row r="212" spans="1:6" x14ac:dyDescent="0.55000000000000004">
      <c r="A212">
        <v>1.100379652071211E+18</v>
      </c>
      <c r="B212" t="s">
        <v>202</v>
      </c>
      <c r="C212" t="s">
        <v>13</v>
      </c>
      <c r="D212">
        <v>3890</v>
      </c>
      <c r="E212" s="4">
        <f t="shared" si="6"/>
        <v>44520</v>
      </c>
      <c r="F212">
        <f t="shared" si="7"/>
        <v>509</v>
      </c>
    </row>
    <row r="213" spans="1:6" x14ac:dyDescent="0.55000000000000004">
      <c r="A213">
        <v>3.9325204183798779E+18</v>
      </c>
      <c r="B213" t="s">
        <v>203</v>
      </c>
      <c r="C213" t="s">
        <v>10</v>
      </c>
      <c r="D213">
        <v>1259</v>
      </c>
      <c r="E213" s="4">
        <f t="shared" si="6"/>
        <v>44875</v>
      </c>
      <c r="F213">
        <f t="shared" si="7"/>
        <v>154</v>
      </c>
    </row>
    <row r="214" spans="1:6" x14ac:dyDescent="0.55000000000000004">
      <c r="A214">
        <v>1.629324704820073E+18</v>
      </c>
      <c r="B214" t="s">
        <v>204</v>
      </c>
      <c r="C214" t="s">
        <v>13</v>
      </c>
      <c r="D214">
        <v>2577</v>
      </c>
      <c r="E214" s="4">
        <f t="shared" si="6"/>
        <v>44849</v>
      </c>
      <c r="F214">
        <f t="shared" si="7"/>
        <v>180</v>
      </c>
    </row>
    <row r="215" spans="1:6" x14ac:dyDescent="0.55000000000000004">
      <c r="A215">
        <v>5.3744616220022743E+18</v>
      </c>
      <c r="B215" t="s">
        <v>205</v>
      </c>
      <c r="C215" t="s">
        <v>13</v>
      </c>
      <c r="D215">
        <v>180</v>
      </c>
      <c r="E215" s="4">
        <f t="shared" si="6"/>
        <v>43699</v>
      </c>
      <c r="F215">
        <f t="shared" si="7"/>
        <v>1330</v>
      </c>
    </row>
    <row r="216" spans="1:6" x14ac:dyDescent="0.55000000000000004">
      <c r="A216">
        <v>1.718629974621432E+19</v>
      </c>
      <c r="B216" t="s">
        <v>206</v>
      </c>
      <c r="C216" t="s">
        <v>13</v>
      </c>
      <c r="D216">
        <v>14985</v>
      </c>
      <c r="E216" s="4">
        <f t="shared" si="6"/>
        <v>44970</v>
      </c>
      <c r="F216">
        <f t="shared" si="7"/>
        <v>59</v>
      </c>
    </row>
    <row r="217" spans="1:6" x14ac:dyDescent="0.55000000000000004">
      <c r="A217">
        <v>1.747375696233046E+19</v>
      </c>
      <c r="B217" t="s">
        <v>207</v>
      </c>
      <c r="C217" t="s">
        <v>13</v>
      </c>
      <c r="D217">
        <v>3790</v>
      </c>
      <c r="E217" s="4">
        <f t="shared" si="6"/>
        <v>43773</v>
      </c>
      <c r="F217">
        <f t="shared" si="7"/>
        <v>1256</v>
      </c>
    </row>
    <row r="218" spans="1:6" x14ac:dyDescent="0.55000000000000004">
      <c r="A218">
        <v>5.8066164037275054E+18</v>
      </c>
      <c r="B218" t="s">
        <v>208</v>
      </c>
      <c r="C218" t="s">
        <v>13</v>
      </c>
      <c r="D218">
        <v>7970</v>
      </c>
      <c r="E218" s="4">
        <f t="shared" si="6"/>
        <v>44630</v>
      </c>
      <c r="F218">
        <f t="shared" si="7"/>
        <v>399</v>
      </c>
    </row>
    <row r="219" spans="1:6" x14ac:dyDescent="0.55000000000000004">
      <c r="A219">
        <v>9.1291267439478784E+18</v>
      </c>
      <c r="B219" t="s">
        <v>209</v>
      </c>
      <c r="C219" t="s">
        <v>13</v>
      </c>
      <c r="D219">
        <v>532</v>
      </c>
      <c r="E219" s="4">
        <f t="shared" si="6"/>
        <v>44940</v>
      </c>
      <c r="F219">
        <f t="shared" si="7"/>
        <v>89</v>
      </c>
    </row>
    <row r="220" spans="1:6" x14ac:dyDescent="0.55000000000000004">
      <c r="A220">
        <v>1.147967475040103E+19</v>
      </c>
      <c r="B220" t="s">
        <v>210</v>
      </c>
      <c r="C220" t="s">
        <v>10</v>
      </c>
      <c r="D220">
        <v>2175</v>
      </c>
      <c r="E220" s="4">
        <f t="shared" si="6"/>
        <v>44082</v>
      </c>
      <c r="F220">
        <f t="shared" si="7"/>
        <v>947</v>
      </c>
    </row>
    <row r="221" spans="1:6" x14ac:dyDescent="0.55000000000000004">
      <c r="A221">
        <v>7.9294584105126963E+18</v>
      </c>
      <c r="B221" t="s">
        <v>211</v>
      </c>
      <c r="C221" t="s">
        <v>10</v>
      </c>
      <c r="D221">
        <v>2730</v>
      </c>
      <c r="E221" s="4">
        <f t="shared" si="6"/>
        <v>44519</v>
      </c>
      <c r="F221">
        <f t="shared" si="7"/>
        <v>510</v>
      </c>
    </row>
    <row r="222" spans="1:6" x14ac:dyDescent="0.55000000000000004">
      <c r="A222">
        <v>6.0502654778610524E+18</v>
      </c>
      <c r="B222" t="s">
        <v>212</v>
      </c>
      <c r="C222" t="s">
        <v>10</v>
      </c>
      <c r="D222">
        <v>80</v>
      </c>
      <c r="E222" s="4">
        <f t="shared" si="6"/>
        <v>43915</v>
      </c>
      <c r="F222">
        <f t="shared" si="7"/>
        <v>1114</v>
      </c>
    </row>
    <row r="223" spans="1:6" x14ac:dyDescent="0.55000000000000004">
      <c r="A223">
        <v>1.3114024756188649E+19</v>
      </c>
      <c r="B223" t="s">
        <v>213</v>
      </c>
      <c r="C223" t="s">
        <v>50</v>
      </c>
      <c r="D223">
        <v>426</v>
      </c>
      <c r="E223" s="4">
        <f t="shared" si="6"/>
        <v>44800</v>
      </c>
      <c r="F223">
        <f t="shared" si="7"/>
        <v>229</v>
      </c>
    </row>
    <row r="224" spans="1:6" x14ac:dyDescent="0.55000000000000004">
      <c r="A224">
        <v>5.4059398132815749E+18</v>
      </c>
      <c r="B224" t="s">
        <v>36</v>
      </c>
      <c r="C224" t="s">
        <v>13</v>
      </c>
      <c r="D224">
        <v>313</v>
      </c>
      <c r="E224" s="4">
        <f t="shared" si="6"/>
        <v>44808</v>
      </c>
      <c r="F224">
        <f t="shared" si="7"/>
        <v>221</v>
      </c>
    </row>
    <row r="225" spans="1:6" x14ac:dyDescent="0.55000000000000004">
      <c r="A225">
        <v>8.9006622298564833E+18</v>
      </c>
      <c r="B225" t="s">
        <v>214</v>
      </c>
      <c r="C225" t="s">
        <v>10</v>
      </c>
      <c r="D225">
        <v>990</v>
      </c>
      <c r="E225" s="4">
        <f t="shared" si="6"/>
        <v>44821</v>
      </c>
      <c r="F225">
        <f t="shared" si="7"/>
        <v>208</v>
      </c>
    </row>
    <row r="226" spans="1:6" x14ac:dyDescent="0.55000000000000004">
      <c r="A226">
        <v>1.000332499578177E+18</v>
      </c>
      <c r="B226" t="s">
        <v>215</v>
      </c>
      <c r="C226" t="s">
        <v>26</v>
      </c>
      <c r="D226">
        <v>1382</v>
      </c>
      <c r="E226" s="4">
        <f t="shared" si="6"/>
        <v>44068</v>
      </c>
      <c r="F226">
        <f t="shared" si="7"/>
        <v>961</v>
      </c>
    </row>
    <row r="227" spans="1:6" x14ac:dyDescent="0.55000000000000004">
      <c r="A227">
        <v>1.9146529279689521E+18</v>
      </c>
      <c r="B227" t="s">
        <v>118</v>
      </c>
      <c r="C227" t="s">
        <v>13</v>
      </c>
      <c r="D227">
        <v>270</v>
      </c>
      <c r="E227" s="4">
        <f t="shared" si="6"/>
        <v>43757</v>
      </c>
      <c r="F227">
        <f t="shared" si="7"/>
        <v>1272</v>
      </c>
    </row>
    <row r="228" spans="1:6" x14ac:dyDescent="0.55000000000000004">
      <c r="A228">
        <v>5.9294889023276319E+18</v>
      </c>
      <c r="B228" t="s">
        <v>216</v>
      </c>
      <c r="C228" t="s">
        <v>7</v>
      </c>
      <c r="D228">
        <v>378</v>
      </c>
      <c r="E228" s="4">
        <f t="shared" si="6"/>
        <v>44027</v>
      </c>
      <c r="F228">
        <f t="shared" si="7"/>
        <v>1002</v>
      </c>
    </row>
    <row r="229" spans="1:6" x14ac:dyDescent="0.55000000000000004">
      <c r="A229">
        <v>1.3496035708042889E+19</v>
      </c>
      <c r="B229" t="s">
        <v>217</v>
      </c>
      <c r="C229" t="s">
        <v>13</v>
      </c>
      <c r="D229">
        <v>2480</v>
      </c>
      <c r="E229" s="4">
        <f t="shared" si="6"/>
        <v>44239</v>
      </c>
      <c r="F229">
        <f t="shared" si="7"/>
        <v>790</v>
      </c>
    </row>
    <row r="230" spans="1:6" x14ac:dyDescent="0.55000000000000004">
      <c r="A230">
        <v>2.8877773766432451E+18</v>
      </c>
      <c r="B230" t="s">
        <v>218</v>
      </c>
      <c r="C230" t="s">
        <v>10</v>
      </c>
      <c r="D230">
        <v>490</v>
      </c>
      <c r="E230" s="4">
        <f t="shared" si="6"/>
        <v>44419</v>
      </c>
      <c r="F230">
        <f t="shared" si="7"/>
        <v>610</v>
      </c>
    </row>
    <row r="231" spans="1:6" x14ac:dyDescent="0.55000000000000004">
      <c r="A231">
        <v>1.193444999446759E+19</v>
      </c>
      <c r="B231" t="s">
        <v>219</v>
      </c>
      <c r="C231" t="s">
        <v>13</v>
      </c>
      <c r="D231">
        <v>613</v>
      </c>
      <c r="E231" s="4">
        <f t="shared" si="6"/>
        <v>44864</v>
      </c>
      <c r="F231">
        <f t="shared" si="7"/>
        <v>165</v>
      </c>
    </row>
    <row r="232" spans="1:6" x14ac:dyDescent="0.55000000000000004">
      <c r="A232">
        <v>1.1521822572636701E+19</v>
      </c>
      <c r="B232" t="s">
        <v>220</v>
      </c>
      <c r="C232" t="s">
        <v>13</v>
      </c>
      <c r="D232">
        <v>154</v>
      </c>
      <c r="E232" s="4">
        <f t="shared" si="6"/>
        <v>43886</v>
      </c>
      <c r="F232">
        <f t="shared" si="7"/>
        <v>1143</v>
      </c>
    </row>
    <row r="233" spans="1:6" x14ac:dyDescent="0.55000000000000004">
      <c r="A233">
        <v>8.3774731282470246E+18</v>
      </c>
      <c r="B233" t="s">
        <v>221</v>
      </c>
      <c r="C233" t="s">
        <v>13</v>
      </c>
      <c r="D233">
        <v>7170</v>
      </c>
      <c r="E233" s="4">
        <f t="shared" si="6"/>
        <v>44161</v>
      </c>
      <c r="F233">
        <f t="shared" si="7"/>
        <v>868</v>
      </c>
    </row>
    <row r="234" spans="1:6" x14ac:dyDescent="0.55000000000000004">
      <c r="A234">
        <v>1.7101959863354759E+19</v>
      </c>
      <c r="B234" t="s">
        <v>222</v>
      </c>
      <c r="C234" t="s">
        <v>10</v>
      </c>
      <c r="D234">
        <v>2746</v>
      </c>
      <c r="E234" s="4">
        <f t="shared" si="6"/>
        <v>45016</v>
      </c>
      <c r="F234">
        <f t="shared" si="7"/>
        <v>13</v>
      </c>
    </row>
    <row r="235" spans="1:6" x14ac:dyDescent="0.55000000000000004">
      <c r="A235">
        <v>5.1197851135200154E+18</v>
      </c>
      <c r="B235" t="s">
        <v>93</v>
      </c>
      <c r="C235" t="s">
        <v>10</v>
      </c>
      <c r="D235">
        <v>9042</v>
      </c>
      <c r="E235" s="4">
        <f t="shared" si="6"/>
        <v>44006</v>
      </c>
      <c r="F235">
        <f t="shared" si="7"/>
        <v>1023</v>
      </c>
    </row>
    <row r="236" spans="1:6" x14ac:dyDescent="0.55000000000000004">
      <c r="A236">
        <v>1.564261451565621E+19</v>
      </c>
      <c r="B236" t="s">
        <v>223</v>
      </c>
      <c r="C236" t="s">
        <v>10</v>
      </c>
      <c r="D236">
        <v>550</v>
      </c>
      <c r="E236" s="4">
        <f t="shared" si="6"/>
        <v>44623</v>
      </c>
      <c r="F236">
        <f t="shared" si="7"/>
        <v>406</v>
      </c>
    </row>
    <row r="237" spans="1:6" x14ac:dyDescent="0.55000000000000004">
      <c r="A237">
        <v>8.2940122123659622E+18</v>
      </c>
      <c r="B237" t="s">
        <v>224</v>
      </c>
      <c r="C237" t="s">
        <v>10</v>
      </c>
      <c r="D237">
        <v>199</v>
      </c>
      <c r="E237" s="4">
        <f t="shared" si="6"/>
        <v>44460</v>
      </c>
      <c r="F237">
        <f t="shared" si="7"/>
        <v>569</v>
      </c>
    </row>
    <row r="238" spans="1:6" x14ac:dyDescent="0.55000000000000004">
      <c r="A238">
        <v>1.646635473202792E+19</v>
      </c>
      <c r="B238" t="s">
        <v>225</v>
      </c>
      <c r="C238" t="s">
        <v>13</v>
      </c>
      <c r="D238">
        <v>308</v>
      </c>
      <c r="E238" s="4">
        <f t="shared" si="6"/>
        <v>43830</v>
      </c>
      <c r="F238">
        <f t="shared" si="7"/>
        <v>1199</v>
      </c>
    </row>
    <row r="239" spans="1:6" x14ac:dyDescent="0.55000000000000004">
      <c r="A239">
        <v>8.6886831850354483E+18</v>
      </c>
      <c r="B239" t="s">
        <v>226</v>
      </c>
      <c r="C239" t="s">
        <v>13</v>
      </c>
      <c r="D239">
        <v>1355</v>
      </c>
      <c r="E239" s="4">
        <f t="shared" si="6"/>
        <v>44613</v>
      </c>
      <c r="F239">
        <f t="shared" si="7"/>
        <v>416</v>
      </c>
    </row>
    <row r="240" spans="1:6" x14ac:dyDescent="0.55000000000000004">
      <c r="A240">
        <v>1.756406149997612E+19</v>
      </c>
      <c r="B240" t="s">
        <v>227</v>
      </c>
      <c r="C240" t="s">
        <v>13</v>
      </c>
      <c r="D240">
        <v>1115</v>
      </c>
      <c r="E240" s="4">
        <f t="shared" si="6"/>
        <v>45007</v>
      </c>
      <c r="F240">
        <f t="shared" si="7"/>
        <v>22</v>
      </c>
    </row>
    <row r="241" spans="1:6" x14ac:dyDescent="0.55000000000000004">
      <c r="A241">
        <v>9.5516477578069279E+18</v>
      </c>
      <c r="B241" t="s">
        <v>228</v>
      </c>
      <c r="C241" t="s">
        <v>13</v>
      </c>
      <c r="D241">
        <v>3558</v>
      </c>
      <c r="E241" s="4">
        <f t="shared" si="6"/>
        <v>44145</v>
      </c>
      <c r="F241">
        <f t="shared" si="7"/>
        <v>884</v>
      </c>
    </row>
    <row r="242" spans="1:6" x14ac:dyDescent="0.55000000000000004">
      <c r="A242">
        <v>1.336821147565943E+19</v>
      </c>
      <c r="B242" t="s">
        <v>87</v>
      </c>
      <c r="C242" t="s">
        <v>10</v>
      </c>
      <c r="D242">
        <v>744</v>
      </c>
      <c r="E242" s="4">
        <f t="shared" si="6"/>
        <v>44727</v>
      </c>
      <c r="F242">
        <f t="shared" si="7"/>
        <v>302</v>
      </c>
    </row>
    <row r="243" spans="1:6" x14ac:dyDescent="0.55000000000000004">
      <c r="A243">
        <v>5.9912185336162427E+18</v>
      </c>
      <c r="B243" t="s">
        <v>229</v>
      </c>
      <c r="C243" t="s">
        <v>13</v>
      </c>
      <c r="D243">
        <v>234</v>
      </c>
      <c r="E243" s="4">
        <f t="shared" si="6"/>
        <v>44960</v>
      </c>
      <c r="F243">
        <f t="shared" si="7"/>
        <v>69</v>
      </c>
    </row>
    <row r="244" spans="1:6" x14ac:dyDescent="0.55000000000000004">
      <c r="A244">
        <v>1.26918699747578E+19</v>
      </c>
      <c r="B244" t="s">
        <v>230</v>
      </c>
      <c r="C244" t="s">
        <v>13</v>
      </c>
      <c r="D244">
        <v>567</v>
      </c>
      <c r="E244" s="4">
        <f t="shared" si="6"/>
        <v>44252</v>
      </c>
      <c r="F244">
        <f t="shared" si="7"/>
        <v>777</v>
      </c>
    </row>
    <row r="245" spans="1:6" x14ac:dyDescent="0.55000000000000004">
      <c r="A245">
        <v>6.667778297334103E+18</v>
      </c>
      <c r="B245" t="s">
        <v>231</v>
      </c>
      <c r="C245" t="s">
        <v>10</v>
      </c>
      <c r="D245">
        <v>1743</v>
      </c>
      <c r="E245" s="4">
        <f t="shared" si="6"/>
        <v>44383</v>
      </c>
      <c r="F245">
        <f t="shared" si="7"/>
        <v>646</v>
      </c>
    </row>
    <row r="246" spans="1:6" x14ac:dyDescent="0.55000000000000004">
      <c r="A246">
        <v>1.162597696295221E+18</v>
      </c>
      <c r="B246" t="s">
        <v>232</v>
      </c>
      <c r="C246" t="s">
        <v>46</v>
      </c>
      <c r="D246">
        <v>469</v>
      </c>
      <c r="E246" s="4">
        <f t="shared" si="6"/>
        <v>44745</v>
      </c>
      <c r="F246">
        <f t="shared" si="7"/>
        <v>284</v>
      </c>
    </row>
    <row r="247" spans="1:6" x14ac:dyDescent="0.55000000000000004">
      <c r="A247">
        <v>1.2418058850637941E+19</v>
      </c>
      <c r="B247" t="s">
        <v>233</v>
      </c>
      <c r="C247" t="s">
        <v>10</v>
      </c>
      <c r="D247">
        <v>7380</v>
      </c>
      <c r="E247" s="4">
        <f t="shared" si="6"/>
        <v>43914</v>
      </c>
      <c r="F247">
        <f t="shared" si="7"/>
        <v>1115</v>
      </c>
    </row>
    <row r="248" spans="1:6" x14ac:dyDescent="0.55000000000000004">
      <c r="A248">
        <v>3.0310206824360947E+17</v>
      </c>
      <c r="B248" t="s">
        <v>234</v>
      </c>
      <c r="C248" t="s">
        <v>50</v>
      </c>
      <c r="D248">
        <v>230</v>
      </c>
      <c r="E248" s="4">
        <f t="shared" si="6"/>
        <v>44766</v>
      </c>
      <c r="F248">
        <f t="shared" si="7"/>
        <v>263</v>
      </c>
    </row>
    <row r="249" spans="1:6" x14ac:dyDescent="0.55000000000000004">
      <c r="A249">
        <v>1.602840828731018E+19</v>
      </c>
      <c r="B249" t="s">
        <v>235</v>
      </c>
      <c r="C249" t="s">
        <v>10</v>
      </c>
      <c r="D249">
        <v>899</v>
      </c>
      <c r="E249" s="4">
        <f t="shared" si="6"/>
        <v>44229</v>
      </c>
      <c r="F249">
        <f t="shared" si="7"/>
        <v>800</v>
      </c>
    </row>
    <row r="250" spans="1:6" x14ac:dyDescent="0.55000000000000004">
      <c r="A250">
        <v>6.3787399135739679E+18</v>
      </c>
      <c r="B250" t="s">
        <v>236</v>
      </c>
      <c r="C250" t="s">
        <v>10</v>
      </c>
      <c r="D250">
        <v>300</v>
      </c>
      <c r="E250" s="4">
        <f t="shared" si="6"/>
        <v>44393</v>
      </c>
      <c r="F250">
        <f t="shared" si="7"/>
        <v>636</v>
      </c>
    </row>
    <row r="251" spans="1:6" x14ac:dyDescent="0.55000000000000004">
      <c r="A251">
        <v>1.126781882181503E+19</v>
      </c>
      <c r="B251" t="s">
        <v>237</v>
      </c>
      <c r="C251" t="s">
        <v>10</v>
      </c>
      <c r="D251">
        <v>309</v>
      </c>
      <c r="E251" s="4">
        <f t="shared" si="6"/>
        <v>44010</v>
      </c>
      <c r="F251">
        <f t="shared" si="7"/>
        <v>1019</v>
      </c>
    </row>
    <row r="252" spans="1:6" x14ac:dyDescent="0.55000000000000004">
      <c r="A252">
        <v>1.0124995188450449E+19</v>
      </c>
      <c r="B252" t="s">
        <v>238</v>
      </c>
      <c r="C252" t="s">
        <v>13</v>
      </c>
      <c r="D252">
        <v>19918</v>
      </c>
      <c r="E252" s="4">
        <f t="shared" si="6"/>
        <v>44622</v>
      </c>
      <c r="F252">
        <f t="shared" si="7"/>
        <v>407</v>
      </c>
    </row>
    <row r="253" spans="1:6" x14ac:dyDescent="0.55000000000000004">
      <c r="A253">
        <v>3.0502653338408781E+18</v>
      </c>
      <c r="B253" t="s">
        <v>239</v>
      </c>
      <c r="C253" t="s">
        <v>10</v>
      </c>
      <c r="D253">
        <v>1380</v>
      </c>
      <c r="E253" s="4">
        <f t="shared" si="6"/>
        <v>44449</v>
      </c>
      <c r="F253">
        <f t="shared" si="7"/>
        <v>580</v>
      </c>
    </row>
    <row r="254" spans="1:6" x14ac:dyDescent="0.55000000000000004">
      <c r="A254">
        <v>1.6835746633637411E+19</v>
      </c>
      <c r="B254" t="s">
        <v>240</v>
      </c>
      <c r="C254" t="s">
        <v>13</v>
      </c>
      <c r="D254">
        <v>4740</v>
      </c>
      <c r="E254" s="4">
        <f t="shared" si="6"/>
        <v>44678</v>
      </c>
      <c r="F254">
        <f t="shared" si="7"/>
        <v>351</v>
      </c>
    </row>
    <row r="255" spans="1:6" x14ac:dyDescent="0.55000000000000004">
      <c r="A255">
        <v>5.3973038049061745E+18</v>
      </c>
      <c r="B255" t="s">
        <v>91</v>
      </c>
      <c r="C255" t="s">
        <v>50</v>
      </c>
      <c r="D255">
        <v>10175.99</v>
      </c>
      <c r="E255" s="4">
        <f t="shared" si="6"/>
        <v>44831</v>
      </c>
      <c r="F255">
        <f t="shared" si="7"/>
        <v>198</v>
      </c>
    </row>
    <row r="256" spans="1:6" x14ac:dyDescent="0.55000000000000004">
      <c r="A256">
        <v>1.7849563115073061E+19</v>
      </c>
      <c r="B256" t="s">
        <v>241</v>
      </c>
      <c r="C256" t="s">
        <v>13</v>
      </c>
      <c r="D256">
        <v>1039</v>
      </c>
      <c r="E256" s="4">
        <f t="shared" si="6"/>
        <v>43834</v>
      </c>
      <c r="F256">
        <f t="shared" si="7"/>
        <v>1195</v>
      </c>
    </row>
    <row r="257" spans="1:6" x14ac:dyDescent="0.55000000000000004">
      <c r="A257">
        <v>7.2497447867208612E+18</v>
      </c>
      <c r="B257" t="s">
        <v>242</v>
      </c>
      <c r="C257" t="s">
        <v>50</v>
      </c>
      <c r="D257">
        <v>1021</v>
      </c>
      <c r="E257" s="4">
        <f t="shared" si="6"/>
        <v>44938</v>
      </c>
      <c r="F257">
        <f t="shared" si="7"/>
        <v>91</v>
      </c>
    </row>
    <row r="258" spans="1:6" x14ac:dyDescent="0.55000000000000004">
      <c r="A258">
        <v>3.2151136791418732E+18</v>
      </c>
      <c r="B258" t="s">
        <v>243</v>
      </c>
      <c r="C258" t="s">
        <v>13</v>
      </c>
      <c r="D258">
        <v>457</v>
      </c>
      <c r="E258" s="4">
        <f t="shared" si="6"/>
        <v>43825</v>
      </c>
      <c r="F258">
        <f t="shared" si="7"/>
        <v>1204</v>
      </c>
    </row>
    <row r="259" spans="1:6" x14ac:dyDescent="0.55000000000000004">
      <c r="A259">
        <v>4.212623568848788E+18</v>
      </c>
      <c r="B259" t="s">
        <v>244</v>
      </c>
      <c r="C259" t="s">
        <v>10</v>
      </c>
      <c r="D259">
        <v>110</v>
      </c>
      <c r="E259" s="4">
        <f t="shared" ref="E259:E322" si="8">DATEVALUE(B259)</f>
        <v>44595</v>
      </c>
      <c r="F259">
        <f t="shared" ref="F259:F322" si="9">$H$1-E259</f>
        <v>434</v>
      </c>
    </row>
    <row r="260" spans="1:6" x14ac:dyDescent="0.55000000000000004">
      <c r="A260">
        <v>1.761906681546685E+19</v>
      </c>
      <c r="B260" t="s">
        <v>245</v>
      </c>
      <c r="C260" t="s">
        <v>7</v>
      </c>
      <c r="D260">
        <v>819</v>
      </c>
      <c r="E260" s="4">
        <f t="shared" si="8"/>
        <v>44748</v>
      </c>
      <c r="F260">
        <f t="shared" si="9"/>
        <v>281</v>
      </c>
    </row>
    <row r="261" spans="1:6" x14ac:dyDescent="0.55000000000000004">
      <c r="A261">
        <v>1.421415178824958E+19</v>
      </c>
      <c r="B261" t="s">
        <v>246</v>
      </c>
      <c r="C261" t="s">
        <v>10</v>
      </c>
      <c r="D261">
        <v>1365</v>
      </c>
      <c r="E261" s="4">
        <f t="shared" si="8"/>
        <v>44348</v>
      </c>
      <c r="F261">
        <f t="shared" si="9"/>
        <v>681</v>
      </c>
    </row>
    <row r="262" spans="1:6" x14ac:dyDescent="0.55000000000000004">
      <c r="A262">
        <v>1.305184232615619E+19</v>
      </c>
      <c r="B262" t="s">
        <v>247</v>
      </c>
      <c r="C262" t="s">
        <v>13</v>
      </c>
      <c r="D262">
        <v>1037</v>
      </c>
      <c r="E262" s="4">
        <f t="shared" si="8"/>
        <v>44947</v>
      </c>
      <c r="F262">
        <f t="shared" si="9"/>
        <v>82</v>
      </c>
    </row>
    <row r="263" spans="1:6" x14ac:dyDescent="0.55000000000000004">
      <c r="A263">
        <v>1.391907373968365E+19</v>
      </c>
      <c r="B263" t="s">
        <v>248</v>
      </c>
      <c r="C263" t="s">
        <v>13</v>
      </c>
      <c r="D263">
        <v>660</v>
      </c>
      <c r="E263" s="4">
        <f t="shared" si="8"/>
        <v>44518</v>
      </c>
      <c r="F263">
        <f t="shared" si="9"/>
        <v>511</v>
      </c>
    </row>
    <row r="264" spans="1:6" x14ac:dyDescent="0.55000000000000004">
      <c r="A264">
        <v>1.7855228102245231E+19</v>
      </c>
      <c r="B264" t="s">
        <v>249</v>
      </c>
      <c r="C264" t="s">
        <v>10</v>
      </c>
      <c r="D264">
        <v>1494</v>
      </c>
      <c r="E264" s="4">
        <f t="shared" si="8"/>
        <v>44361</v>
      </c>
      <c r="F264">
        <f t="shared" si="9"/>
        <v>668</v>
      </c>
    </row>
    <row r="265" spans="1:6" x14ac:dyDescent="0.55000000000000004">
      <c r="A265">
        <v>3.8104946415188419E+18</v>
      </c>
      <c r="B265" t="s">
        <v>250</v>
      </c>
      <c r="C265" t="s">
        <v>13</v>
      </c>
      <c r="D265">
        <v>3240</v>
      </c>
      <c r="E265" s="4">
        <f t="shared" si="8"/>
        <v>44772</v>
      </c>
      <c r="F265">
        <f t="shared" si="9"/>
        <v>257</v>
      </c>
    </row>
    <row r="266" spans="1:6" x14ac:dyDescent="0.55000000000000004">
      <c r="A266">
        <v>1.991966278736863E+17</v>
      </c>
      <c r="B266" t="s">
        <v>251</v>
      </c>
      <c r="C266" t="s">
        <v>10</v>
      </c>
      <c r="D266">
        <v>1057</v>
      </c>
      <c r="E266" s="4">
        <f t="shared" si="8"/>
        <v>44863</v>
      </c>
      <c r="F266">
        <f t="shared" si="9"/>
        <v>166</v>
      </c>
    </row>
    <row r="267" spans="1:6" x14ac:dyDescent="0.55000000000000004">
      <c r="A267">
        <v>9.3126309696455844E+18</v>
      </c>
      <c r="B267" t="s">
        <v>22</v>
      </c>
      <c r="C267" t="s">
        <v>10</v>
      </c>
      <c r="D267">
        <v>4845</v>
      </c>
      <c r="E267" s="4">
        <f t="shared" si="8"/>
        <v>44560</v>
      </c>
      <c r="F267">
        <f t="shared" si="9"/>
        <v>469</v>
      </c>
    </row>
    <row r="268" spans="1:6" x14ac:dyDescent="0.55000000000000004">
      <c r="A268">
        <v>6.155040696454528E+18</v>
      </c>
      <c r="B268" t="s">
        <v>252</v>
      </c>
      <c r="C268" t="s">
        <v>50</v>
      </c>
      <c r="D268">
        <v>59</v>
      </c>
      <c r="E268" s="4">
        <f t="shared" si="8"/>
        <v>44389</v>
      </c>
      <c r="F268">
        <f t="shared" si="9"/>
        <v>640</v>
      </c>
    </row>
    <row r="269" spans="1:6" x14ac:dyDescent="0.55000000000000004">
      <c r="A269">
        <v>1.1067767840657379E+19</v>
      </c>
      <c r="B269" t="s">
        <v>253</v>
      </c>
      <c r="C269" t="s">
        <v>50</v>
      </c>
      <c r="D269">
        <v>190</v>
      </c>
      <c r="E269" s="4">
        <f t="shared" si="8"/>
        <v>44376</v>
      </c>
      <c r="F269">
        <f t="shared" si="9"/>
        <v>653</v>
      </c>
    </row>
    <row r="270" spans="1:6" x14ac:dyDescent="0.55000000000000004">
      <c r="A270">
        <v>6.2774505286284667E+18</v>
      </c>
      <c r="B270" t="s">
        <v>254</v>
      </c>
      <c r="C270" t="s">
        <v>10</v>
      </c>
      <c r="D270">
        <v>16870</v>
      </c>
      <c r="E270" s="4">
        <f t="shared" si="8"/>
        <v>44478</v>
      </c>
      <c r="F270">
        <f t="shared" si="9"/>
        <v>551</v>
      </c>
    </row>
    <row r="271" spans="1:6" x14ac:dyDescent="0.55000000000000004">
      <c r="A271">
        <v>1.0732763130336319E+19</v>
      </c>
      <c r="B271" t="s">
        <v>255</v>
      </c>
      <c r="C271" t="s">
        <v>50</v>
      </c>
      <c r="D271">
        <v>72</v>
      </c>
      <c r="E271" s="4">
        <f t="shared" si="8"/>
        <v>44488</v>
      </c>
      <c r="F271">
        <f t="shared" si="9"/>
        <v>541</v>
      </c>
    </row>
    <row r="272" spans="1:6" x14ac:dyDescent="0.55000000000000004">
      <c r="A272">
        <v>5.8825871455281633E+18</v>
      </c>
      <c r="B272" t="s">
        <v>214</v>
      </c>
      <c r="C272" t="s">
        <v>13</v>
      </c>
      <c r="D272">
        <v>5790</v>
      </c>
      <c r="E272" s="4">
        <f t="shared" si="8"/>
        <v>44821</v>
      </c>
      <c r="F272">
        <f t="shared" si="9"/>
        <v>208</v>
      </c>
    </row>
    <row r="273" spans="1:6" x14ac:dyDescent="0.55000000000000004">
      <c r="A273">
        <v>5.3973038049061745E+18</v>
      </c>
      <c r="B273" t="s">
        <v>256</v>
      </c>
      <c r="C273" t="s">
        <v>50</v>
      </c>
      <c r="D273">
        <v>55739.9</v>
      </c>
      <c r="E273" s="4">
        <f t="shared" si="8"/>
        <v>42910</v>
      </c>
      <c r="F273">
        <f t="shared" si="9"/>
        <v>2119</v>
      </c>
    </row>
    <row r="274" spans="1:6" x14ac:dyDescent="0.55000000000000004">
      <c r="A274">
        <v>1.837888610150903E+19</v>
      </c>
      <c r="B274" t="s">
        <v>257</v>
      </c>
      <c r="C274" t="s">
        <v>13</v>
      </c>
      <c r="D274">
        <v>768</v>
      </c>
      <c r="E274" s="4">
        <f t="shared" si="8"/>
        <v>44626</v>
      </c>
      <c r="F274">
        <f t="shared" si="9"/>
        <v>403</v>
      </c>
    </row>
    <row r="275" spans="1:6" x14ac:dyDescent="0.55000000000000004">
      <c r="A275">
        <v>5.160656493172777E+18</v>
      </c>
      <c r="B275" t="s">
        <v>258</v>
      </c>
      <c r="C275" t="s">
        <v>13</v>
      </c>
      <c r="D275">
        <v>255</v>
      </c>
      <c r="E275" s="4">
        <f t="shared" si="8"/>
        <v>44121</v>
      </c>
      <c r="F275">
        <f t="shared" si="9"/>
        <v>908</v>
      </c>
    </row>
    <row r="276" spans="1:6" x14ac:dyDescent="0.55000000000000004">
      <c r="A276">
        <v>1.7496776803139271E+19</v>
      </c>
      <c r="B276" t="s">
        <v>259</v>
      </c>
      <c r="C276" t="s">
        <v>7</v>
      </c>
      <c r="D276">
        <v>132</v>
      </c>
      <c r="E276" s="4">
        <f t="shared" si="8"/>
        <v>44555</v>
      </c>
      <c r="F276">
        <f t="shared" si="9"/>
        <v>474</v>
      </c>
    </row>
    <row r="277" spans="1:6" x14ac:dyDescent="0.55000000000000004">
      <c r="A277">
        <v>4.3463733059550648E+18</v>
      </c>
      <c r="B277" t="s">
        <v>260</v>
      </c>
      <c r="C277" t="s">
        <v>46</v>
      </c>
      <c r="D277">
        <v>245</v>
      </c>
      <c r="E277" s="4">
        <f t="shared" si="8"/>
        <v>44219</v>
      </c>
      <c r="F277">
        <f t="shared" si="9"/>
        <v>810</v>
      </c>
    </row>
    <row r="278" spans="1:6" x14ac:dyDescent="0.55000000000000004">
      <c r="A278">
        <v>1.0304751137086179E+19</v>
      </c>
      <c r="B278" t="s">
        <v>261</v>
      </c>
      <c r="C278" t="s">
        <v>13</v>
      </c>
      <c r="D278">
        <v>3260</v>
      </c>
      <c r="E278" s="4">
        <f t="shared" si="8"/>
        <v>44910</v>
      </c>
      <c r="F278">
        <f t="shared" si="9"/>
        <v>119</v>
      </c>
    </row>
    <row r="279" spans="1:6" x14ac:dyDescent="0.55000000000000004">
      <c r="A279">
        <v>1.243022858022132E+18</v>
      </c>
      <c r="B279" t="s">
        <v>262</v>
      </c>
      <c r="C279" t="s">
        <v>26</v>
      </c>
      <c r="D279">
        <v>8541</v>
      </c>
      <c r="E279" s="4">
        <f t="shared" si="8"/>
        <v>44343</v>
      </c>
      <c r="F279">
        <f t="shared" si="9"/>
        <v>686</v>
      </c>
    </row>
    <row r="280" spans="1:6" x14ac:dyDescent="0.55000000000000004">
      <c r="A280">
        <v>5.210992950617346E+18</v>
      </c>
      <c r="B280" t="s">
        <v>263</v>
      </c>
      <c r="C280" t="s">
        <v>10</v>
      </c>
      <c r="D280">
        <v>1170</v>
      </c>
      <c r="E280" s="4">
        <f t="shared" si="8"/>
        <v>44549</v>
      </c>
      <c r="F280">
        <f t="shared" si="9"/>
        <v>480</v>
      </c>
    </row>
    <row r="281" spans="1:6" x14ac:dyDescent="0.55000000000000004">
      <c r="A281">
        <v>1.49593763185252E+19</v>
      </c>
      <c r="B281" t="s">
        <v>264</v>
      </c>
      <c r="C281" t="s">
        <v>10</v>
      </c>
      <c r="D281">
        <v>999</v>
      </c>
      <c r="E281" s="4">
        <f t="shared" si="8"/>
        <v>43859</v>
      </c>
      <c r="F281">
        <f t="shared" si="9"/>
        <v>1170</v>
      </c>
    </row>
    <row r="282" spans="1:6" x14ac:dyDescent="0.55000000000000004">
      <c r="A282">
        <v>1.092949294617218E+19</v>
      </c>
      <c r="B282" t="s">
        <v>265</v>
      </c>
      <c r="C282" t="s">
        <v>50</v>
      </c>
      <c r="D282">
        <v>165</v>
      </c>
      <c r="E282" s="4">
        <f t="shared" si="8"/>
        <v>44298</v>
      </c>
      <c r="F282">
        <f t="shared" si="9"/>
        <v>731</v>
      </c>
    </row>
    <row r="283" spans="1:6" x14ac:dyDescent="0.55000000000000004">
      <c r="A283">
        <v>3.8718698369645599E+18</v>
      </c>
      <c r="B283" t="s">
        <v>266</v>
      </c>
      <c r="C283" t="s">
        <v>26</v>
      </c>
      <c r="D283">
        <v>149</v>
      </c>
      <c r="E283" s="4">
        <f t="shared" si="8"/>
        <v>44318</v>
      </c>
      <c r="F283">
        <f t="shared" si="9"/>
        <v>711</v>
      </c>
    </row>
    <row r="284" spans="1:6" x14ac:dyDescent="0.55000000000000004">
      <c r="A284">
        <v>1.3594245574007099E+19</v>
      </c>
      <c r="B284" t="s">
        <v>267</v>
      </c>
      <c r="C284" t="s">
        <v>50</v>
      </c>
      <c r="D284">
        <v>35</v>
      </c>
      <c r="E284" s="4">
        <f t="shared" si="8"/>
        <v>44362</v>
      </c>
      <c r="F284">
        <f t="shared" si="9"/>
        <v>667</v>
      </c>
    </row>
    <row r="285" spans="1:6" x14ac:dyDescent="0.55000000000000004">
      <c r="A285">
        <v>8.471699444273963E+18</v>
      </c>
      <c r="B285" t="s">
        <v>178</v>
      </c>
      <c r="C285" t="s">
        <v>13</v>
      </c>
      <c r="D285">
        <v>3781</v>
      </c>
      <c r="E285" s="4">
        <f t="shared" si="8"/>
        <v>44984</v>
      </c>
      <c r="F285">
        <f t="shared" si="9"/>
        <v>45</v>
      </c>
    </row>
    <row r="286" spans="1:6" x14ac:dyDescent="0.55000000000000004">
      <c r="A286">
        <v>1.3063865385494589E+18</v>
      </c>
      <c r="B286" t="s">
        <v>268</v>
      </c>
      <c r="C286" t="s">
        <v>13</v>
      </c>
      <c r="D286">
        <v>2080</v>
      </c>
      <c r="E286" s="4">
        <f t="shared" si="8"/>
        <v>44620</v>
      </c>
      <c r="F286">
        <f t="shared" si="9"/>
        <v>409</v>
      </c>
    </row>
    <row r="287" spans="1:6" x14ac:dyDescent="0.55000000000000004">
      <c r="A287">
        <v>1.4209261969873701E+19</v>
      </c>
      <c r="B287" t="s">
        <v>269</v>
      </c>
      <c r="C287" t="s">
        <v>10</v>
      </c>
      <c r="D287">
        <v>900</v>
      </c>
      <c r="E287" s="4">
        <f t="shared" si="8"/>
        <v>44135</v>
      </c>
      <c r="F287">
        <f t="shared" si="9"/>
        <v>894</v>
      </c>
    </row>
    <row r="288" spans="1:6" x14ac:dyDescent="0.55000000000000004">
      <c r="A288">
        <v>7.4798904250766193E+18</v>
      </c>
      <c r="B288" t="s">
        <v>270</v>
      </c>
      <c r="C288" t="s">
        <v>7</v>
      </c>
      <c r="D288">
        <v>360</v>
      </c>
      <c r="E288" s="4">
        <f t="shared" si="8"/>
        <v>44983</v>
      </c>
      <c r="F288">
        <f t="shared" si="9"/>
        <v>46</v>
      </c>
    </row>
    <row r="289" spans="1:6" x14ac:dyDescent="0.55000000000000004">
      <c r="A289">
        <v>9.283264815651498E+18</v>
      </c>
      <c r="B289" t="s">
        <v>271</v>
      </c>
      <c r="C289" t="s">
        <v>13</v>
      </c>
      <c r="D289">
        <v>2358</v>
      </c>
      <c r="E289" s="4">
        <f t="shared" si="8"/>
        <v>44962</v>
      </c>
      <c r="F289">
        <f t="shared" si="9"/>
        <v>67</v>
      </c>
    </row>
    <row r="290" spans="1:6" x14ac:dyDescent="0.55000000000000004">
      <c r="A290">
        <v>8.4680920074105743E+18</v>
      </c>
      <c r="B290" t="s">
        <v>272</v>
      </c>
      <c r="C290" t="s">
        <v>5</v>
      </c>
      <c r="D290">
        <v>2040</v>
      </c>
      <c r="E290" s="4">
        <f t="shared" si="8"/>
        <v>44681</v>
      </c>
      <c r="F290">
        <f t="shared" si="9"/>
        <v>348</v>
      </c>
    </row>
    <row r="291" spans="1:6" x14ac:dyDescent="0.55000000000000004">
      <c r="A291">
        <v>1.2730106014305079E+19</v>
      </c>
      <c r="B291" t="s">
        <v>27</v>
      </c>
      <c r="C291" t="s">
        <v>13</v>
      </c>
      <c r="D291">
        <v>9656</v>
      </c>
      <c r="E291" s="4">
        <f t="shared" si="8"/>
        <v>44451</v>
      </c>
      <c r="F291">
        <f t="shared" si="9"/>
        <v>578</v>
      </c>
    </row>
    <row r="292" spans="1:6" x14ac:dyDescent="0.55000000000000004">
      <c r="A292">
        <v>1.5241763823784481E+19</v>
      </c>
      <c r="B292" t="s">
        <v>273</v>
      </c>
      <c r="C292" t="s">
        <v>13</v>
      </c>
      <c r="D292">
        <v>3240</v>
      </c>
      <c r="E292" s="4">
        <f t="shared" si="8"/>
        <v>43970</v>
      </c>
      <c r="F292">
        <f t="shared" si="9"/>
        <v>1059</v>
      </c>
    </row>
    <row r="293" spans="1:6" x14ac:dyDescent="0.55000000000000004">
      <c r="A293">
        <v>1.2736719268360391E+19</v>
      </c>
      <c r="B293" t="s">
        <v>274</v>
      </c>
      <c r="C293" t="s">
        <v>13</v>
      </c>
      <c r="D293">
        <v>1287</v>
      </c>
      <c r="E293" s="4">
        <f t="shared" si="8"/>
        <v>45026</v>
      </c>
      <c r="F293">
        <f t="shared" si="9"/>
        <v>3</v>
      </c>
    </row>
    <row r="294" spans="1:6" x14ac:dyDescent="0.55000000000000004">
      <c r="A294">
        <v>5.7556105243482644E+18</v>
      </c>
      <c r="B294" t="s">
        <v>275</v>
      </c>
      <c r="C294" t="s">
        <v>10</v>
      </c>
      <c r="D294">
        <v>199</v>
      </c>
      <c r="E294" s="4">
        <f t="shared" si="8"/>
        <v>44922</v>
      </c>
      <c r="F294">
        <f t="shared" si="9"/>
        <v>107</v>
      </c>
    </row>
    <row r="295" spans="1:6" x14ac:dyDescent="0.55000000000000004">
      <c r="A295">
        <v>8.765305006201388E+18</v>
      </c>
      <c r="B295" t="s">
        <v>276</v>
      </c>
      <c r="C295" t="s">
        <v>10</v>
      </c>
      <c r="D295">
        <v>2899</v>
      </c>
      <c r="E295" s="4">
        <f t="shared" si="8"/>
        <v>44281</v>
      </c>
      <c r="F295">
        <f t="shared" si="9"/>
        <v>748</v>
      </c>
    </row>
    <row r="296" spans="1:6" x14ac:dyDescent="0.55000000000000004">
      <c r="A296">
        <v>4.7450770801101681E+18</v>
      </c>
      <c r="B296" t="s">
        <v>277</v>
      </c>
      <c r="C296" t="s">
        <v>13</v>
      </c>
      <c r="D296">
        <v>7137</v>
      </c>
      <c r="E296" s="4">
        <f t="shared" si="8"/>
        <v>44871</v>
      </c>
      <c r="F296">
        <f t="shared" si="9"/>
        <v>158</v>
      </c>
    </row>
    <row r="297" spans="1:6" x14ac:dyDescent="0.55000000000000004">
      <c r="A297">
        <v>1.1868077272663519E+19</v>
      </c>
      <c r="B297" t="s">
        <v>278</v>
      </c>
      <c r="C297" t="s">
        <v>10</v>
      </c>
      <c r="D297">
        <v>630</v>
      </c>
      <c r="E297" s="4">
        <f t="shared" si="8"/>
        <v>44222</v>
      </c>
      <c r="F297">
        <f t="shared" si="9"/>
        <v>807</v>
      </c>
    </row>
    <row r="298" spans="1:6" x14ac:dyDescent="0.55000000000000004">
      <c r="A298">
        <v>1.196519488682964E+19</v>
      </c>
      <c r="B298" t="s">
        <v>269</v>
      </c>
      <c r="C298" t="s">
        <v>7</v>
      </c>
      <c r="D298">
        <v>378</v>
      </c>
      <c r="E298" s="4">
        <f t="shared" si="8"/>
        <v>44135</v>
      </c>
      <c r="F298">
        <f t="shared" si="9"/>
        <v>894</v>
      </c>
    </row>
    <row r="299" spans="1:6" x14ac:dyDescent="0.55000000000000004">
      <c r="A299">
        <v>6.5695404423805542E+18</v>
      </c>
      <c r="B299" t="s">
        <v>279</v>
      </c>
      <c r="C299" t="s">
        <v>10</v>
      </c>
      <c r="D299">
        <v>1473</v>
      </c>
      <c r="E299" s="4">
        <f t="shared" si="8"/>
        <v>44949</v>
      </c>
      <c r="F299">
        <f t="shared" si="9"/>
        <v>80</v>
      </c>
    </row>
    <row r="300" spans="1:6" x14ac:dyDescent="0.55000000000000004">
      <c r="A300">
        <v>1.65655313105826E+19</v>
      </c>
      <c r="B300" t="s">
        <v>280</v>
      </c>
      <c r="C300" t="s">
        <v>10</v>
      </c>
      <c r="D300">
        <v>2738</v>
      </c>
      <c r="E300" s="4">
        <f t="shared" si="8"/>
        <v>44593</v>
      </c>
      <c r="F300">
        <f t="shared" si="9"/>
        <v>436</v>
      </c>
    </row>
    <row r="301" spans="1:6" x14ac:dyDescent="0.55000000000000004">
      <c r="A301">
        <v>8.6609747857146327E+18</v>
      </c>
      <c r="B301" t="s">
        <v>281</v>
      </c>
      <c r="C301" t="s">
        <v>10</v>
      </c>
      <c r="D301">
        <v>5091</v>
      </c>
      <c r="E301" s="4">
        <f t="shared" si="8"/>
        <v>44833</v>
      </c>
      <c r="F301">
        <f t="shared" si="9"/>
        <v>196</v>
      </c>
    </row>
    <row r="302" spans="1:6" x14ac:dyDescent="0.55000000000000004">
      <c r="A302">
        <v>9.3114124448562811E+18</v>
      </c>
      <c r="B302" t="s">
        <v>282</v>
      </c>
      <c r="C302" t="s">
        <v>46</v>
      </c>
      <c r="D302">
        <v>1909</v>
      </c>
      <c r="E302" s="4">
        <f t="shared" si="8"/>
        <v>44557</v>
      </c>
      <c r="F302">
        <f t="shared" si="9"/>
        <v>472</v>
      </c>
    </row>
    <row r="303" spans="1:6" x14ac:dyDescent="0.55000000000000004">
      <c r="A303">
        <v>9.4805907407423304E+18</v>
      </c>
      <c r="B303" t="s">
        <v>283</v>
      </c>
      <c r="C303" t="s">
        <v>13</v>
      </c>
      <c r="D303">
        <v>2700</v>
      </c>
      <c r="E303" s="4">
        <f t="shared" si="8"/>
        <v>44586</v>
      </c>
      <c r="F303">
        <f t="shared" si="9"/>
        <v>443</v>
      </c>
    </row>
    <row r="304" spans="1:6" x14ac:dyDescent="0.55000000000000004">
      <c r="A304">
        <v>1.3779324209772151E+19</v>
      </c>
      <c r="B304" t="s">
        <v>118</v>
      </c>
      <c r="C304" t="s">
        <v>10</v>
      </c>
      <c r="D304">
        <v>378</v>
      </c>
      <c r="E304" s="4">
        <f t="shared" si="8"/>
        <v>43757</v>
      </c>
      <c r="F304">
        <f t="shared" si="9"/>
        <v>1272</v>
      </c>
    </row>
    <row r="305" spans="1:6" x14ac:dyDescent="0.55000000000000004">
      <c r="A305">
        <v>3.0045239399906529E+18</v>
      </c>
      <c r="B305" t="s">
        <v>284</v>
      </c>
      <c r="C305" t="s">
        <v>26</v>
      </c>
      <c r="D305">
        <v>177</v>
      </c>
      <c r="E305" s="4">
        <f t="shared" si="8"/>
        <v>43903</v>
      </c>
      <c r="F305">
        <f t="shared" si="9"/>
        <v>1126</v>
      </c>
    </row>
    <row r="306" spans="1:6" x14ac:dyDescent="0.55000000000000004">
      <c r="A306">
        <v>4.1118846582469458E+18</v>
      </c>
      <c r="B306" t="s">
        <v>285</v>
      </c>
      <c r="C306" t="s">
        <v>13</v>
      </c>
      <c r="D306">
        <v>1370</v>
      </c>
      <c r="E306" s="4">
        <f t="shared" si="8"/>
        <v>44468</v>
      </c>
      <c r="F306">
        <f t="shared" si="9"/>
        <v>561</v>
      </c>
    </row>
    <row r="307" spans="1:6" x14ac:dyDescent="0.55000000000000004">
      <c r="A307">
        <v>8.8409319117374515E+18</v>
      </c>
      <c r="B307" t="s">
        <v>286</v>
      </c>
      <c r="C307" t="s">
        <v>13</v>
      </c>
      <c r="D307">
        <v>1675</v>
      </c>
      <c r="E307" s="4">
        <f t="shared" si="8"/>
        <v>44755</v>
      </c>
      <c r="F307">
        <f t="shared" si="9"/>
        <v>274</v>
      </c>
    </row>
    <row r="308" spans="1:6" x14ac:dyDescent="0.55000000000000004">
      <c r="A308">
        <v>1.7412463055458251E+19</v>
      </c>
      <c r="B308" t="s">
        <v>287</v>
      </c>
      <c r="C308" t="s">
        <v>50</v>
      </c>
      <c r="D308">
        <v>246</v>
      </c>
      <c r="E308" s="4">
        <f t="shared" si="8"/>
        <v>44981</v>
      </c>
      <c r="F308">
        <f t="shared" si="9"/>
        <v>48</v>
      </c>
    </row>
    <row r="309" spans="1:6" x14ac:dyDescent="0.55000000000000004">
      <c r="A309">
        <v>1.040412174818116E+19</v>
      </c>
      <c r="B309" t="s">
        <v>288</v>
      </c>
      <c r="C309" t="s">
        <v>10</v>
      </c>
      <c r="D309">
        <v>1100</v>
      </c>
      <c r="E309" s="4">
        <f t="shared" si="8"/>
        <v>43951</v>
      </c>
      <c r="F309">
        <f t="shared" si="9"/>
        <v>1078</v>
      </c>
    </row>
    <row r="310" spans="1:6" x14ac:dyDescent="0.55000000000000004">
      <c r="A310">
        <v>3.0219644670991872E+18</v>
      </c>
      <c r="B310" t="s">
        <v>289</v>
      </c>
      <c r="C310" t="s">
        <v>13</v>
      </c>
      <c r="D310">
        <v>1470</v>
      </c>
      <c r="E310" s="4">
        <f t="shared" si="8"/>
        <v>44905</v>
      </c>
      <c r="F310">
        <f t="shared" si="9"/>
        <v>124</v>
      </c>
    </row>
    <row r="311" spans="1:6" x14ac:dyDescent="0.55000000000000004">
      <c r="A311">
        <v>1.8440167898002801E+19</v>
      </c>
      <c r="B311" t="s">
        <v>290</v>
      </c>
      <c r="C311" t="s">
        <v>10</v>
      </c>
      <c r="D311">
        <v>500</v>
      </c>
      <c r="E311" s="4">
        <f t="shared" si="8"/>
        <v>44639</v>
      </c>
      <c r="F311">
        <f t="shared" si="9"/>
        <v>390</v>
      </c>
    </row>
    <row r="312" spans="1:6" x14ac:dyDescent="0.55000000000000004">
      <c r="A312">
        <v>1.7951873441832131E+19</v>
      </c>
      <c r="B312" t="s">
        <v>291</v>
      </c>
      <c r="C312" t="s">
        <v>10</v>
      </c>
      <c r="D312">
        <v>99</v>
      </c>
      <c r="E312" s="4">
        <f t="shared" si="8"/>
        <v>44144</v>
      </c>
      <c r="F312">
        <f t="shared" si="9"/>
        <v>885</v>
      </c>
    </row>
    <row r="313" spans="1:6" x14ac:dyDescent="0.55000000000000004">
      <c r="A313">
        <v>6.2355655699120046E+18</v>
      </c>
      <c r="B313" t="s">
        <v>263</v>
      </c>
      <c r="C313" t="s">
        <v>10</v>
      </c>
      <c r="D313">
        <v>17940</v>
      </c>
      <c r="E313" s="4">
        <f t="shared" si="8"/>
        <v>44549</v>
      </c>
      <c r="F313">
        <f t="shared" si="9"/>
        <v>480</v>
      </c>
    </row>
    <row r="314" spans="1:6" x14ac:dyDescent="0.55000000000000004">
      <c r="A314">
        <v>1.6644801055629181E+19</v>
      </c>
      <c r="B314" t="s">
        <v>292</v>
      </c>
      <c r="C314" t="s">
        <v>10</v>
      </c>
      <c r="D314">
        <v>272</v>
      </c>
      <c r="E314" s="4">
        <f t="shared" si="8"/>
        <v>44870</v>
      </c>
      <c r="F314">
        <f t="shared" si="9"/>
        <v>159</v>
      </c>
    </row>
    <row r="315" spans="1:6" x14ac:dyDescent="0.55000000000000004">
      <c r="A315">
        <v>1.5308735232356551E+19</v>
      </c>
      <c r="B315" t="s">
        <v>293</v>
      </c>
      <c r="C315" t="s">
        <v>10</v>
      </c>
      <c r="D315">
        <v>1099</v>
      </c>
      <c r="E315" s="4">
        <f t="shared" si="8"/>
        <v>44598</v>
      </c>
      <c r="F315">
        <f t="shared" si="9"/>
        <v>431</v>
      </c>
    </row>
    <row r="316" spans="1:6" x14ac:dyDescent="0.55000000000000004">
      <c r="A316">
        <v>1.052882320833083E+19</v>
      </c>
      <c r="B316" t="s">
        <v>294</v>
      </c>
      <c r="C316" t="s">
        <v>26</v>
      </c>
      <c r="D316">
        <v>1060</v>
      </c>
      <c r="E316" s="4">
        <f t="shared" si="8"/>
        <v>45008</v>
      </c>
      <c r="F316">
        <f t="shared" si="9"/>
        <v>21</v>
      </c>
    </row>
    <row r="317" spans="1:6" x14ac:dyDescent="0.55000000000000004">
      <c r="A317">
        <v>1.0144809785486309E+19</v>
      </c>
      <c r="B317" t="s">
        <v>295</v>
      </c>
      <c r="C317" t="s">
        <v>13</v>
      </c>
      <c r="D317">
        <v>13815</v>
      </c>
      <c r="E317" s="4">
        <f t="shared" si="8"/>
        <v>44369</v>
      </c>
      <c r="F317">
        <f t="shared" si="9"/>
        <v>660</v>
      </c>
    </row>
    <row r="318" spans="1:6" x14ac:dyDescent="0.55000000000000004">
      <c r="A318">
        <v>1.6094244417354549E+19</v>
      </c>
      <c r="B318" t="s">
        <v>296</v>
      </c>
      <c r="C318" t="s">
        <v>46</v>
      </c>
      <c r="D318">
        <v>1874</v>
      </c>
      <c r="E318" s="4">
        <f t="shared" si="8"/>
        <v>44945</v>
      </c>
      <c r="F318">
        <f t="shared" si="9"/>
        <v>84</v>
      </c>
    </row>
    <row r="319" spans="1:6" x14ac:dyDescent="0.55000000000000004">
      <c r="A319">
        <v>4.2728264437008538E+18</v>
      </c>
      <c r="B319" t="s">
        <v>297</v>
      </c>
      <c r="C319" t="s">
        <v>10</v>
      </c>
      <c r="D319">
        <v>199</v>
      </c>
      <c r="E319" s="4">
        <f t="shared" si="8"/>
        <v>44743</v>
      </c>
      <c r="F319">
        <f t="shared" si="9"/>
        <v>286</v>
      </c>
    </row>
    <row r="320" spans="1:6" x14ac:dyDescent="0.55000000000000004">
      <c r="A320">
        <v>1.3754657606156081E+18</v>
      </c>
      <c r="B320" t="s">
        <v>298</v>
      </c>
      <c r="C320" t="s">
        <v>13</v>
      </c>
      <c r="D320">
        <v>219</v>
      </c>
      <c r="E320" s="4">
        <f t="shared" si="8"/>
        <v>44682</v>
      </c>
      <c r="F320">
        <f t="shared" si="9"/>
        <v>347</v>
      </c>
    </row>
    <row r="321" spans="1:6" x14ac:dyDescent="0.55000000000000004">
      <c r="A321">
        <v>7.8543839468531302E+18</v>
      </c>
      <c r="B321" t="s">
        <v>299</v>
      </c>
      <c r="C321" t="s">
        <v>10</v>
      </c>
      <c r="D321">
        <v>3596</v>
      </c>
      <c r="E321" s="4">
        <f t="shared" si="8"/>
        <v>43938</v>
      </c>
      <c r="F321">
        <f t="shared" si="9"/>
        <v>1091</v>
      </c>
    </row>
    <row r="322" spans="1:6" x14ac:dyDescent="0.55000000000000004">
      <c r="A322">
        <v>3.8730926034270961E+18</v>
      </c>
      <c r="B322" t="s">
        <v>300</v>
      </c>
      <c r="C322" t="s">
        <v>13</v>
      </c>
      <c r="D322">
        <v>2912</v>
      </c>
      <c r="E322" s="4">
        <f t="shared" si="8"/>
        <v>44245</v>
      </c>
      <c r="F322">
        <f t="shared" si="9"/>
        <v>784</v>
      </c>
    </row>
    <row r="323" spans="1:6" x14ac:dyDescent="0.55000000000000004">
      <c r="A323">
        <v>3.2743342909548442E+18</v>
      </c>
      <c r="B323" t="s">
        <v>301</v>
      </c>
      <c r="C323" t="s">
        <v>50</v>
      </c>
      <c r="D323">
        <v>72</v>
      </c>
      <c r="E323" s="4">
        <f t="shared" ref="E323:E386" si="10">DATEVALUE(B323)</f>
        <v>44734</v>
      </c>
      <c r="F323">
        <f t="shared" ref="F323:F386" si="11">$H$1-E323</f>
        <v>295</v>
      </c>
    </row>
    <row r="324" spans="1:6" x14ac:dyDescent="0.55000000000000004">
      <c r="A324">
        <v>1.363557571381281E+19</v>
      </c>
      <c r="B324" t="s">
        <v>41</v>
      </c>
      <c r="C324" t="s">
        <v>10</v>
      </c>
      <c r="D324">
        <v>186</v>
      </c>
      <c r="E324" s="4">
        <f t="shared" si="10"/>
        <v>44346</v>
      </c>
      <c r="F324">
        <f t="shared" si="11"/>
        <v>683</v>
      </c>
    </row>
    <row r="325" spans="1:6" x14ac:dyDescent="0.55000000000000004">
      <c r="A325">
        <v>7.078790832576682E+18</v>
      </c>
      <c r="B325" t="s">
        <v>302</v>
      </c>
      <c r="C325" t="s">
        <v>5</v>
      </c>
      <c r="D325">
        <v>564</v>
      </c>
      <c r="E325" s="4">
        <f t="shared" si="10"/>
        <v>44997</v>
      </c>
      <c r="F325">
        <f t="shared" si="11"/>
        <v>32</v>
      </c>
    </row>
    <row r="326" spans="1:6" x14ac:dyDescent="0.55000000000000004">
      <c r="A326">
        <v>6.6130664491283999E+18</v>
      </c>
      <c r="B326" t="s">
        <v>303</v>
      </c>
      <c r="C326" t="s">
        <v>13</v>
      </c>
      <c r="D326">
        <v>1482</v>
      </c>
      <c r="E326" s="4">
        <f t="shared" si="10"/>
        <v>44039</v>
      </c>
      <c r="F326">
        <f t="shared" si="11"/>
        <v>990</v>
      </c>
    </row>
    <row r="327" spans="1:6" x14ac:dyDescent="0.55000000000000004">
      <c r="A327">
        <v>9.9997063924467917E+17</v>
      </c>
      <c r="B327" t="s">
        <v>304</v>
      </c>
      <c r="C327" t="s">
        <v>13</v>
      </c>
      <c r="D327">
        <v>1627</v>
      </c>
      <c r="E327" s="4">
        <f t="shared" si="10"/>
        <v>44174</v>
      </c>
      <c r="F327">
        <f t="shared" si="11"/>
        <v>855</v>
      </c>
    </row>
    <row r="328" spans="1:6" x14ac:dyDescent="0.55000000000000004">
      <c r="A328">
        <v>3.8062534945437491E+18</v>
      </c>
      <c r="B328" t="s">
        <v>97</v>
      </c>
      <c r="C328" t="s">
        <v>13</v>
      </c>
      <c r="D328">
        <v>5276</v>
      </c>
      <c r="E328" s="4">
        <f t="shared" si="10"/>
        <v>44444</v>
      </c>
      <c r="F328">
        <f t="shared" si="11"/>
        <v>585</v>
      </c>
    </row>
    <row r="329" spans="1:6" x14ac:dyDescent="0.55000000000000004">
      <c r="A329">
        <v>1.8150622644532199E+19</v>
      </c>
      <c r="B329" t="s">
        <v>305</v>
      </c>
      <c r="C329" t="s">
        <v>13</v>
      </c>
      <c r="D329">
        <v>4289</v>
      </c>
      <c r="E329" s="4">
        <f t="shared" si="10"/>
        <v>44713</v>
      </c>
      <c r="F329">
        <f t="shared" si="11"/>
        <v>316</v>
      </c>
    </row>
    <row r="330" spans="1:6" x14ac:dyDescent="0.55000000000000004">
      <c r="A330">
        <v>1.464810874174613E+18</v>
      </c>
      <c r="B330" t="s">
        <v>306</v>
      </c>
      <c r="C330" t="s">
        <v>10</v>
      </c>
      <c r="D330">
        <v>99</v>
      </c>
      <c r="E330" s="4">
        <f t="shared" si="10"/>
        <v>44855</v>
      </c>
      <c r="F330">
        <f t="shared" si="11"/>
        <v>174</v>
      </c>
    </row>
    <row r="331" spans="1:6" x14ac:dyDescent="0.55000000000000004">
      <c r="A331">
        <v>1.496928590559763E+19</v>
      </c>
      <c r="B331" t="s">
        <v>307</v>
      </c>
      <c r="C331" t="s">
        <v>7</v>
      </c>
      <c r="D331">
        <v>1332</v>
      </c>
      <c r="E331" s="4">
        <f t="shared" si="10"/>
        <v>44616</v>
      </c>
      <c r="F331">
        <f t="shared" si="11"/>
        <v>413</v>
      </c>
    </row>
    <row r="332" spans="1:6" x14ac:dyDescent="0.55000000000000004">
      <c r="A332">
        <v>4.7894399729084293E+18</v>
      </c>
      <c r="B332" t="s">
        <v>214</v>
      </c>
      <c r="C332" t="s">
        <v>13</v>
      </c>
      <c r="D332">
        <v>763</v>
      </c>
      <c r="E332" s="4">
        <f t="shared" si="10"/>
        <v>44821</v>
      </c>
      <c r="F332">
        <f t="shared" si="11"/>
        <v>208</v>
      </c>
    </row>
    <row r="333" spans="1:6" x14ac:dyDescent="0.55000000000000004">
      <c r="A333">
        <v>1.099566546605065E+19</v>
      </c>
      <c r="B333" t="s">
        <v>308</v>
      </c>
      <c r="C333" t="s">
        <v>7</v>
      </c>
      <c r="D333">
        <v>147</v>
      </c>
      <c r="E333" s="4">
        <f t="shared" si="10"/>
        <v>43971</v>
      </c>
      <c r="F333">
        <f t="shared" si="11"/>
        <v>1058</v>
      </c>
    </row>
    <row r="334" spans="1:6" x14ac:dyDescent="0.55000000000000004">
      <c r="A334">
        <v>1.273884389844678E+19</v>
      </c>
      <c r="B334" t="s">
        <v>309</v>
      </c>
      <c r="C334" t="s">
        <v>10</v>
      </c>
      <c r="D334">
        <v>692</v>
      </c>
      <c r="E334" s="4">
        <f t="shared" si="10"/>
        <v>44842</v>
      </c>
      <c r="F334">
        <f t="shared" si="11"/>
        <v>187</v>
      </c>
    </row>
    <row r="335" spans="1:6" x14ac:dyDescent="0.55000000000000004">
      <c r="A335">
        <v>4.701188881007828E+18</v>
      </c>
      <c r="B335" t="s">
        <v>310</v>
      </c>
      <c r="C335" t="s">
        <v>13</v>
      </c>
      <c r="D335">
        <v>675</v>
      </c>
      <c r="E335" s="4">
        <f t="shared" si="10"/>
        <v>44427</v>
      </c>
      <c r="F335">
        <f t="shared" si="11"/>
        <v>602</v>
      </c>
    </row>
    <row r="336" spans="1:6" x14ac:dyDescent="0.55000000000000004">
      <c r="A336">
        <v>1.61628271192128E+19</v>
      </c>
      <c r="B336" t="s">
        <v>228</v>
      </c>
      <c r="C336" t="s">
        <v>13</v>
      </c>
      <c r="D336">
        <v>3591</v>
      </c>
      <c r="E336" s="4">
        <f t="shared" si="10"/>
        <v>44145</v>
      </c>
      <c r="F336">
        <f t="shared" si="11"/>
        <v>884</v>
      </c>
    </row>
    <row r="337" spans="1:6" x14ac:dyDescent="0.55000000000000004">
      <c r="A337">
        <v>2.4027411443830999E+18</v>
      </c>
      <c r="B337" t="s">
        <v>311</v>
      </c>
      <c r="C337" t="s">
        <v>13</v>
      </c>
      <c r="D337">
        <v>2059</v>
      </c>
      <c r="E337" s="4">
        <f t="shared" si="10"/>
        <v>44056</v>
      </c>
      <c r="F337">
        <f t="shared" si="11"/>
        <v>973</v>
      </c>
    </row>
    <row r="338" spans="1:6" x14ac:dyDescent="0.55000000000000004">
      <c r="A338">
        <v>7.2351100005471386E+18</v>
      </c>
      <c r="B338" t="s">
        <v>312</v>
      </c>
      <c r="C338" t="s">
        <v>7</v>
      </c>
      <c r="D338">
        <v>309</v>
      </c>
      <c r="E338" s="4">
        <f t="shared" si="10"/>
        <v>43881</v>
      </c>
      <c r="F338">
        <f t="shared" si="11"/>
        <v>1148</v>
      </c>
    </row>
    <row r="339" spans="1:6" x14ac:dyDescent="0.55000000000000004">
      <c r="A339">
        <v>4.8366144911632036E+18</v>
      </c>
      <c r="B339" t="s">
        <v>313</v>
      </c>
      <c r="C339" t="s">
        <v>10</v>
      </c>
      <c r="D339">
        <v>3177</v>
      </c>
      <c r="E339" s="4">
        <f t="shared" si="10"/>
        <v>44889</v>
      </c>
      <c r="F339">
        <f t="shared" si="11"/>
        <v>140</v>
      </c>
    </row>
    <row r="340" spans="1:6" x14ac:dyDescent="0.55000000000000004">
      <c r="A340">
        <v>1.4375762660099E+19</v>
      </c>
      <c r="B340" t="s">
        <v>314</v>
      </c>
      <c r="C340" t="s">
        <v>10</v>
      </c>
      <c r="D340">
        <v>170</v>
      </c>
      <c r="E340" s="4">
        <f t="shared" si="10"/>
        <v>44687</v>
      </c>
      <c r="F340">
        <f t="shared" si="11"/>
        <v>342</v>
      </c>
    </row>
    <row r="341" spans="1:6" x14ac:dyDescent="0.55000000000000004">
      <c r="A341">
        <v>2.7772083311998751E+18</v>
      </c>
      <c r="B341" t="s">
        <v>315</v>
      </c>
      <c r="C341" t="s">
        <v>10</v>
      </c>
      <c r="D341">
        <v>622</v>
      </c>
      <c r="E341" s="4">
        <f t="shared" si="10"/>
        <v>44669</v>
      </c>
      <c r="F341">
        <f t="shared" si="11"/>
        <v>360</v>
      </c>
    </row>
    <row r="342" spans="1:6" x14ac:dyDescent="0.55000000000000004">
      <c r="A342">
        <v>6.1981796903171369E+18</v>
      </c>
      <c r="B342" t="s">
        <v>316</v>
      </c>
      <c r="C342" t="s">
        <v>13</v>
      </c>
      <c r="D342">
        <v>900</v>
      </c>
      <c r="E342" s="4">
        <f t="shared" si="10"/>
        <v>43946</v>
      </c>
      <c r="F342">
        <f t="shared" si="11"/>
        <v>1083</v>
      </c>
    </row>
    <row r="343" spans="1:6" x14ac:dyDescent="0.55000000000000004">
      <c r="A343">
        <v>3.0395197140953411E+18</v>
      </c>
      <c r="B343" t="s">
        <v>317</v>
      </c>
      <c r="C343" t="s">
        <v>10</v>
      </c>
      <c r="D343">
        <v>1917</v>
      </c>
      <c r="E343" s="4">
        <f t="shared" si="10"/>
        <v>44601</v>
      </c>
      <c r="F343">
        <f t="shared" si="11"/>
        <v>428</v>
      </c>
    </row>
    <row r="344" spans="1:6" x14ac:dyDescent="0.55000000000000004">
      <c r="A344">
        <v>1.6828427059661771E+19</v>
      </c>
      <c r="B344" t="s">
        <v>318</v>
      </c>
      <c r="C344" t="s">
        <v>7</v>
      </c>
      <c r="D344">
        <v>87</v>
      </c>
      <c r="E344" s="4">
        <f t="shared" si="10"/>
        <v>43953</v>
      </c>
      <c r="F344">
        <f t="shared" si="11"/>
        <v>1076</v>
      </c>
    </row>
    <row r="345" spans="1:6" x14ac:dyDescent="0.55000000000000004">
      <c r="A345">
        <v>6.9191498533146655E+18</v>
      </c>
      <c r="B345" t="s">
        <v>319</v>
      </c>
      <c r="C345" t="s">
        <v>13</v>
      </c>
      <c r="D345">
        <v>485</v>
      </c>
      <c r="E345" s="4">
        <f t="shared" si="10"/>
        <v>43912</v>
      </c>
      <c r="F345">
        <f t="shared" si="11"/>
        <v>1117</v>
      </c>
    </row>
    <row r="346" spans="1:6" x14ac:dyDescent="0.55000000000000004">
      <c r="A346">
        <v>1.3560338767012139E+19</v>
      </c>
      <c r="B346" t="s">
        <v>280</v>
      </c>
      <c r="C346" t="s">
        <v>10</v>
      </c>
      <c r="D346">
        <v>280</v>
      </c>
      <c r="E346" s="4">
        <f t="shared" si="10"/>
        <v>44593</v>
      </c>
      <c r="F346">
        <f t="shared" si="11"/>
        <v>436</v>
      </c>
    </row>
    <row r="347" spans="1:6" x14ac:dyDescent="0.55000000000000004">
      <c r="A347">
        <v>8.7568087296080701E+18</v>
      </c>
      <c r="B347" t="s">
        <v>320</v>
      </c>
      <c r="C347" t="s">
        <v>13</v>
      </c>
      <c r="D347">
        <v>2719</v>
      </c>
      <c r="E347" s="4">
        <f t="shared" si="10"/>
        <v>44533</v>
      </c>
      <c r="F347">
        <f t="shared" si="11"/>
        <v>496</v>
      </c>
    </row>
    <row r="348" spans="1:6" x14ac:dyDescent="0.55000000000000004">
      <c r="A348">
        <v>7.3910230911994184E+18</v>
      </c>
      <c r="B348" t="s">
        <v>321</v>
      </c>
      <c r="C348" t="s">
        <v>13</v>
      </c>
      <c r="D348">
        <v>982</v>
      </c>
      <c r="E348" s="4">
        <f t="shared" si="10"/>
        <v>44798</v>
      </c>
      <c r="F348">
        <f t="shared" si="11"/>
        <v>231</v>
      </c>
    </row>
    <row r="349" spans="1:6" x14ac:dyDescent="0.55000000000000004">
      <c r="A349">
        <v>1.9768590323039109E+18</v>
      </c>
      <c r="B349" t="s">
        <v>322</v>
      </c>
      <c r="C349" t="s">
        <v>13</v>
      </c>
      <c r="D349">
        <v>450</v>
      </c>
      <c r="E349" s="4">
        <f t="shared" si="10"/>
        <v>43787</v>
      </c>
      <c r="F349">
        <f t="shared" si="11"/>
        <v>1242</v>
      </c>
    </row>
    <row r="350" spans="1:6" x14ac:dyDescent="0.55000000000000004">
      <c r="A350">
        <v>1.7553228398623441E+19</v>
      </c>
      <c r="B350" t="s">
        <v>323</v>
      </c>
      <c r="C350" t="s">
        <v>10</v>
      </c>
      <c r="D350">
        <v>838</v>
      </c>
      <c r="E350" s="4">
        <f t="shared" si="10"/>
        <v>44914</v>
      </c>
      <c r="F350">
        <f t="shared" si="11"/>
        <v>115</v>
      </c>
    </row>
    <row r="351" spans="1:6" x14ac:dyDescent="0.55000000000000004">
      <c r="A351">
        <v>3.291601169534828E+18</v>
      </c>
      <c r="B351" t="s">
        <v>155</v>
      </c>
      <c r="C351" t="s">
        <v>13</v>
      </c>
      <c r="D351">
        <v>3666</v>
      </c>
      <c r="E351" s="4">
        <f t="shared" si="10"/>
        <v>44081</v>
      </c>
      <c r="F351">
        <f t="shared" si="11"/>
        <v>948</v>
      </c>
    </row>
    <row r="352" spans="1:6" x14ac:dyDescent="0.55000000000000004">
      <c r="A352">
        <v>8.2387452162546698E+18</v>
      </c>
      <c r="B352" t="s">
        <v>324</v>
      </c>
      <c r="C352" t="s">
        <v>7</v>
      </c>
      <c r="D352">
        <v>477</v>
      </c>
      <c r="E352" s="4">
        <f t="shared" si="10"/>
        <v>44421</v>
      </c>
      <c r="F352">
        <f t="shared" si="11"/>
        <v>608</v>
      </c>
    </row>
    <row r="353" spans="1:6" x14ac:dyDescent="0.55000000000000004">
      <c r="A353">
        <v>1.1170997202852631E+19</v>
      </c>
      <c r="B353" t="s">
        <v>325</v>
      </c>
      <c r="C353" t="s">
        <v>13</v>
      </c>
      <c r="D353">
        <v>659</v>
      </c>
      <c r="E353" s="4">
        <f t="shared" si="10"/>
        <v>44143</v>
      </c>
      <c r="F353">
        <f t="shared" si="11"/>
        <v>886</v>
      </c>
    </row>
    <row r="354" spans="1:6" x14ac:dyDescent="0.55000000000000004">
      <c r="A354">
        <v>4.1979686203009562E+18</v>
      </c>
      <c r="B354" t="s">
        <v>326</v>
      </c>
      <c r="C354" t="s">
        <v>13</v>
      </c>
      <c r="D354">
        <v>2320</v>
      </c>
      <c r="E354" s="4">
        <f t="shared" si="10"/>
        <v>44248</v>
      </c>
      <c r="F354">
        <f t="shared" si="11"/>
        <v>781</v>
      </c>
    </row>
    <row r="355" spans="1:6" x14ac:dyDescent="0.55000000000000004">
      <c r="A355">
        <v>1.034546681665433E+19</v>
      </c>
      <c r="B355" t="s">
        <v>327</v>
      </c>
      <c r="C355" t="s">
        <v>10</v>
      </c>
      <c r="D355">
        <v>1138</v>
      </c>
      <c r="E355" s="4">
        <f t="shared" si="10"/>
        <v>44628</v>
      </c>
      <c r="F355">
        <f t="shared" si="11"/>
        <v>401</v>
      </c>
    </row>
    <row r="356" spans="1:6" x14ac:dyDescent="0.55000000000000004">
      <c r="A356">
        <v>1.486762239790227E+19</v>
      </c>
      <c r="B356" t="s">
        <v>328</v>
      </c>
      <c r="C356" t="s">
        <v>5</v>
      </c>
      <c r="D356">
        <v>1048</v>
      </c>
      <c r="E356" s="4">
        <f t="shared" si="10"/>
        <v>44834</v>
      </c>
      <c r="F356">
        <f t="shared" si="11"/>
        <v>195</v>
      </c>
    </row>
    <row r="357" spans="1:6" x14ac:dyDescent="0.55000000000000004">
      <c r="A357">
        <v>7.3495204148405125E+18</v>
      </c>
      <c r="B357" t="s">
        <v>329</v>
      </c>
      <c r="C357" t="s">
        <v>13</v>
      </c>
      <c r="D357">
        <v>445</v>
      </c>
      <c r="E357" s="4">
        <f t="shared" si="10"/>
        <v>43898</v>
      </c>
      <c r="F357">
        <f t="shared" si="11"/>
        <v>1131</v>
      </c>
    </row>
    <row r="358" spans="1:6" x14ac:dyDescent="0.55000000000000004">
      <c r="A358">
        <v>1.2491910575003779E+19</v>
      </c>
      <c r="B358" t="s">
        <v>330</v>
      </c>
      <c r="C358" t="s">
        <v>7</v>
      </c>
      <c r="D358">
        <v>2070</v>
      </c>
      <c r="E358" s="4">
        <f t="shared" si="10"/>
        <v>44282</v>
      </c>
      <c r="F358">
        <f t="shared" si="11"/>
        <v>747</v>
      </c>
    </row>
    <row r="359" spans="1:6" x14ac:dyDescent="0.55000000000000004">
      <c r="A359">
        <v>1.5776470081554911E+18</v>
      </c>
      <c r="B359" t="s">
        <v>331</v>
      </c>
      <c r="C359" t="s">
        <v>10</v>
      </c>
      <c r="D359">
        <v>670</v>
      </c>
      <c r="E359" s="4">
        <f t="shared" si="10"/>
        <v>44443</v>
      </c>
      <c r="F359">
        <f t="shared" si="11"/>
        <v>586</v>
      </c>
    </row>
    <row r="360" spans="1:6" x14ac:dyDescent="0.55000000000000004">
      <c r="A360">
        <v>5.3973038049061745E+18</v>
      </c>
      <c r="B360" t="s">
        <v>332</v>
      </c>
      <c r="C360" t="s">
        <v>5</v>
      </c>
      <c r="D360">
        <v>112609.2</v>
      </c>
      <c r="E360" s="4">
        <f t="shared" si="10"/>
        <v>43134</v>
      </c>
      <c r="F360">
        <f t="shared" si="11"/>
        <v>1895</v>
      </c>
    </row>
    <row r="361" spans="1:6" x14ac:dyDescent="0.55000000000000004">
      <c r="A361">
        <v>1.2852288836830581E+19</v>
      </c>
      <c r="B361" t="s">
        <v>112</v>
      </c>
      <c r="C361" t="s">
        <v>13</v>
      </c>
      <c r="D361">
        <v>607</v>
      </c>
      <c r="E361" s="4">
        <f t="shared" si="10"/>
        <v>44835</v>
      </c>
      <c r="F361">
        <f t="shared" si="11"/>
        <v>194</v>
      </c>
    </row>
    <row r="362" spans="1:6" x14ac:dyDescent="0.55000000000000004">
      <c r="A362">
        <v>3.389320589001964E+18</v>
      </c>
      <c r="B362" t="s">
        <v>333</v>
      </c>
      <c r="C362" t="s">
        <v>10</v>
      </c>
      <c r="D362">
        <v>299</v>
      </c>
      <c r="E362" s="4">
        <f t="shared" si="10"/>
        <v>44562</v>
      </c>
      <c r="F362">
        <f t="shared" si="11"/>
        <v>467</v>
      </c>
    </row>
    <row r="363" spans="1:6" x14ac:dyDescent="0.55000000000000004">
      <c r="A363">
        <v>1.069659610045831E+19</v>
      </c>
      <c r="B363" t="s">
        <v>334</v>
      </c>
      <c r="C363" t="s">
        <v>10</v>
      </c>
      <c r="D363">
        <v>1690</v>
      </c>
      <c r="E363" s="4">
        <f t="shared" si="10"/>
        <v>44915</v>
      </c>
      <c r="F363">
        <f t="shared" si="11"/>
        <v>114</v>
      </c>
    </row>
    <row r="364" spans="1:6" x14ac:dyDescent="0.55000000000000004">
      <c r="A364">
        <v>1.4416220990461239E+19</v>
      </c>
      <c r="B364" t="s">
        <v>335</v>
      </c>
      <c r="C364" t="s">
        <v>13</v>
      </c>
      <c r="D364">
        <v>292</v>
      </c>
      <c r="E364" s="4">
        <f t="shared" si="10"/>
        <v>44690</v>
      </c>
      <c r="F364">
        <f t="shared" si="11"/>
        <v>339</v>
      </c>
    </row>
    <row r="365" spans="1:6" x14ac:dyDescent="0.55000000000000004">
      <c r="A365">
        <v>1.2095133762377641E+18</v>
      </c>
      <c r="B365" t="s">
        <v>15</v>
      </c>
      <c r="C365" t="s">
        <v>50</v>
      </c>
      <c r="D365">
        <v>51</v>
      </c>
      <c r="E365" s="4">
        <f t="shared" si="10"/>
        <v>44212</v>
      </c>
      <c r="F365">
        <f t="shared" si="11"/>
        <v>817</v>
      </c>
    </row>
    <row r="366" spans="1:6" x14ac:dyDescent="0.55000000000000004">
      <c r="A366">
        <v>8.0436897055711142E+17</v>
      </c>
      <c r="B366" t="s">
        <v>277</v>
      </c>
      <c r="C366" t="s">
        <v>46</v>
      </c>
      <c r="D366">
        <v>507</v>
      </c>
      <c r="E366" s="4">
        <f t="shared" si="10"/>
        <v>44871</v>
      </c>
      <c r="F366">
        <f t="shared" si="11"/>
        <v>158</v>
      </c>
    </row>
    <row r="367" spans="1:6" x14ac:dyDescent="0.55000000000000004">
      <c r="A367">
        <v>1.44972330194276E+19</v>
      </c>
      <c r="B367" t="s">
        <v>336</v>
      </c>
      <c r="C367" t="s">
        <v>13</v>
      </c>
      <c r="D367">
        <v>2748</v>
      </c>
      <c r="E367" s="4">
        <f t="shared" si="10"/>
        <v>44843</v>
      </c>
      <c r="F367">
        <f t="shared" si="11"/>
        <v>186</v>
      </c>
    </row>
    <row r="368" spans="1:6" x14ac:dyDescent="0.55000000000000004">
      <c r="A368">
        <v>7.9655924195363287E+18</v>
      </c>
      <c r="B368" t="s">
        <v>313</v>
      </c>
      <c r="C368" t="s">
        <v>13</v>
      </c>
      <c r="D368">
        <v>3810</v>
      </c>
      <c r="E368" s="4">
        <f t="shared" si="10"/>
        <v>44889</v>
      </c>
      <c r="F368">
        <f t="shared" si="11"/>
        <v>140</v>
      </c>
    </row>
    <row r="369" spans="1:6" x14ac:dyDescent="0.55000000000000004">
      <c r="A369">
        <v>1.1883551131589671E+19</v>
      </c>
      <c r="B369" t="s">
        <v>337</v>
      </c>
      <c r="C369" t="s">
        <v>10</v>
      </c>
      <c r="D369">
        <v>399</v>
      </c>
      <c r="E369" s="4">
        <f t="shared" si="10"/>
        <v>44089</v>
      </c>
      <c r="F369">
        <f t="shared" si="11"/>
        <v>940</v>
      </c>
    </row>
    <row r="370" spans="1:6" x14ac:dyDescent="0.55000000000000004">
      <c r="A370">
        <v>4.8769984664423875E+18</v>
      </c>
      <c r="B370" t="s">
        <v>338</v>
      </c>
      <c r="C370" t="s">
        <v>10</v>
      </c>
      <c r="D370">
        <v>144</v>
      </c>
      <c r="E370" s="4">
        <f t="shared" si="10"/>
        <v>43853</v>
      </c>
      <c r="F370">
        <f t="shared" si="11"/>
        <v>1176</v>
      </c>
    </row>
    <row r="371" spans="1:6" x14ac:dyDescent="0.55000000000000004">
      <c r="A371">
        <v>5.7659891873700403E+18</v>
      </c>
      <c r="B371" t="s">
        <v>339</v>
      </c>
      <c r="C371" t="s">
        <v>7</v>
      </c>
      <c r="D371">
        <v>187</v>
      </c>
      <c r="E371" s="4">
        <f t="shared" si="10"/>
        <v>44667</v>
      </c>
      <c r="F371">
        <f t="shared" si="11"/>
        <v>362</v>
      </c>
    </row>
    <row r="372" spans="1:6" x14ac:dyDescent="0.55000000000000004">
      <c r="A372">
        <v>2.6866862189319229E+18</v>
      </c>
      <c r="B372" t="s">
        <v>340</v>
      </c>
      <c r="C372" t="s">
        <v>46</v>
      </c>
      <c r="D372">
        <v>220</v>
      </c>
      <c r="E372" s="4">
        <f t="shared" si="10"/>
        <v>45002</v>
      </c>
      <c r="F372">
        <f t="shared" si="11"/>
        <v>27</v>
      </c>
    </row>
    <row r="373" spans="1:6" x14ac:dyDescent="0.55000000000000004">
      <c r="A373">
        <v>8.4018263479148943E+18</v>
      </c>
      <c r="B373" t="s">
        <v>77</v>
      </c>
      <c r="C373" t="s">
        <v>46</v>
      </c>
      <c r="D373">
        <v>1255</v>
      </c>
      <c r="E373" s="4">
        <f t="shared" si="10"/>
        <v>44375</v>
      </c>
      <c r="F373">
        <f t="shared" si="11"/>
        <v>654</v>
      </c>
    </row>
    <row r="374" spans="1:6" x14ac:dyDescent="0.55000000000000004">
      <c r="A374">
        <v>1.753867985580528E+19</v>
      </c>
      <c r="B374" t="s">
        <v>195</v>
      </c>
      <c r="C374" t="s">
        <v>10</v>
      </c>
      <c r="D374">
        <v>1490</v>
      </c>
      <c r="E374" s="4">
        <f t="shared" si="10"/>
        <v>44640</v>
      </c>
      <c r="F374">
        <f t="shared" si="11"/>
        <v>389</v>
      </c>
    </row>
    <row r="375" spans="1:6" x14ac:dyDescent="0.55000000000000004">
      <c r="A375">
        <v>3.3239069988387597E+17</v>
      </c>
      <c r="B375" t="s">
        <v>341</v>
      </c>
      <c r="C375" t="s">
        <v>10</v>
      </c>
      <c r="D375">
        <v>4797</v>
      </c>
      <c r="E375" s="4">
        <f t="shared" si="10"/>
        <v>44354</v>
      </c>
      <c r="F375">
        <f t="shared" si="11"/>
        <v>675</v>
      </c>
    </row>
    <row r="376" spans="1:6" x14ac:dyDescent="0.55000000000000004">
      <c r="A376">
        <v>1.606085863376258E+19</v>
      </c>
      <c r="B376" t="s">
        <v>342</v>
      </c>
      <c r="C376" t="s">
        <v>13</v>
      </c>
      <c r="D376">
        <v>1097</v>
      </c>
      <c r="E376" s="4">
        <f t="shared" si="10"/>
        <v>44861</v>
      </c>
      <c r="F376">
        <f t="shared" si="11"/>
        <v>168</v>
      </c>
    </row>
    <row r="377" spans="1:6" x14ac:dyDescent="0.55000000000000004">
      <c r="A377">
        <v>1.472802365632863E+19</v>
      </c>
      <c r="B377" t="s">
        <v>343</v>
      </c>
      <c r="C377" t="s">
        <v>10</v>
      </c>
      <c r="D377">
        <v>594</v>
      </c>
      <c r="E377" s="4">
        <f t="shared" si="10"/>
        <v>44297</v>
      </c>
      <c r="F377">
        <f t="shared" si="11"/>
        <v>732</v>
      </c>
    </row>
    <row r="378" spans="1:6" x14ac:dyDescent="0.55000000000000004">
      <c r="A378">
        <v>1.0637602183882199E+19</v>
      </c>
      <c r="B378" t="s">
        <v>232</v>
      </c>
      <c r="C378" t="s">
        <v>7</v>
      </c>
      <c r="D378">
        <v>212</v>
      </c>
      <c r="E378" s="4">
        <f t="shared" si="10"/>
        <v>44745</v>
      </c>
      <c r="F378">
        <f t="shared" si="11"/>
        <v>284</v>
      </c>
    </row>
    <row r="379" spans="1:6" x14ac:dyDescent="0.55000000000000004">
      <c r="A379">
        <v>1.01315417837344E+18</v>
      </c>
      <c r="B379" t="s">
        <v>344</v>
      </c>
      <c r="C379" t="s">
        <v>10</v>
      </c>
      <c r="D379">
        <v>5856</v>
      </c>
      <c r="E379" s="4">
        <f t="shared" si="10"/>
        <v>44308</v>
      </c>
      <c r="F379">
        <f t="shared" si="11"/>
        <v>721</v>
      </c>
    </row>
    <row r="380" spans="1:6" x14ac:dyDescent="0.55000000000000004">
      <c r="A380">
        <v>5.3973038049061745E+18</v>
      </c>
      <c r="B380" t="s">
        <v>345</v>
      </c>
      <c r="C380" t="s">
        <v>5</v>
      </c>
      <c r="D380">
        <v>80754.53</v>
      </c>
      <c r="E380" s="4">
        <f t="shared" si="10"/>
        <v>44809</v>
      </c>
      <c r="F380">
        <f t="shared" si="11"/>
        <v>220</v>
      </c>
    </row>
    <row r="381" spans="1:6" x14ac:dyDescent="0.55000000000000004">
      <c r="A381">
        <v>5.8527438191363031E+18</v>
      </c>
      <c r="B381" t="s">
        <v>346</v>
      </c>
      <c r="C381" t="s">
        <v>10</v>
      </c>
      <c r="D381">
        <v>3207</v>
      </c>
      <c r="E381" s="4">
        <f t="shared" si="10"/>
        <v>44192</v>
      </c>
      <c r="F381">
        <f t="shared" si="11"/>
        <v>837</v>
      </c>
    </row>
    <row r="382" spans="1:6" x14ac:dyDescent="0.55000000000000004">
      <c r="A382">
        <v>6.5643654175855411E+18</v>
      </c>
      <c r="B382" t="s">
        <v>347</v>
      </c>
      <c r="C382" t="s">
        <v>7</v>
      </c>
      <c r="D382">
        <v>590</v>
      </c>
      <c r="E382" s="4">
        <f t="shared" si="10"/>
        <v>44857</v>
      </c>
      <c r="F382">
        <f t="shared" si="11"/>
        <v>172</v>
      </c>
    </row>
    <row r="383" spans="1:6" x14ac:dyDescent="0.55000000000000004">
      <c r="A383">
        <v>8.8812564427983503E+18</v>
      </c>
      <c r="B383" t="s">
        <v>348</v>
      </c>
      <c r="C383" t="s">
        <v>13</v>
      </c>
      <c r="D383">
        <v>611</v>
      </c>
      <c r="E383" s="4">
        <f t="shared" si="10"/>
        <v>44041</v>
      </c>
      <c r="F383">
        <f t="shared" si="11"/>
        <v>988</v>
      </c>
    </row>
    <row r="384" spans="1:6" x14ac:dyDescent="0.55000000000000004">
      <c r="A384">
        <v>6.975653972301268E+18</v>
      </c>
      <c r="B384" t="s">
        <v>349</v>
      </c>
      <c r="C384" t="s">
        <v>13</v>
      </c>
      <c r="D384">
        <v>3660</v>
      </c>
      <c r="E384" s="4">
        <f t="shared" si="10"/>
        <v>44502</v>
      </c>
      <c r="F384">
        <f t="shared" si="11"/>
        <v>527</v>
      </c>
    </row>
    <row r="385" spans="1:6" x14ac:dyDescent="0.55000000000000004">
      <c r="A385">
        <v>4.9450563649617633E+18</v>
      </c>
      <c r="B385" t="s">
        <v>350</v>
      </c>
      <c r="C385" t="s">
        <v>13</v>
      </c>
      <c r="D385">
        <v>946</v>
      </c>
      <c r="E385" s="4">
        <f t="shared" si="10"/>
        <v>44716</v>
      </c>
      <c r="F385">
        <f t="shared" si="11"/>
        <v>313</v>
      </c>
    </row>
    <row r="386" spans="1:6" x14ac:dyDescent="0.55000000000000004">
      <c r="A386">
        <v>1.3784682813159739E+19</v>
      </c>
      <c r="B386" t="s">
        <v>340</v>
      </c>
      <c r="C386" t="s">
        <v>10</v>
      </c>
      <c r="D386">
        <v>2556</v>
      </c>
      <c r="E386" s="4">
        <f t="shared" si="10"/>
        <v>45002</v>
      </c>
      <c r="F386">
        <f t="shared" si="11"/>
        <v>27</v>
      </c>
    </row>
    <row r="387" spans="1:6" x14ac:dyDescent="0.55000000000000004">
      <c r="A387">
        <v>1.1491400822540571E+19</v>
      </c>
      <c r="B387" t="s">
        <v>351</v>
      </c>
      <c r="C387" t="s">
        <v>13</v>
      </c>
      <c r="D387">
        <v>964</v>
      </c>
      <c r="E387" s="4">
        <f t="shared" ref="E387:E450" si="12">DATEVALUE(B387)</f>
        <v>44566</v>
      </c>
      <c r="F387">
        <f t="shared" ref="F387:F450" si="13">$H$1-E387</f>
        <v>463</v>
      </c>
    </row>
    <row r="388" spans="1:6" x14ac:dyDescent="0.55000000000000004">
      <c r="A388">
        <v>1.0554479503926821E+19</v>
      </c>
      <c r="B388" t="s">
        <v>352</v>
      </c>
      <c r="C388" t="s">
        <v>13</v>
      </c>
      <c r="D388">
        <v>1639</v>
      </c>
      <c r="E388" s="4">
        <f t="shared" si="12"/>
        <v>44705</v>
      </c>
      <c r="F388">
        <f t="shared" si="13"/>
        <v>324</v>
      </c>
    </row>
    <row r="389" spans="1:6" x14ac:dyDescent="0.55000000000000004">
      <c r="A389">
        <v>1.023326339046786E+19</v>
      </c>
      <c r="B389" t="s">
        <v>353</v>
      </c>
      <c r="C389" t="s">
        <v>10</v>
      </c>
      <c r="D389">
        <v>1829</v>
      </c>
      <c r="E389" s="4">
        <f t="shared" si="12"/>
        <v>44455</v>
      </c>
      <c r="F389">
        <f t="shared" si="13"/>
        <v>574</v>
      </c>
    </row>
    <row r="390" spans="1:6" x14ac:dyDescent="0.55000000000000004">
      <c r="A390">
        <v>1.298848756181147E+19</v>
      </c>
      <c r="B390" t="s">
        <v>354</v>
      </c>
      <c r="C390" t="s">
        <v>10</v>
      </c>
      <c r="D390">
        <v>6832</v>
      </c>
      <c r="E390" s="4">
        <f t="shared" si="12"/>
        <v>44925</v>
      </c>
      <c r="F390">
        <f t="shared" si="13"/>
        <v>104</v>
      </c>
    </row>
    <row r="391" spans="1:6" x14ac:dyDescent="0.55000000000000004">
      <c r="A391">
        <v>1.0205499400559471E+19</v>
      </c>
      <c r="B391" t="s">
        <v>355</v>
      </c>
      <c r="C391" t="s">
        <v>10</v>
      </c>
      <c r="D391">
        <v>3977</v>
      </c>
      <c r="E391" s="4">
        <f t="shared" si="12"/>
        <v>44330</v>
      </c>
      <c r="F391">
        <f t="shared" si="13"/>
        <v>699</v>
      </c>
    </row>
    <row r="392" spans="1:6" x14ac:dyDescent="0.55000000000000004">
      <c r="A392">
        <v>5.3973038049061745E+18</v>
      </c>
      <c r="B392" t="s">
        <v>330</v>
      </c>
      <c r="C392" t="s">
        <v>26</v>
      </c>
      <c r="D392">
        <v>57718</v>
      </c>
      <c r="E392" s="4">
        <f t="shared" si="12"/>
        <v>44282</v>
      </c>
      <c r="F392">
        <f t="shared" si="13"/>
        <v>747</v>
      </c>
    </row>
    <row r="393" spans="1:6" x14ac:dyDescent="0.55000000000000004">
      <c r="A393">
        <v>4.5593323890435702E+18</v>
      </c>
      <c r="B393" t="s">
        <v>356</v>
      </c>
      <c r="C393" t="s">
        <v>10</v>
      </c>
      <c r="D393">
        <v>130</v>
      </c>
      <c r="E393" s="4">
        <f t="shared" si="12"/>
        <v>44221</v>
      </c>
      <c r="F393">
        <f t="shared" si="13"/>
        <v>808</v>
      </c>
    </row>
    <row r="394" spans="1:6" x14ac:dyDescent="0.55000000000000004">
      <c r="A394">
        <v>9.7965584736728637E+18</v>
      </c>
      <c r="B394" t="s">
        <v>357</v>
      </c>
      <c r="C394" t="s">
        <v>13</v>
      </c>
      <c r="D394">
        <v>4632</v>
      </c>
      <c r="E394" s="4">
        <f t="shared" si="12"/>
        <v>44892</v>
      </c>
      <c r="F394">
        <f t="shared" si="13"/>
        <v>137</v>
      </c>
    </row>
    <row r="395" spans="1:6" x14ac:dyDescent="0.55000000000000004">
      <c r="A395">
        <v>1.0432509521820989E+19</v>
      </c>
      <c r="B395" t="s">
        <v>358</v>
      </c>
      <c r="C395" t="s">
        <v>10</v>
      </c>
      <c r="D395">
        <v>1190</v>
      </c>
      <c r="E395" s="4">
        <f t="shared" si="12"/>
        <v>44106</v>
      </c>
      <c r="F395">
        <f t="shared" si="13"/>
        <v>923</v>
      </c>
    </row>
    <row r="396" spans="1:6" x14ac:dyDescent="0.55000000000000004">
      <c r="A396">
        <v>5.3973038049061745E+18</v>
      </c>
      <c r="B396" t="s">
        <v>359</v>
      </c>
      <c r="C396" t="s">
        <v>46</v>
      </c>
      <c r="D396">
        <v>41745.06</v>
      </c>
      <c r="E396" s="4">
        <f t="shared" si="12"/>
        <v>44824</v>
      </c>
      <c r="F396">
        <f t="shared" si="13"/>
        <v>205</v>
      </c>
    </row>
    <row r="397" spans="1:6" x14ac:dyDescent="0.55000000000000004">
      <c r="A397">
        <v>1.9730730410505751E+18</v>
      </c>
      <c r="B397" t="s">
        <v>243</v>
      </c>
      <c r="C397" t="s">
        <v>13</v>
      </c>
      <c r="D397">
        <v>3280</v>
      </c>
      <c r="E397" s="4">
        <f t="shared" si="12"/>
        <v>43825</v>
      </c>
      <c r="F397">
        <f t="shared" si="13"/>
        <v>1204</v>
      </c>
    </row>
    <row r="398" spans="1:6" x14ac:dyDescent="0.55000000000000004">
      <c r="A398">
        <v>6.5677631329683415E+18</v>
      </c>
      <c r="B398" t="s">
        <v>133</v>
      </c>
      <c r="C398" t="s">
        <v>26</v>
      </c>
      <c r="D398">
        <v>129</v>
      </c>
      <c r="E398" s="4">
        <f t="shared" si="12"/>
        <v>44944</v>
      </c>
      <c r="F398">
        <f t="shared" si="13"/>
        <v>85</v>
      </c>
    </row>
    <row r="399" spans="1:6" x14ac:dyDescent="0.55000000000000004">
      <c r="A399">
        <v>1.761906681546685E+19</v>
      </c>
      <c r="B399" t="s">
        <v>286</v>
      </c>
      <c r="C399" t="s">
        <v>7</v>
      </c>
      <c r="D399">
        <v>402</v>
      </c>
      <c r="E399" s="4">
        <f t="shared" si="12"/>
        <v>44755</v>
      </c>
      <c r="F399">
        <f t="shared" si="13"/>
        <v>274</v>
      </c>
    </row>
    <row r="400" spans="1:6" x14ac:dyDescent="0.55000000000000004">
      <c r="A400">
        <v>5.8332898819975539E+17</v>
      </c>
      <c r="B400" t="s">
        <v>360</v>
      </c>
      <c r="C400" t="s">
        <v>7</v>
      </c>
      <c r="D400">
        <v>217</v>
      </c>
      <c r="E400" s="4">
        <f t="shared" si="12"/>
        <v>44995</v>
      </c>
      <c r="F400">
        <f t="shared" si="13"/>
        <v>34</v>
      </c>
    </row>
    <row r="401" spans="1:6" x14ac:dyDescent="0.55000000000000004">
      <c r="A401">
        <v>1.589363081237684E+19</v>
      </c>
      <c r="B401" t="s">
        <v>361</v>
      </c>
      <c r="C401" t="s">
        <v>46</v>
      </c>
      <c r="D401">
        <v>179</v>
      </c>
      <c r="E401" s="4">
        <f t="shared" si="12"/>
        <v>44438</v>
      </c>
      <c r="F401">
        <f t="shared" si="13"/>
        <v>591</v>
      </c>
    </row>
    <row r="402" spans="1:6" x14ac:dyDescent="0.55000000000000004">
      <c r="A402">
        <v>1.584062040801715E+19</v>
      </c>
      <c r="B402" t="s">
        <v>362</v>
      </c>
      <c r="C402" t="s">
        <v>13</v>
      </c>
      <c r="D402">
        <v>3511</v>
      </c>
      <c r="E402" s="4">
        <f t="shared" si="12"/>
        <v>44164</v>
      </c>
      <c r="F402">
        <f t="shared" si="13"/>
        <v>865</v>
      </c>
    </row>
    <row r="403" spans="1:6" x14ac:dyDescent="0.55000000000000004">
      <c r="A403">
        <v>1.7876883666677039E+19</v>
      </c>
      <c r="B403" t="s">
        <v>24</v>
      </c>
      <c r="C403" t="s">
        <v>10</v>
      </c>
      <c r="D403">
        <v>13170</v>
      </c>
      <c r="E403" s="4">
        <f t="shared" si="12"/>
        <v>44527</v>
      </c>
      <c r="F403">
        <f t="shared" si="13"/>
        <v>502</v>
      </c>
    </row>
    <row r="404" spans="1:6" x14ac:dyDescent="0.55000000000000004">
      <c r="A404">
        <v>1.5299920061904511E+19</v>
      </c>
      <c r="B404" t="s">
        <v>363</v>
      </c>
      <c r="C404" t="s">
        <v>26</v>
      </c>
      <c r="D404">
        <v>75</v>
      </c>
      <c r="E404" s="4">
        <f t="shared" si="12"/>
        <v>44454</v>
      </c>
      <c r="F404">
        <f t="shared" si="13"/>
        <v>575</v>
      </c>
    </row>
    <row r="405" spans="1:6" x14ac:dyDescent="0.55000000000000004">
      <c r="A405">
        <v>3.674025689273685E+18</v>
      </c>
      <c r="B405" t="s">
        <v>364</v>
      </c>
      <c r="C405" t="s">
        <v>13</v>
      </c>
      <c r="D405">
        <v>2501</v>
      </c>
      <c r="E405" s="4">
        <f t="shared" si="12"/>
        <v>44668</v>
      </c>
      <c r="F405">
        <f t="shared" si="13"/>
        <v>361</v>
      </c>
    </row>
    <row r="406" spans="1:6" x14ac:dyDescent="0.55000000000000004">
      <c r="A406">
        <v>1.215655521005091E+19</v>
      </c>
      <c r="B406" t="s">
        <v>365</v>
      </c>
      <c r="C406" t="s">
        <v>10</v>
      </c>
      <c r="D406">
        <v>1790</v>
      </c>
      <c r="E406" s="4">
        <f t="shared" si="12"/>
        <v>44918</v>
      </c>
      <c r="F406">
        <f t="shared" si="13"/>
        <v>111</v>
      </c>
    </row>
    <row r="407" spans="1:6" x14ac:dyDescent="0.55000000000000004">
      <c r="A407">
        <v>1.6082214315427379E+19</v>
      </c>
      <c r="B407" t="s">
        <v>366</v>
      </c>
      <c r="C407" t="s">
        <v>10</v>
      </c>
      <c r="D407">
        <v>477</v>
      </c>
      <c r="E407" s="4">
        <f t="shared" si="12"/>
        <v>44746</v>
      </c>
      <c r="F407">
        <f t="shared" si="13"/>
        <v>283</v>
      </c>
    </row>
    <row r="408" spans="1:6" x14ac:dyDescent="0.55000000000000004">
      <c r="A408">
        <v>4.200684856420906E+18</v>
      </c>
      <c r="B408" t="s">
        <v>367</v>
      </c>
      <c r="C408" t="s">
        <v>46</v>
      </c>
      <c r="D408">
        <v>91</v>
      </c>
      <c r="E408" s="4">
        <f t="shared" si="12"/>
        <v>44184</v>
      </c>
      <c r="F408">
        <f t="shared" si="13"/>
        <v>845</v>
      </c>
    </row>
    <row r="409" spans="1:6" x14ac:dyDescent="0.55000000000000004">
      <c r="A409">
        <v>6.0930507342067261E+18</v>
      </c>
      <c r="B409" t="s">
        <v>368</v>
      </c>
      <c r="C409" t="s">
        <v>13</v>
      </c>
      <c r="D409">
        <v>790</v>
      </c>
      <c r="E409" s="4">
        <f t="shared" si="12"/>
        <v>44812</v>
      </c>
      <c r="F409">
        <f t="shared" si="13"/>
        <v>217</v>
      </c>
    </row>
    <row r="410" spans="1:6" x14ac:dyDescent="0.55000000000000004">
      <c r="A410">
        <v>1.162597696295221E+18</v>
      </c>
      <c r="B410" t="s">
        <v>204</v>
      </c>
      <c r="C410" t="s">
        <v>26</v>
      </c>
      <c r="D410">
        <v>1694</v>
      </c>
      <c r="E410" s="4">
        <f t="shared" si="12"/>
        <v>44849</v>
      </c>
      <c r="F410">
        <f t="shared" si="13"/>
        <v>180</v>
      </c>
    </row>
    <row r="411" spans="1:6" x14ac:dyDescent="0.55000000000000004">
      <c r="A411">
        <v>5.3973038049061745E+18</v>
      </c>
      <c r="B411" t="s">
        <v>369</v>
      </c>
      <c r="C411" t="s">
        <v>10</v>
      </c>
      <c r="D411">
        <v>3267703.95</v>
      </c>
      <c r="E411" s="4">
        <f t="shared" si="12"/>
        <v>43634</v>
      </c>
      <c r="F411">
        <f t="shared" si="13"/>
        <v>1395</v>
      </c>
    </row>
    <row r="412" spans="1:6" x14ac:dyDescent="0.55000000000000004">
      <c r="A412">
        <v>1.386814484181495E+19</v>
      </c>
      <c r="B412" t="s">
        <v>368</v>
      </c>
      <c r="C412" t="s">
        <v>10</v>
      </c>
      <c r="D412">
        <v>1851</v>
      </c>
      <c r="E412" s="4">
        <f t="shared" si="12"/>
        <v>44812</v>
      </c>
      <c r="F412">
        <f t="shared" si="13"/>
        <v>217</v>
      </c>
    </row>
    <row r="413" spans="1:6" x14ac:dyDescent="0.55000000000000004">
      <c r="A413">
        <v>3.4752083850087532E+18</v>
      </c>
      <c r="B413" t="s">
        <v>370</v>
      </c>
      <c r="C413" t="s">
        <v>46</v>
      </c>
      <c r="D413">
        <v>263</v>
      </c>
      <c r="E413" s="4">
        <f t="shared" si="12"/>
        <v>44009</v>
      </c>
      <c r="F413">
        <f t="shared" si="13"/>
        <v>1020</v>
      </c>
    </row>
    <row r="414" spans="1:6" x14ac:dyDescent="0.55000000000000004">
      <c r="A414">
        <v>3.7695374929120262E+17</v>
      </c>
      <c r="B414" t="s">
        <v>371</v>
      </c>
      <c r="C414" t="s">
        <v>7</v>
      </c>
      <c r="D414">
        <v>1526</v>
      </c>
      <c r="E414" s="4">
        <f t="shared" si="12"/>
        <v>43935</v>
      </c>
      <c r="F414">
        <f t="shared" si="13"/>
        <v>1094</v>
      </c>
    </row>
    <row r="415" spans="1:6" x14ac:dyDescent="0.55000000000000004">
      <c r="A415">
        <v>1.476654758115046E+19</v>
      </c>
      <c r="B415" t="s">
        <v>284</v>
      </c>
      <c r="C415" t="s">
        <v>7</v>
      </c>
      <c r="D415">
        <v>711</v>
      </c>
      <c r="E415" s="4">
        <f t="shared" si="12"/>
        <v>43903</v>
      </c>
      <c r="F415">
        <f t="shared" si="13"/>
        <v>1126</v>
      </c>
    </row>
    <row r="416" spans="1:6" x14ac:dyDescent="0.55000000000000004">
      <c r="A416">
        <v>1.3715123392936371E+18</v>
      </c>
      <c r="B416" t="s">
        <v>372</v>
      </c>
      <c r="C416" t="s">
        <v>10</v>
      </c>
      <c r="D416">
        <v>1497</v>
      </c>
      <c r="E416" s="4">
        <f t="shared" si="12"/>
        <v>44195</v>
      </c>
      <c r="F416">
        <f t="shared" si="13"/>
        <v>834</v>
      </c>
    </row>
    <row r="417" spans="1:6" x14ac:dyDescent="0.55000000000000004">
      <c r="A417">
        <v>5.3973038049061745E+18</v>
      </c>
      <c r="B417" t="s">
        <v>303</v>
      </c>
      <c r="C417" t="s">
        <v>10</v>
      </c>
      <c r="D417">
        <v>219875</v>
      </c>
      <c r="E417" s="4">
        <f t="shared" si="12"/>
        <v>44039</v>
      </c>
      <c r="F417">
        <f t="shared" si="13"/>
        <v>990</v>
      </c>
    </row>
    <row r="418" spans="1:6" x14ac:dyDescent="0.55000000000000004">
      <c r="A418">
        <v>5.5103799152353352E+18</v>
      </c>
      <c r="B418" t="s">
        <v>214</v>
      </c>
      <c r="C418" t="s">
        <v>13</v>
      </c>
      <c r="D418">
        <v>4358</v>
      </c>
      <c r="E418" s="4">
        <f t="shared" si="12"/>
        <v>44821</v>
      </c>
      <c r="F418">
        <f t="shared" si="13"/>
        <v>208</v>
      </c>
    </row>
    <row r="419" spans="1:6" x14ac:dyDescent="0.55000000000000004">
      <c r="A419">
        <v>6.11687229500642E+18</v>
      </c>
      <c r="B419" t="s">
        <v>133</v>
      </c>
      <c r="C419" t="s">
        <v>50</v>
      </c>
      <c r="D419">
        <v>147</v>
      </c>
      <c r="E419" s="4">
        <f t="shared" si="12"/>
        <v>44944</v>
      </c>
      <c r="F419">
        <f t="shared" si="13"/>
        <v>85</v>
      </c>
    </row>
    <row r="420" spans="1:6" x14ac:dyDescent="0.55000000000000004">
      <c r="A420">
        <v>1.6648248093142911E+19</v>
      </c>
      <c r="B420" t="s">
        <v>352</v>
      </c>
      <c r="C420" t="s">
        <v>10</v>
      </c>
      <c r="D420">
        <v>1030</v>
      </c>
      <c r="E420" s="4">
        <f t="shared" si="12"/>
        <v>44705</v>
      </c>
      <c r="F420">
        <f t="shared" si="13"/>
        <v>324</v>
      </c>
    </row>
    <row r="421" spans="1:6" x14ac:dyDescent="0.55000000000000004">
      <c r="A421">
        <v>1.765545775684148E+19</v>
      </c>
      <c r="B421" t="s">
        <v>373</v>
      </c>
      <c r="C421" t="s">
        <v>10</v>
      </c>
      <c r="D421">
        <v>827</v>
      </c>
      <c r="E421" s="4">
        <f t="shared" si="12"/>
        <v>44023</v>
      </c>
      <c r="F421">
        <f t="shared" si="13"/>
        <v>1006</v>
      </c>
    </row>
    <row r="422" spans="1:6" x14ac:dyDescent="0.55000000000000004">
      <c r="A422">
        <v>9.3721715798642401E+18</v>
      </c>
      <c r="B422" t="s">
        <v>217</v>
      </c>
      <c r="C422" t="s">
        <v>10</v>
      </c>
      <c r="D422">
        <v>305</v>
      </c>
      <c r="E422" s="4">
        <f t="shared" si="12"/>
        <v>44239</v>
      </c>
      <c r="F422">
        <f t="shared" si="13"/>
        <v>790</v>
      </c>
    </row>
    <row r="423" spans="1:6" x14ac:dyDescent="0.55000000000000004">
      <c r="A423">
        <v>1.2388158799828779E+19</v>
      </c>
      <c r="B423" t="s">
        <v>137</v>
      </c>
      <c r="C423" t="s">
        <v>46</v>
      </c>
      <c r="D423">
        <v>269</v>
      </c>
      <c r="E423" s="4">
        <f t="shared" si="12"/>
        <v>44294</v>
      </c>
      <c r="F423">
        <f t="shared" si="13"/>
        <v>735</v>
      </c>
    </row>
    <row r="424" spans="1:6" x14ac:dyDescent="0.55000000000000004">
      <c r="A424">
        <v>5.2949354389902428E+18</v>
      </c>
      <c r="B424" t="s">
        <v>289</v>
      </c>
      <c r="C424" t="s">
        <v>10</v>
      </c>
      <c r="D424">
        <v>99</v>
      </c>
      <c r="E424" s="4">
        <f t="shared" si="12"/>
        <v>44905</v>
      </c>
      <c r="F424">
        <f t="shared" si="13"/>
        <v>124</v>
      </c>
    </row>
    <row r="425" spans="1:6" x14ac:dyDescent="0.55000000000000004">
      <c r="A425">
        <v>1.189350777522923E+18</v>
      </c>
      <c r="B425" t="s">
        <v>93</v>
      </c>
      <c r="C425" t="s">
        <v>7</v>
      </c>
      <c r="D425">
        <v>199</v>
      </c>
      <c r="E425" s="4">
        <f t="shared" si="12"/>
        <v>44006</v>
      </c>
      <c r="F425">
        <f t="shared" si="13"/>
        <v>1023</v>
      </c>
    </row>
    <row r="426" spans="1:6" x14ac:dyDescent="0.55000000000000004">
      <c r="A426">
        <v>6.7894057374757151E+18</v>
      </c>
      <c r="B426" t="s">
        <v>374</v>
      </c>
      <c r="C426" t="s">
        <v>13</v>
      </c>
      <c r="D426">
        <v>760</v>
      </c>
      <c r="E426" s="4">
        <f t="shared" si="12"/>
        <v>44610</v>
      </c>
      <c r="F426">
        <f t="shared" si="13"/>
        <v>419</v>
      </c>
    </row>
    <row r="427" spans="1:6" x14ac:dyDescent="0.55000000000000004">
      <c r="A427">
        <v>5.8340963873294909E+18</v>
      </c>
      <c r="B427" t="s">
        <v>113</v>
      </c>
      <c r="C427" t="s">
        <v>13</v>
      </c>
      <c r="D427">
        <v>450</v>
      </c>
      <c r="E427" s="4">
        <f t="shared" si="12"/>
        <v>43870</v>
      </c>
      <c r="F427">
        <f t="shared" si="13"/>
        <v>1159</v>
      </c>
    </row>
    <row r="428" spans="1:6" x14ac:dyDescent="0.55000000000000004">
      <c r="A428">
        <v>1.24032174026972E+19</v>
      </c>
      <c r="B428" t="s">
        <v>375</v>
      </c>
      <c r="C428" t="s">
        <v>13</v>
      </c>
      <c r="D428">
        <v>1696</v>
      </c>
      <c r="E428" s="4">
        <f t="shared" si="12"/>
        <v>44895</v>
      </c>
      <c r="F428">
        <f t="shared" si="13"/>
        <v>134</v>
      </c>
    </row>
    <row r="429" spans="1:6" x14ac:dyDescent="0.55000000000000004">
      <c r="A429">
        <v>5.6429876351709235E+18</v>
      </c>
      <c r="B429" t="s">
        <v>360</v>
      </c>
      <c r="C429" t="s">
        <v>46</v>
      </c>
      <c r="D429">
        <v>425</v>
      </c>
      <c r="E429" s="4">
        <f t="shared" si="12"/>
        <v>44995</v>
      </c>
      <c r="F429">
        <f t="shared" si="13"/>
        <v>34</v>
      </c>
    </row>
    <row r="430" spans="1:6" x14ac:dyDescent="0.55000000000000004">
      <c r="A430">
        <v>1.1294433590603149E+19</v>
      </c>
      <c r="B430" t="s">
        <v>376</v>
      </c>
      <c r="C430" t="s">
        <v>13</v>
      </c>
      <c r="D430">
        <v>1172</v>
      </c>
      <c r="E430" s="4">
        <f t="shared" si="12"/>
        <v>45018</v>
      </c>
      <c r="F430">
        <f t="shared" si="13"/>
        <v>11</v>
      </c>
    </row>
    <row r="431" spans="1:6" x14ac:dyDescent="0.55000000000000004">
      <c r="A431">
        <v>1.0208362165942811E+19</v>
      </c>
      <c r="B431" t="s">
        <v>377</v>
      </c>
      <c r="C431" t="s">
        <v>10</v>
      </c>
      <c r="D431">
        <v>403</v>
      </c>
      <c r="E431" s="4">
        <f t="shared" si="12"/>
        <v>44267</v>
      </c>
      <c r="F431">
        <f t="shared" si="13"/>
        <v>762</v>
      </c>
    </row>
    <row r="432" spans="1:6" x14ac:dyDescent="0.55000000000000004">
      <c r="A432">
        <v>1.4069268783842439E+19</v>
      </c>
      <c r="B432" t="s">
        <v>378</v>
      </c>
      <c r="C432" t="s">
        <v>50</v>
      </c>
      <c r="D432">
        <v>106</v>
      </c>
      <c r="E432" s="4">
        <f t="shared" si="12"/>
        <v>44472</v>
      </c>
      <c r="F432">
        <f t="shared" si="13"/>
        <v>557</v>
      </c>
    </row>
    <row r="433" spans="1:6" x14ac:dyDescent="0.55000000000000004">
      <c r="A433">
        <v>3.585305683131863E+18</v>
      </c>
      <c r="B433" t="s">
        <v>379</v>
      </c>
      <c r="C433" t="s">
        <v>7</v>
      </c>
      <c r="D433">
        <v>1630</v>
      </c>
      <c r="E433" s="4">
        <f t="shared" si="12"/>
        <v>45024</v>
      </c>
      <c r="F433">
        <f t="shared" si="13"/>
        <v>5</v>
      </c>
    </row>
    <row r="434" spans="1:6" x14ac:dyDescent="0.55000000000000004">
      <c r="A434">
        <v>1.269263325481158E+19</v>
      </c>
      <c r="B434" t="s">
        <v>380</v>
      </c>
      <c r="C434" t="s">
        <v>46</v>
      </c>
      <c r="D434">
        <v>276</v>
      </c>
      <c r="E434" s="4">
        <f t="shared" si="12"/>
        <v>44372</v>
      </c>
      <c r="F434">
        <f t="shared" si="13"/>
        <v>657</v>
      </c>
    </row>
    <row r="435" spans="1:6" x14ac:dyDescent="0.55000000000000004">
      <c r="A435">
        <v>6.0965140272997366E+18</v>
      </c>
      <c r="B435" t="s">
        <v>90</v>
      </c>
      <c r="C435" t="s">
        <v>50</v>
      </c>
      <c r="D435">
        <v>89</v>
      </c>
      <c r="E435" s="4">
        <f t="shared" si="12"/>
        <v>44899</v>
      </c>
      <c r="F435">
        <f t="shared" si="13"/>
        <v>130</v>
      </c>
    </row>
    <row r="436" spans="1:6" x14ac:dyDescent="0.55000000000000004">
      <c r="A436">
        <v>1.256053743708636E+19</v>
      </c>
      <c r="B436" t="s">
        <v>381</v>
      </c>
      <c r="C436" t="s">
        <v>5</v>
      </c>
      <c r="D436">
        <v>6567</v>
      </c>
      <c r="E436" s="4">
        <f t="shared" si="12"/>
        <v>44657</v>
      </c>
      <c r="F436">
        <f t="shared" si="13"/>
        <v>372</v>
      </c>
    </row>
    <row r="437" spans="1:6" x14ac:dyDescent="0.55000000000000004">
      <c r="A437">
        <v>9.9043953447114916E+18</v>
      </c>
      <c r="B437" t="s">
        <v>382</v>
      </c>
      <c r="C437" t="s">
        <v>10</v>
      </c>
      <c r="D437">
        <v>1227</v>
      </c>
      <c r="E437" s="4">
        <f t="shared" si="12"/>
        <v>44749</v>
      </c>
      <c r="F437">
        <f t="shared" si="13"/>
        <v>280</v>
      </c>
    </row>
    <row r="438" spans="1:6" x14ac:dyDescent="0.55000000000000004">
      <c r="A438">
        <v>4.7695004862084803E+18</v>
      </c>
      <c r="B438" t="s">
        <v>383</v>
      </c>
      <c r="C438" t="s">
        <v>10</v>
      </c>
      <c r="D438">
        <v>607</v>
      </c>
      <c r="E438" s="4">
        <f t="shared" si="12"/>
        <v>44087</v>
      </c>
      <c r="F438">
        <f t="shared" si="13"/>
        <v>942</v>
      </c>
    </row>
    <row r="439" spans="1:6" x14ac:dyDescent="0.55000000000000004">
      <c r="A439">
        <v>6.3632607311316357E+18</v>
      </c>
      <c r="B439" t="s">
        <v>78</v>
      </c>
      <c r="C439" t="s">
        <v>13</v>
      </c>
      <c r="D439">
        <v>4488</v>
      </c>
      <c r="E439" s="4">
        <f t="shared" si="12"/>
        <v>44363</v>
      </c>
      <c r="F439">
        <f t="shared" si="13"/>
        <v>666</v>
      </c>
    </row>
    <row r="440" spans="1:6" x14ac:dyDescent="0.55000000000000004">
      <c r="A440">
        <v>5.2409836785042022E+17</v>
      </c>
      <c r="B440" t="s">
        <v>30</v>
      </c>
      <c r="C440" t="s">
        <v>13</v>
      </c>
      <c r="D440">
        <v>13965</v>
      </c>
      <c r="E440" s="4">
        <f t="shared" si="12"/>
        <v>44954</v>
      </c>
      <c r="F440">
        <f t="shared" si="13"/>
        <v>75</v>
      </c>
    </row>
    <row r="441" spans="1:6" x14ac:dyDescent="0.55000000000000004">
      <c r="A441">
        <v>5.1068414271306322E+18</v>
      </c>
      <c r="B441" t="s">
        <v>384</v>
      </c>
      <c r="C441" t="s">
        <v>7</v>
      </c>
      <c r="D441">
        <v>519</v>
      </c>
      <c r="E441" s="4">
        <f t="shared" si="12"/>
        <v>44286</v>
      </c>
      <c r="F441">
        <f t="shared" si="13"/>
        <v>743</v>
      </c>
    </row>
    <row r="442" spans="1:6" x14ac:dyDescent="0.55000000000000004">
      <c r="A442">
        <v>4.9000438688418744E+18</v>
      </c>
      <c r="B442" t="s">
        <v>385</v>
      </c>
      <c r="C442" t="s">
        <v>10</v>
      </c>
      <c r="D442">
        <v>656</v>
      </c>
      <c r="E442" s="4">
        <f t="shared" si="12"/>
        <v>44765</v>
      </c>
      <c r="F442">
        <f t="shared" si="13"/>
        <v>264</v>
      </c>
    </row>
    <row r="443" spans="1:6" x14ac:dyDescent="0.55000000000000004">
      <c r="A443">
        <v>2.000810273900578E+18</v>
      </c>
      <c r="B443" t="s">
        <v>386</v>
      </c>
      <c r="C443" t="s">
        <v>13</v>
      </c>
      <c r="D443">
        <v>1060</v>
      </c>
      <c r="E443" s="4">
        <f t="shared" si="12"/>
        <v>44329</v>
      </c>
      <c r="F443">
        <f t="shared" si="13"/>
        <v>700</v>
      </c>
    </row>
    <row r="444" spans="1:6" x14ac:dyDescent="0.55000000000000004">
      <c r="A444">
        <v>4.8320004813216389E+18</v>
      </c>
      <c r="B444" t="s">
        <v>387</v>
      </c>
      <c r="C444" t="s">
        <v>5</v>
      </c>
      <c r="D444">
        <v>1929</v>
      </c>
      <c r="E444" s="4">
        <f t="shared" si="12"/>
        <v>44173</v>
      </c>
      <c r="F444">
        <f t="shared" si="13"/>
        <v>856</v>
      </c>
    </row>
    <row r="445" spans="1:6" x14ac:dyDescent="0.55000000000000004">
      <c r="A445">
        <v>5.3973038049061745E+18</v>
      </c>
      <c r="B445" t="s">
        <v>388</v>
      </c>
      <c r="C445" t="s">
        <v>7</v>
      </c>
      <c r="D445">
        <v>34104</v>
      </c>
      <c r="E445" s="4">
        <f t="shared" si="12"/>
        <v>43884</v>
      </c>
      <c r="F445">
        <f t="shared" si="13"/>
        <v>1145</v>
      </c>
    </row>
    <row r="446" spans="1:6" x14ac:dyDescent="0.55000000000000004">
      <c r="A446">
        <v>9.9997063924467917E+17</v>
      </c>
      <c r="B446" t="s">
        <v>389</v>
      </c>
      <c r="C446" t="s">
        <v>13</v>
      </c>
      <c r="D446">
        <v>846</v>
      </c>
      <c r="E446" s="4">
        <f t="shared" si="12"/>
        <v>44054</v>
      </c>
      <c r="F446">
        <f t="shared" si="13"/>
        <v>975</v>
      </c>
    </row>
    <row r="447" spans="1:6" x14ac:dyDescent="0.55000000000000004">
      <c r="A447">
        <v>2.3383858770138522E+18</v>
      </c>
      <c r="B447" t="s">
        <v>288</v>
      </c>
      <c r="C447" t="s">
        <v>10</v>
      </c>
      <c r="D447">
        <v>943</v>
      </c>
      <c r="E447" s="4">
        <f t="shared" si="12"/>
        <v>43951</v>
      </c>
      <c r="F447">
        <f t="shared" si="13"/>
        <v>1078</v>
      </c>
    </row>
    <row r="448" spans="1:6" x14ac:dyDescent="0.55000000000000004">
      <c r="A448">
        <v>4.0056088428659872E+17</v>
      </c>
      <c r="B448" t="s">
        <v>390</v>
      </c>
      <c r="C448" t="s">
        <v>13</v>
      </c>
      <c r="D448">
        <v>196</v>
      </c>
      <c r="E448" s="4">
        <f t="shared" si="12"/>
        <v>44885</v>
      </c>
      <c r="F448">
        <f t="shared" si="13"/>
        <v>144</v>
      </c>
    </row>
    <row r="449" spans="1:6" x14ac:dyDescent="0.55000000000000004">
      <c r="A449">
        <v>4.8461358195959821E+17</v>
      </c>
      <c r="B449" t="s">
        <v>289</v>
      </c>
      <c r="C449" t="s">
        <v>13</v>
      </c>
      <c r="D449">
        <v>1280</v>
      </c>
      <c r="E449" s="4">
        <f t="shared" si="12"/>
        <v>44905</v>
      </c>
      <c r="F449">
        <f t="shared" si="13"/>
        <v>124</v>
      </c>
    </row>
    <row r="450" spans="1:6" x14ac:dyDescent="0.55000000000000004">
      <c r="A450">
        <v>1.3615365342194739E+19</v>
      </c>
      <c r="B450" t="s">
        <v>391</v>
      </c>
      <c r="C450" t="s">
        <v>13</v>
      </c>
      <c r="D450">
        <v>13233</v>
      </c>
      <c r="E450" s="4">
        <f t="shared" si="12"/>
        <v>43704</v>
      </c>
      <c r="F450">
        <f t="shared" si="13"/>
        <v>1325</v>
      </c>
    </row>
    <row r="451" spans="1:6" x14ac:dyDescent="0.55000000000000004">
      <c r="A451">
        <v>5.6384367051789804E+18</v>
      </c>
      <c r="B451" t="s">
        <v>392</v>
      </c>
      <c r="C451" t="s">
        <v>7</v>
      </c>
      <c r="D451">
        <v>3991</v>
      </c>
      <c r="E451" s="4">
        <f t="shared" ref="E451:E514" si="14">DATEVALUE(B451)</f>
        <v>45013</v>
      </c>
      <c r="F451">
        <f t="shared" ref="F451:F514" si="15">$H$1-E451</f>
        <v>16</v>
      </c>
    </row>
    <row r="452" spans="1:6" x14ac:dyDescent="0.55000000000000004">
      <c r="A452">
        <v>2.6558718654448399E+18</v>
      </c>
      <c r="B452" t="s">
        <v>166</v>
      </c>
      <c r="C452" t="s">
        <v>10</v>
      </c>
      <c r="D452">
        <v>950</v>
      </c>
      <c r="E452" s="4">
        <f t="shared" si="14"/>
        <v>43895</v>
      </c>
      <c r="F452">
        <f t="shared" si="15"/>
        <v>1134</v>
      </c>
    </row>
    <row r="453" spans="1:6" x14ac:dyDescent="0.55000000000000004">
      <c r="A453">
        <v>1.6642459519053869E+19</v>
      </c>
      <c r="B453" t="s">
        <v>55</v>
      </c>
      <c r="C453" t="s">
        <v>50</v>
      </c>
      <c r="D453">
        <v>114</v>
      </c>
      <c r="E453" s="4">
        <f t="shared" si="14"/>
        <v>45004</v>
      </c>
      <c r="F453">
        <f t="shared" si="15"/>
        <v>25</v>
      </c>
    </row>
    <row r="454" spans="1:6" x14ac:dyDescent="0.55000000000000004">
      <c r="A454">
        <v>4.4418718641919068E+18</v>
      </c>
      <c r="B454" t="s">
        <v>393</v>
      </c>
      <c r="C454" t="s">
        <v>7</v>
      </c>
      <c r="D454">
        <v>106</v>
      </c>
      <c r="E454" s="4">
        <f t="shared" si="14"/>
        <v>43976</v>
      </c>
      <c r="F454">
        <f t="shared" si="15"/>
        <v>1053</v>
      </c>
    </row>
    <row r="455" spans="1:6" x14ac:dyDescent="0.55000000000000004">
      <c r="A455">
        <v>1.6429661775723479E+19</v>
      </c>
      <c r="B455" t="s">
        <v>394</v>
      </c>
      <c r="C455" t="s">
        <v>5</v>
      </c>
      <c r="D455">
        <v>940</v>
      </c>
      <c r="E455" s="4">
        <f t="shared" si="14"/>
        <v>44819</v>
      </c>
      <c r="F455">
        <f t="shared" si="15"/>
        <v>210</v>
      </c>
    </row>
    <row r="456" spans="1:6" x14ac:dyDescent="0.55000000000000004">
      <c r="A456">
        <v>8.9683304329081651E+18</v>
      </c>
      <c r="B456" t="s">
        <v>395</v>
      </c>
      <c r="C456" t="s">
        <v>13</v>
      </c>
      <c r="D456">
        <v>1102</v>
      </c>
      <c r="E456" s="4">
        <f t="shared" si="14"/>
        <v>44942</v>
      </c>
      <c r="F456">
        <f t="shared" si="15"/>
        <v>87</v>
      </c>
    </row>
    <row r="457" spans="1:6" x14ac:dyDescent="0.55000000000000004">
      <c r="A457">
        <v>2.564259622408022E+18</v>
      </c>
      <c r="B457" t="s">
        <v>396</v>
      </c>
      <c r="C457" t="s">
        <v>13</v>
      </c>
      <c r="D457">
        <v>4320</v>
      </c>
      <c r="E457" s="4">
        <f t="shared" si="14"/>
        <v>44179</v>
      </c>
      <c r="F457">
        <f t="shared" si="15"/>
        <v>850</v>
      </c>
    </row>
    <row r="458" spans="1:6" x14ac:dyDescent="0.55000000000000004">
      <c r="A458">
        <v>1.3315643414881509E+19</v>
      </c>
      <c r="B458" t="s">
        <v>397</v>
      </c>
      <c r="C458" t="s">
        <v>7</v>
      </c>
      <c r="D458">
        <v>18</v>
      </c>
      <c r="E458" s="4">
        <f t="shared" si="14"/>
        <v>43854</v>
      </c>
      <c r="F458">
        <f t="shared" si="15"/>
        <v>1175</v>
      </c>
    </row>
    <row r="459" spans="1:6" x14ac:dyDescent="0.55000000000000004">
      <c r="A459">
        <v>5.4003993865011261E+18</v>
      </c>
      <c r="B459" t="s">
        <v>365</v>
      </c>
      <c r="C459" t="s">
        <v>10</v>
      </c>
      <c r="D459">
        <v>614</v>
      </c>
      <c r="E459" s="4">
        <f t="shared" si="14"/>
        <v>44918</v>
      </c>
      <c r="F459">
        <f t="shared" si="15"/>
        <v>111</v>
      </c>
    </row>
    <row r="460" spans="1:6" x14ac:dyDescent="0.55000000000000004">
      <c r="A460">
        <v>7.2000367338064968E+18</v>
      </c>
      <c r="B460" t="s">
        <v>398</v>
      </c>
      <c r="C460" t="s">
        <v>13</v>
      </c>
      <c r="D460">
        <v>495</v>
      </c>
      <c r="E460" s="4">
        <f t="shared" si="14"/>
        <v>43904</v>
      </c>
      <c r="F460">
        <f t="shared" si="15"/>
        <v>1125</v>
      </c>
    </row>
    <row r="461" spans="1:6" x14ac:dyDescent="0.55000000000000004">
      <c r="A461">
        <v>1.351714894414312E+19</v>
      </c>
      <c r="B461" t="s">
        <v>116</v>
      </c>
      <c r="C461" t="s">
        <v>13</v>
      </c>
      <c r="D461">
        <v>1926</v>
      </c>
      <c r="E461" s="4">
        <f t="shared" si="14"/>
        <v>44877</v>
      </c>
      <c r="F461">
        <f t="shared" si="15"/>
        <v>152</v>
      </c>
    </row>
    <row r="462" spans="1:6" x14ac:dyDescent="0.55000000000000004">
      <c r="A462">
        <v>1.4316968399317361E+19</v>
      </c>
      <c r="B462" t="s">
        <v>275</v>
      </c>
      <c r="C462" t="s">
        <v>10</v>
      </c>
      <c r="D462">
        <v>2319</v>
      </c>
      <c r="E462" s="4">
        <f t="shared" si="14"/>
        <v>44922</v>
      </c>
      <c r="F462">
        <f t="shared" si="15"/>
        <v>107</v>
      </c>
    </row>
    <row r="463" spans="1:6" x14ac:dyDescent="0.55000000000000004">
      <c r="A463">
        <v>8.4465724405097103E+18</v>
      </c>
      <c r="B463" t="s">
        <v>399</v>
      </c>
      <c r="C463" t="s">
        <v>13</v>
      </c>
      <c r="D463">
        <v>5140</v>
      </c>
      <c r="E463" s="4">
        <f t="shared" si="14"/>
        <v>44733</v>
      </c>
      <c r="F463">
        <f t="shared" si="15"/>
        <v>296</v>
      </c>
    </row>
    <row r="464" spans="1:6" x14ac:dyDescent="0.55000000000000004">
      <c r="A464">
        <v>1.3482468725153029E+18</v>
      </c>
      <c r="B464" t="s">
        <v>400</v>
      </c>
      <c r="C464" t="s">
        <v>10</v>
      </c>
      <c r="D464">
        <v>4892</v>
      </c>
      <c r="E464" s="4">
        <f t="shared" si="14"/>
        <v>44675</v>
      </c>
      <c r="F464">
        <f t="shared" si="15"/>
        <v>354</v>
      </c>
    </row>
    <row r="465" spans="1:6" x14ac:dyDescent="0.55000000000000004">
      <c r="A465">
        <v>1.3143191489421359E+19</v>
      </c>
      <c r="B465" t="s">
        <v>382</v>
      </c>
      <c r="C465" t="s">
        <v>10</v>
      </c>
      <c r="D465">
        <v>670</v>
      </c>
      <c r="E465" s="4">
        <f t="shared" si="14"/>
        <v>44749</v>
      </c>
      <c r="F465">
        <f t="shared" si="15"/>
        <v>280</v>
      </c>
    </row>
    <row r="466" spans="1:6" x14ac:dyDescent="0.55000000000000004">
      <c r="A466">
        <v>7.5299440716685742E+18</v>
      </c>
      <c r="B466" t="s">
        <v>15</v>
      </c>
      <c r="C466" t="s">
        <v>10</v>
      </c>
      <c r="D466">
        <v>2450</v>
      </c>
      <c r="E466" s="4">
        <f t="shared" si="14"/>
        <v>44212</v>
      </c>
      <c r="F466">
        <f t="shared" si="15"/>
        <v>817</v>
      </c>
    </row>
    <row r="467" spans="1:6" x14ac:dyDescent="0.55000000000000004">
      <c r="A467">
        <v>1.2480650001792049E+19</v>
      </c>
      <c r="B467" t="s">
        <v>401</v>
      </c>
      <c r="C467" t="s">
        <v>26</v>
      </c>
      <c r="D467">
        <v>226</v>
      </c>
      <c r="E467" s="4">
        <f t="shared" si="14"/>
        <v>44691</v>
      </c>
      <c r="F467">
        <f t="shared" si="15"/>
        <v>338</v>
      </c>
    </row>
    <row r="468" spans="1:6" x14ac:dyDescent="0.55000000000000004">
      <c r="A468">
        <v>1.5765648282367701E+19</v>
      </c>
      <c r="B468" t="s">
        <v>402</v>
      </c>
      <c r="C468" t="s">
        <v>13</v>
      </c>
      <c r="D468">
        <v>1494</v>
      </c>
      <c r="E468" s="4">
        <f t="shared" si="14"/>
        <v>43928</v>
      </c>
      <c r="F468">
        <f t="shared" si="15"/>
        <v>1101</v>
      </c>
    </row>
    <row r="469" spans="1:6" x14ac:dyDescent="0.55000000000000004">
      <c r="A469">
        <v>1.547472592135144E+19</v>
      </c>
      <c r="B469" t="s">
        <v>403</v>
      </c>
      <c r="C469" t="s">
        <v>10</v>
      </c>
      <c r="D469">
        <v>189</v>
      </c>
      <c r="E469" s="4">
        <f t="shared" si="14"/>
        <v>44975</v>
      </c>
      <c r="F469">
        <f t="shared" si="15"/>
        <v>54</v>
      </c>
    </row>
    <row r="470" spans="1:6" x14ac:dyDescent="0.55000000000000004">
      <c r="A470">
        <v>1.1207670893265261E+19</v>
      </c>
      <c r="B470" t="s">
        <v>404</v>
      </c>
      <c r="C470" t="s">
        <v>13</v>
      </c>
      <c r="D470">
        <v>3070</v>
      </c>
      <c r="E470" s="4">
        <f t="shared" si="14"/>
        <v>44939</v>
      </c>
      <c r="F470">
        <f t="shared" si="15"/>
        <v>90</v>
      </c>
    </row>
    <row r="471" spans="1:6" x14ac:dyDescent="0.55000000000000004">
      <c r="A471">
        <v>1.0981158295790479E+19</v>
      </c>
      <c r="B471" t="s">
        <v>87</v>
      </c>
      <c r="C471" t="s">
        <v>26</v>
      </c>
      <c r="D471">
        <v>152</v>
      </c>
      <c r="E471" s="4">
        <f t="shared" si="14"/>
        <v>44727</v>
      </c>
      <c r="F471">
        <f t="shared" si="15"/>
        <v>302</v>
      </c>
    </row>
    <row r="472" spans="1:6" x14ac:dyDescent="0.55000000000000004">
      <c r="A472">
        <v>1.0338236646254201E+19</v>
      </c>
      <c r="B472" t="s">
        <v>405</v>
      </c>
      <c r="C472" t="s">
        <v>13</v>
      </c>
      <c r="D472">
        <v>568</v>
      </c>
      <c r="E472" s="4">
        <f t="shared" si="14"/>
        <v>43988</v>
      </c>
      <c r="F472">
        <f t="shared" si="15"/>
        <v>1041</v>
      </c>
    </row>
    <row r="473" spans="1:6" x14ac:dyDescent="0.55000000000000004">
      <c r="A473">
        <v>1.2754514533698959E+19</v>
      </c>
      <c r="B473" t="s">
        <v>406</v>
      </c>
      <c r="C473" t="s">
        <v>46</v>
      </c>
      <c r="D473">
        <v>397</v>
      </c>
      <c r="E473" s="4">
        <f t="shared" si="14"/>
        <v>44415</v>
      </c>
      <c r="F473">
        <f t="shared" si="15"/>
        <v>614</v>
      </c>
    </row>
    <row r="474" spans="1:6" x14ac:dyDescent="0.55000000000000004">
      <c r="A474">
        <v>1.0442949896467859E+19</v>
      </c>
      <c r="B474" t="s">
        <v>282</v>
      </c>
      <c r="C474" t="s">
        <v>50</v>
      </c>
      <c r="D474">
        <v>1305</v>
      </c>
      <c r="E474" s="4">
        <f t="shared" si="14"/>
        <v>44557</v>
      </c>
      <c r="F474">
        <f t="shared" si="15"/>
        <v>472</v>
      </c>
    </row>
    <row r="475" spans="1:6" x14ac:dyDescent="0.55000000000000004">
      <c r="A475">
        <v>1.1132565473107669E+19</v>
      </c>
      <c r="B475" t="s">
        <v>404</v>
      </c>
      <c r="C475" t="s">
        <v>10</v>
      </c>
      <c r="D475">
        <v>11277</v>
      </c>
      <c r="E475" s="4">
        <f t="shared" si="14"/>
        <v>44939</v>
      </c>
      <c r="F475">
        <f t="shared" si="15"/>
        <v>90</v>
      </c>
    </row>
    <row r="476" spans="1:6" x14ac:dyDescent="0.55000000000000004">
      <c r="A476">
        <v>1.179509387340972E+17</v>
      </c>
      <c r="B476" t="s">
        <v>407</v>
      </c>
      <c r="C476" t="s">
        <v>13</v>
      </c>
      <c r="D476">
        <v>1550</v>
      </c>
      <c r="E476" s="4">
        <f t="shared" si="14"/>
        <v>44692</v>
      </c>
      <c r="F476">
        <f t="shared" si="15"/>
        <v>337</v>
      </c>
    </row>
    <row r="477" spans="1:6" x14ac:dyDescent="0.55000000000000004">
      <c r="A477">
        <v>1.3371768346152149E+19</v>
      </c>
      <c r="B477" t="s">
        <v>408</v>
      </c>
      <c r="C477" t="s">
        <v>10</v>
      </c>
      <c r="D477">
        <v>4341</v>
      </c>
      <c r="E477" s="4">
        <f t="shared" si="14"/>
        <v>44522</v>
      </c>
      <c r="F477">
        <f t="shared" si="15"/>
        <v>507</v>
      </c>
    </row>
    <row r="478" spans="1:6" x14ac:dyDescent="0.55000000000000004">
      <c r="A478">
        <v>1.178645923819018E+19</v>
      </c>
      <c r="B478" t="s">
        <v>409</v>
      </c>
      <c r="C478" t="s">
        <v>13</v>
      </c>
      <c r="D478">
        <v>1405</v>
      </c>
      <c r="E478" s="4">
        <f t="shared" si="14"/>
        <v>44489</v>
      </c>
      <c r="F478">
        <f t="shared" si="15"/>
        <v>540</v>
      </c>
    </row>
    <row r="479" spans="1:6" x14ac:dyDescent="0.55000000000000004">
      <c r="A479">
        <v>4.971188874099796E+18</v>
      </c>
      <c r="B479" t="s">
        <v>410</v>
      </c>
      <c r="C479" t="s">
        <v>5</v>
      </c>
      <c r="D479">
        <v>1833</v>
      </c>
      <c r="E479" s="4">
        <f t="shared" si="14"/>
        <v>44501</v>
      </c>
      <c r="F479">
        <f t="shared" si="15"/>
        <v>528</v>
      </c>
    </row>
    <row r="480" spans="1:6" x14ac:dyDescent="0.55000000000000004">
      <c r="A480">
        <v>8.9323290244367526E+17</v>
      </c>
      <c r="B480" t="s">
        <v>411</v>
      </c>
      <c r="C480" t="s">
        <v>10</v>
      </c>
      <c r="D480">
        <v>163</v>
      </c>
      <c r="E480" s="4">
        <f t="shared" si="14"/>
        <v>44625</v>
      </c>
      <c r="F480">
        <f t="shared" si="15"/>
        <v>404</v>
      </c>
    </row>
    <row r="481" spans="1:6" x14ac:dyDescent="0.55000000000000004">
      <c r="A481">
        <v>1.0914199203292729E+19</v>
      </c>
      <c r="B481" t="s">
        <v>412</v>
      </c>
      <c r="C481" t="s">
        <v>13</v>
      </c>
      <c r="D481">
        <v>3180</v>
      </c>
      <c r="E481" s="4">
        <f t="shared" si="14"/>
        <v>43916</v>
      </c>
      <c r="F481">
        <f t="shared" si="15"/>
        <v>1113</v>
      </c>
    </row>
    <row r="482" spans="1:6" x14ac:dyDescent="0.55000000000000004">
      <c r="A482">
        <v>1.4311714084248011E+19</v>
      </c>
      <c r="B482" t="s">
        <v>143</v>
      </c>
      <c r="C482" t="s">
        <v>7</v>
      </c>
      <c r="D482">
        <v>100</v>
      </c>
      <c r="E482" s="4">
        <f t="shared" si="14"/>
        <v>44552</v>
      </c>
      <c r="F482">
        <f t="shared" si="15"/>
        <v>477</v>
      </c>
    </row>
    <row r="483" spans="1:6" x14ac:dyDescent="0.55000000000000004">
      <c r="A483">
        <v>5.1151533040191508E+18</v>
      </c>
      <c r="B483" t="s">
        <v>73</v>
      </c>
      <c r="C483" t="s">
        <v>10</v>
      </c>
      <c r="D483">
        <v>1042</v>
      </c>
      <c r="E483" s="4">
        <f t="shared" si="14"/>
        <v>44188</v>
      </c>
      <c r="F483">
        <f t="shared" si="15"/>
        <v>841</v>
      </c>
    </row>
    <row r="484" spans="1:6" x14ac:dyDescent="0.55000000000000004">
      <c r="A484">
        <v>6.4691629409427087E+18</v>
      </c>
      <c r="B484" t="s">
        <v>413</v>
      </c>
      <c r="C484" t="s">
        <v>13</v>
      </c>
      <c r="D484">
        <v>762</v>
      </c>
      <c r="E484" s="4">
        <f t="shared" si="14"/>
        <v>44433</v>
      </c>
      <c r="F484">
        <f t="shared" si="15"/>
        <v>596</v>
      </c>
    </row>
    <row r="485" spans="1:6" x14ac:dyDescent="0.55000000000000004">
      <c r="A485">
        <v>1.542473145981388E+19</v>
      </c>
      <c r="B485" t="s">
        <v>414</v>
      </c>
      <c r="C485" t="s">
        <v>10</v>
      </c>
      <c r="D485">
        <v>4450</v>
      </c>
      <c r="E485" s="4">
        <f t="shared" si="14"/>
        <v>44554</v>
      </c>
      <c r="F485">
        <f t="shared" si="15"/>
        <v>475</v>
      </c>
    </row>
    <row r="486" spans="1:6" x14ac:dyDescent="0.55000000000000004">
      <c r="A486">
        <v>1.5126885222376651E+19</v>
      </c>
      <c r="B486" t="s">
        <v>415</v>
      </c>
      <c r="C486" t="s">
        <v>10</v>
      </c>
      <c r="D486">
        <v>162</v>
      </c>
      <c r="E486" s="4">
        <f t="shared" si="14"/>
        <v>44218</v>
      </c>
      <c r="F486">
        <f t="shared" si="15"/>
        <v>811</v>
      </c>
    </row>
    <row r="487" spans="1:6" x14ac:dyDescent="0.55000000000000004">
      <c r="A487">
        <v>7.3044169029944924E+18</v>
      </c>
      <c r="B487" t="s">
        <v>416</v>
      </c>
      <c r="C487" t="s">
        <v>26</v>
      </c>
      <c r="D487">
        <v>178</v>
      </c>
      <c r="E487" s="4">
        <f t="shared" si="14"/>
        <v>43772</v>
      </c>
      <c r="F487">
        <f t="shared" si="15"/>
        <v>1257</v>
      </c>
    </row>
    <row r="488" spans="1:6" x14ac:dyDescent="0.55000000000000004">
      <c r="A488">
        <v>1.427428106630083E+19</v>
      </c>
      <c r="B488" t="s">
        <v>417</v>
      </c>
      <c r="C488" t="s">
        <v>10</v>
      </c>
      <c r="D488">
        <v>3390</v>
      </c>
      <c r="E488" s="4">
        <f t="shared" si="14"/>
        <v>44278</v>
      </c>
      <c r="F488">
        <f t="shared" si="15"/>
        <v>751</v>
      </c>
    </row>
    <row r="489" spans="1:6" x14ac:dyDescent="0.55000000000000004">
      <c r="A489">
        <v>1.4167725370541911E+18</v>
      </c>
      <c r="B489" t="s">
        <v>373</v>
      </c>
      <c r="C489" t="s">
        <v>10</v>
      </c>
      <c r="D489">
        <v>283</v>
      </c>
      <c r="E489" s="4">
        <f t="shared" si="14"/>
        <v>44023</v>
      </c>
      <c r="F489">
        <f t="shared" si="15"/>
        <v>1006</v>
      </c>
    </row>
    <row r="490" spans="1:6" x14ac:dyDescent="0.55000000000000004">
      <c r="A490">
        <v>1.064432394007756E+19</v>
      </c>
      <c r="B490" t="s">
        <v>418</v>
      </c>
      <c r="C490" t="s">
        <v>13</v>
      </c>
      <c r="D490">
        <v>10550</v>
      </c>
      <c r="E490" s="4">
        <f t="shared" si="14"/>
        <v>44301</v>
      </c>
      <c r="F490">
        <f t="shared" si="15"/>
        <v>728</v>
      </c>
    </row>
    <row r="491" spans="1:6" x14ac:dyDescent="0.55000000000000004">
      <c r="A491">
        <v>1.411496331180091E+19</v>
      </c>
      <c r="B491" t="s">
        <v>419</v>
      </c>
      <c r="C491" t="s">
        <v>7</v>
      </c>
      <c r="D491">
        <v>1390</v>
      </c>
      <c r="E491" s="4">
        <f t="shared" si="14"/>
        <v>44706</v>
      </c>
      <c r="F491">
        <f t="shared" si="15"/>
        <v>323</v>
      </c>
    </row>
    <row r="492" spans="1:6" x14ac:dyDescent="0.55000000000000004">
      <c r="A492">
        <v>5.3973038049061745E+18</v>
      </c>
      <c r="B492" t="s">
        <v>420</v>
      </c>
      <c r="C492" t="s">
        <v>7</v>
      </c>
      <c r="D492">
        <v>340933.2</v>
      </c>
      <c r="E492" s="4">
        <f t="shared" si="14"/>
        <v>43383</v>
      </c>
      <c r="F492">
        <f t="shared" si="15"/>
        <v>1646</v>
      </c>
    </row>
    <row r="493" spans="1:6" x14ac:dyDescent="0.55000000000000004">
      <c r="A493">
        <v>1.2590142741476041E+19</v>
      </c>
      <c r="B493" t="s">
        <v>421</v>
      </c>
      <c r="C493" t="s">
        <v>10</v>
      </c>
      <c r="D493">
        <v>617</v>
      </c>
      <c r="E493" s="4">
        <f t="shared" si="14"/>
        <v>44512</v>
      </c>
      <c r="F493">
        <f t="shared" si="15"/>
        <v>517</v>
      </c>
    </row>
    <row r="494" spans="1:6" x14ac:dyDescent="0.55000000000000004">
      <c r="A494">
        <v>1.02172950625995E+19</v>
      </c>
      <c r="B494" t="s">
        <v>422</v>
      </c>
      <c r="C494" t="s">
        <v>13</v>
      </c>
      <c r="D494">
        <v>1500</v>
      </c>
      <c r="E494" s="4">
        <f t="shared" si="14"/>
        <v>44967</v>
      </c>
      <c r="F494">
        <f t="shared" si="15"/>
        <v>62</v>
      </c>
    </row>
    <row r="495" spans="1:6" x14ac:dyDescent="0.55000000000000004">
      <c r="A495">
        <v>3.4990096452295839E+18</v>
      </c>
      <c r="B495" t="s">
        <v>423</v>
      </c>
      <c r="C495" t="s">
        <v>7</v>
      </c>
      <c r="D495">
        <v>78</v>
      </c>
      <c r="E495" s="4">
        <f t="shared" si="14"/>
        <v>44642</v>
      </c>
      <c r="F495">
        <f t="shared" si="15"/>
        <v>387</v>
      </c>
    </row>
    <row r="496" spans="1:6" x14ac:dyDescent="0.55000000000000004">
      <c r="A496">
        <v>7.4503376825986447E+18</v>
      </c>
      <c r="B496" t="s">
        <v>424</v>
      </c>
      <c r="C496" t="s">
        <v>7</v>
      </c>
      <c r="D496">
        <v>487</v>
      </c>
      <c r="E496" s="4">
        <f t="shared" si="14"/>
        <v>44048</v>
      </c>
      <c r="F496">
        <f t="shared" si="15"/>
        <v>981</v>
      </c>
    </row>
    <row r="497" spans="1:6" x14ac:dyDescent="0.55000000000000004">
      <c r="A497">
        <v>2.9446560957322291E+18</v>
      </c>
      <c r="B497" t="s">
        <v>425</v>
      </c>
      <c r="C497" t="s">
        <v>10</v>
      </c>
      <c r="D497">
        <v>69</v>
      </c>
      <c r="E497" s="4">
        <f t="shared" si="14"/>
        <v>44096</v>
      </c>
      <c r="F497">
        <f t="shared" si="15"/>
        <v>933</v>
      </c>
    </row>
    <row r="498" spans="1:6" x14ac:dyDescent="0.55000000000000004">
      <c r="A498">
        <v>2.510202513728401E+17</v>
      </c>
      <c r="B498" t="s">
        <v>426</v>
      </c>
      <c r="C498" t="s">
        <v>10</v>
      </c>
      <c r="D498">
        <v>1099</v>
      </c>
      <c r="E498" s="4">
        <f t="shared" si="14"/>
        <v>44073</v>
      </c>
      <c r="F498">
        <f t="shared" si="15"/>
        <v>956</v>
      </c>
    </row>
    <row r="499" spans="1:6" x14ac:dyDescent="0.55000000000000004">
      <c r="A499">
        <v>1.1303649973130521E+19</v>
      </c>
      <c r="B499" t="s">
        <v>349</v>
      </c>
      <c r="C499" t="s">
        <v>50</v>
      </c>
      <c r="D499">
        <v>870</v>
      </c>
      <c r="E499" s="4">
        <f t="shared" si="14"/>
        <v>44502</v>
      </c>
      <c r="F499">
        <f t="shared" si="15"/>
        <v>527</v>
      </c>
    </row>
    <row r="500" spans="1:6" x14ac:dyDescent="0.55000000000000004">
      <c r="A500">
        <v>1.6286136303727159E+19</v>
      </c>
      <c r="B500" t="s">
        <v>427</v>
      </c>
      <c r="C500" t="s">
        <v>7</v>
      </c>
      <c r="D500">
        <v>781</v>
      </c>
      <c r="E500" s="4">
        <f t="shared" si="14"/>
        <v>44543</v>
      </c>
      <c r="F500">
        <f t="shared" si="15"/>
        <v>486</v>
      </c>
    </row>
    <row r="501" spans="1:6" x14ac:dyDescent="0.55000000000000004">
      <c r="A501">
        <v>1.5103322672922581E+19</v>
      </c>
      <c r="B501" t="s">
        <v>12</v>
      </c>
      <c r="C501" t="s">
        <v>13</v>
      </c>
      <c r="D501">
        <v>1434</v>
      </c>
      <c r="E501" s="4">
        <f t="shared" si="14"/>
        <v>45010</v>
      </c>
      <c r="F501">
        <f t="shared" si="15"/>
        <v>19</v>
      </c>
    </row>
    <row r="502" spans="1:6" x14ac:dyDescent="0.55000000000000004">
      <c r="A502">
        <v>5.1485119209302528E+18</v>
      </c>
      <c r="B502" t="s">
        <v>428</v>
      </c>
      <c r="C502" t="s">
        <v>10</v>
      </c>
      <c r="D502">
        <v>126</v>
      </c>
      <c r="E502" s="4">
        <f t="shared" si="14"/>
        <v>43827</v>
      </c>
      <c r="F502">
        <f t="shared" si="15"/>
        <v>1202</v>
      </c>
    </row>
    <row r="503" spans="1:6" x14ac:dyDescent="0.55000000000000004">
      <c r="A503">
        <v>1.7016907167677581E+18</v>
      </c>
      <c r="B503" t="s">
        <v>429</v>
      </c>
      <c r="C503" t="s">
        <v>10</v>
      </c>
      <c r="D503">
        <v>2482</v>
      </c>
      <c r="E503" s="4">
        <f t="shared" si="14"/>
        <v>44571</v>
      </c>
      <c r="F503">
        <f t="shared" si="15"/>
        <v>458</v>
      </c>
    </row>
    <row r="504" spans="1:6" x14ac:dyDescent="0.55000000000000004">
      <c r="A504">
        <v>2.6861049038826102E+18</v>
      </c>
      <c r="B504" t="s">
        <v>430</v>
      </c>
      <c r="C504" t="s">
        <v>26</v>
      </c>
      <c r="D504">
        <v>894</v>
      </c>
      <c r="E504" s="4">
        <f t="shared" si="14"/>
        <v>44302</v>
      </c>
      <c r="F504">
        <f t="shared" si="15"/>
        <v>727</v>
      </c>
    </row>
    <row r="505" spans="1:6" x14ac:dyDescent="0.55000000000000004">
      <c r="A505">
        <v>3.7951345674892979E+18</v>
      </c>
      <c r="B505" t="s">
        <v>227</v>
      </c>
      <c r="C505" t="s">
        <v>10</v>
      </c>
      <c r="D505">
        <v>180</v>
      </c>
      <c r="E505" s="4">
        <f t="shared" si="14"/>
        <v>45007</v>
      </c>
      <c r="F505">
        <f t="shared" si="15"/>
        <v>22</v>
      </c>
    </row>
    <row r="506" spans="1:6" x14ac:dyDescent="0.55000000000000004">
      <c r="A506">
        <v>2.6757948269741338E+18</v>
      </c>
      <c r="B506" t="s">
        <v>431</v>
      </c>
      <c r="C506" t="s">
        <v>7</v>
      </c>
      <c r="D506">
        <v>154</v>
      </c>
      <c r="E506" s="4">
        <f t="shared" si="14"/>
        <v>43761</v>
      </c>
      <c r="F506">
        <f t="shared" si="15"/>
        <v>1268</v>
      </c>
    </row>
    <row r="507" spans="1:6" x14ac:dyDescent="0.55000000000000004">
      <c r="A507">
        <v>1.161247205855633E+19</v>
      </c>
      <c r="B507" t="s">
        <v>432</v>
      </c>
      <c r="C507" t="s">
        <v>7</v>
      </c>
      <c r="D507">
        <v>32</v>
      </c>
      <c r="E507" s="4">
        <f t="shared" si="14"/>
        <v>44777</v>
      </c>
      <c r="F507">
        <f t="shared" si="15"/>
        <v>252</v>
      </c>
    </row>
    <row r="508" spans="1:6" x14ac:dyDescent="0.55000000000000004">
      <c r="A508">
        <v>5.3744616220022743E+18</v>
      </c>
      <c r="B508" t="s">
        <v>433</v>
      </c>
      <c r="C508" t="s">
        <v>13</v>
      </c>
      <c r="D508">
        <v>5583</v>
      </c>
      <c r="E508" s="4">
        <f t="shared" si="14"/>
        <v>44181</v>
      </c>
      <c r="F508">
        <f t="shared" si="15"/>
        <v>848</v>
      </c>
    </row>
    <row r="509" spans="1:6" x14ac:dyDescent="0.55000000000000004">
      <c r="A509">
        <v>1.041325585662787E+19</v>
      </c>
      <c r="B509" t="s">
        <v>66</v>
      </c>
      <c r="C509" t="s">
        <v>13</v>
      </c>
      <c r="D509">
        <v>3771</v>
      </c>
      <c r="E509" s="4">
        <f t="shared" si="14"/>
        <v>44789</v>
      </c>
      <c r="F509">
        <f t="shared" si="15"/>
        <v>240</v>
      </c>
    </row>
    <row r="510" spans="1:6" x14ac:dyDescent="0.55000000000000004">
      <c r="A510">
        <v>2.0004746253358771E+18</v>
      </c>
      <c r="B510" t="s">
        <v>434</v>
      </c>
      <c r="C510" t="s">
        <v>10</v>
      </c>
      <c r="D510">
        <v>345</v>
      </c>
      <c r="E510" s="4">
        <f t="shared" si="14"/>
        <v>44226</v>
      </c>
      <c r="F510">
        <f t="shared" si="15"/>
        <v>803</v>
      </c>
    </row>
    <row r="511" spans="1:6" x14ac:dyDescent="0.55000000000000004">
      <c r="A511">
        <v>2.1445875065722711E+18</v>
      </c>
      <c r="B511" t="s">
        <v>435</v>
      </c>
      <c r="C511" t="s">
        <v>13</v>
      </c>
      <c r="D511">
        <v>3146</v>
      </c>
      <c r="E511" s="4">
        <f t="shared" si="14"/>
        <v>44459</v>
      </c>
      <c r="F511">
        <f t="shared" si="15"/>
        <v>570</v>
      </c>
    </row>
    <row r="512" spans="1:6" x14ac:dyDescent="0.55000000000000004">
      <c r="A512">
        <v>1.3153809842568221E+19</v>
      </c>
      <c r="B512" t="s">
        <v>436</v>
      </c>
      <c r="C512" t="s">
        <v>26</v>
      </c>
      <c r="D512">
        <v>178</v>
      </c>
      <c r="E512" s="4">
        <f t="shared" si="14"/>
        <v>43901</v>
      </c>
      <c r="F512">
        <f t="shared" si="15"/>
        <v>1128</v>
      </c>
    </row>
    <row r="513" spans="1:6" x14ac:dyDescent="0.55000000000000004">
      <c r="A513">
        <v>1.3108019832869581E+19</v>
      </c>
      <c r="B513" t="s">
        <v>161</v>
      </c>
      <c r="C513" t="s">
        <v>13</v>
      </c>
      <c r="D513">
        <v>809</v>
      </c>
      <c r="E513" s="4">
        <f t="shared" si="14"/>
        <v>44450</v>
      </c>
      <c r="F513">
        <f t="shared" si="15"/>
        <v>579</v>
      </c>
    </row>
    <row r="514" spans="1:6" x14ac:dyDescent="0.55000000000000004">
      <c r="A514">
        <v>5.8245192961811661E+18</v>
      </c>
      <c r="B514" t="s">
        <v>437</v>
      </c>
      <c r="C514" t="s">
        <v>7</v>
      </c>
      <c r="D514">
        <v>2340</v>
      </c>
      <c r="E514" s="4">
        <f t="shared" si="14"/>
        <v>44658</v>
      </c>
      <c r="F514">
        <f t="shared" si="15"/>
        <v>371</v>
      </c>
    </row>
    <row r="515" spans="1:6" x14ac:dyDescent="0.55000000000000004">
      <c r="A515">
        <v>1.4126825949175851E+19</v>
      </c>
      <c r="B515" t="s">
        <v>438</v>
      </c>
      <c r="C515" t="s">
        <v>50</v>
      </c>
      <c r="D515">
        <v>735</v>
      </c>
      <c r="E515" s="4">
        <f t="shared" ref="E515:E578" si="16">DATEVALUE(B515)</f>
        <v>44783</v>
      </c>
      <c r="F515">
        <f t="shared" ref="F515:F578" si="17">$H$1-E515</f>
        <v>246</v>
      </c>
    </row>
    <row r="516" spans="1:6" x14ac:dyDescent="0.55000000000000004">
      <c r="A516">
        <v>1.2061853660397591E+19</v>
      </c>
      <c r="B516" t="s">
        <v>439</v>
      </c>
      <c r="C516" t="s">
        <v>7</v>
      </c>
      <c r="D516">
        <v>282</v>
      </c>
      <c r="E516" s="4">
        <f t="shared" si="16"/>
        <v>43890</v>
      </c>
      <c r="F516">
        <f t="shared" si="17"/>
        <v>1139</v>
      </c>
    </row>
    <row r="517" spans="1:6" x14ac:dyDescent="0.55000000000000004">
      <c r="A517">
        <v>8.8021057141217864E+18</v>
      </c>
      <c r="B517" t="s">
        <v>415</v>
      </c>
      <c r="C517" t="s">
        <v>13</v>
      </c>
      <c r="D517">
        <v>898</v>
      </c>
      <c r="E517" s="4">
        <f t="shared" si="16"/>
        <v>44218</v>
      </c>
      <c r="F517">
        <f t="shared" si="17"/>
        <v>811</v>
      </c>
    </row>
    <row r="518" spans="1:6" x14ac:dyDescent="0.55000000000000004">
      <c r="A518">
        <v>5.3973038049061745E+18</v>
      </c>
      <c r="B518" t="s">
        <v>179</v>
      </c>
      <c r="C518" t="s">
        <v>13</v>
      </c>
      <c r="D518">
        <v>2458277.34</v>
      </c>
      <c r="E518" s="4">
        <f t="shared" si="16"/>
        <v>44991</v>
      </c>
      <c r="F518">
        <f t="shared" si="17"/>
        <v>38</v>
      </c>
    </row>
    <row r="519" spans="1:6" x14ac:dyDescent="0.55000000000000004">
      <c r="A519">
        <v>1.609852388043197E+19</v>
      </c>
      <c r="B519" t="s">
        <v>440</v>
      </c>
      <c r="C519" t="s">
        <v>10</v>
      </c>
      <c r="D519">
        <v>1291</v>
      </c>
      <c r="E519" s="4">
        <f t="shared" si="16"/>
        <v>44083</v>
      </c>
      <c r="F519">
        <f t="shared" si="17"/>
        <v>946</v>
      </c>
    </row>
    <row r="520" spans="1:6" x14ac:dyDescent="0.55000000000000004">
      <c r="A520">
        <v>1.457219832459044E+19</v>
      </c>
      <c r="B520" t="s">
        <v>441</v>
      </c>
      <c r="C520" t="s">
        <v>13</v>
      </c>
      <c r="D520">
        <v>6801</v>
      </c>
      <c r="E520" s="4">
        <f t="shared" si="16"/>
        <v>43992</v>
      </c>
      <c r="F520">
        <f t="shared" si="17"/>
        <v>1037</v>
      </c>
    </row>
    <row r="521" spans="1:6" x14ac:dyDescent="0.55000000000000004">
      <c r="A521">
        <v>1.2695739661829241E+19</v>
      </c>
      <c r="B521" t="s">
        <v>442</v>
      </c>
      <c r="C521" t="s">
        <v>13</v>
      </c>
      <c r="D521">
        <v>835</v>
      </c>
      <c r="E521" s="4">
        <f t="shared" si="16"/>
        <v>43858</v>
      </c>
      <c r="F521">
        <f t="shared" si="17"/>
        <v>1171</v>
      </c>
    </row>
    <row r="522" spans="1:6" x14ac:dyDescent="0.55000000000000004">
      <c r="A522">
        <v>1.0918317965913139E+19</v>
      </c>
      <c r="B522" t="s">
        <v>295</v>
      </c>
      <c r="C522" t="s">
        <v>13</v>
      </c>
      <c r="D522">
        <v>1047</v>
      </c>
      <c r="E522" s="4">
        <f t="shared" si="16"/>
        <v>44369</v>
      </c>
      <c r="F522">
        <f t="shared" si="17"/>
        <v>660</v>
      </c>
    </row>
    <row r="523" spans="1:6" x14ac:dyDescent="0.55000000000000004">
      <c r="A523">
        <v>4.701188881007828E+18</v>
      </c>
      <c r="B523" t="s">
        <v>443</v>
      </c>
      <c r="C523" t="s">
        <v>13</v>
      </c>
      <c r="D523">
        <v>58</v>
      </c>
      <c r="E523" s="4">
        <f t="shared" si="16"/>
        <v>45021</v>
      </c>
      <c r="F523">
        <f t="shared" si="17"/>
        <v>8</v>
      </c>
    </row>
    <row r="524" spans="1:6" x14ac:dyDescent="0.55000000000000004">
      <c r="A524">
        <v>3.0216912176067718E+17</v>
      </c>
      <c r="B524" t="s">
        <v>178</v>
      </c>
      <c r="C524" t="s">
        <v>50</v>
      </c>
      <c r="D524">
        <v>152</v>
      </c>
      <c r="E524" s="4">
        <f t="shared" si="16"/>
        <v>44984</v>
      </c>
      <c r="F524">
        <f t="shared" si="17"/>
        <v>45</v>
      </c>
    </row>
    <row r="525" spans="1:6" x14ac:dyDescent="0.55000000000000004">
      <c r="A525">
        <v>1.7972254181524779E+19</v>
      </c>
      <c r="B525" t="s">
        <v>127</v>
      </c>
      <c r="C525" t="s">
        <v>13</v>
      </c>
      <c r="D525">
        <v>2415</v>
      </c>
      <c r="E525" s="4">
        <f t="shared" si="16"/>
        <v>43824</v>
      </c>
      <c r="F525">
        <f t="shared" si="17"/>
        <v>1205</v>
      </c>
    </row>
    <row r="526" spans="1:6" x14ac:dyDescent="0.55000000000000004">
      <c r="A526">
        <v>6.3366569435153132E+18</v>
      </c>
      <c r="B526" t="s">
        <v>259</v>
      </c>
      <c r="C526" t="s">
        <v>13</v>
      </c>
      <c r="D526">
        <v>104</v>
      </c>
      <c r="E526" s="4">
        <f t="shared" si="16"/>
        <v>44555</v>
      </c>
      <c r="F526">
        <f t="shared" si="17"/>
        <v>474</v>
      </c>
    </row>
    <row r="527" spans="1:6" x14ac:dyDescent="0.55000000000000004">
      <c r="A527">
        <v>1.0101712164839559E+19</v>
      </c>
      <c r="B527" t="s">
        <v>444</v>
      </c>
      <c r="C527" t="s">
        <v>13</v>
      </c>
      <c r="D527">
        <v>363</v>
      </c>
      <c r="E527" s="4">
        <f t="shared" si="16"/>
        <v>44606</v>
      </c>
      <c r="F527">
        <f t="shared" si="17"/>
        <v>423</v>
      </c>
    </row>
    <row r="528" spans="1:6" x14ac:dyDescent="0.55000000000000004">
      <c r="A528">
        <v>1.416306776741248E+19</v>
      </c>
      <c r="B528" t="s">
        <v>445</v>
      </c>
      <c r="C528" t="s">
        <v>26</v>
      </c>
      <c r="D528">
        <v>114</v>
      </c>
      <c r="E528" s="4">
        <f t="shared" si="16"/>
        <v>44070</v>
      </c>
      <c r="F528">
        <f t="shared" si="17"/>
        <v>959</v>
      </c>
    </row>
    <row r="529" spans="1:6" x14ac:dyDescent="0.55000000000000004">
      <c r="A529">
        <v>5.3973038049061745E+18</v>
      </c>
      <c r="B529" t="s">
        <v>446</v>
      </c>
      <c r="C529" t="s">
        <v>26</v>
      </c>
      <c r="D529">
        <v>415566.9</v>
      </c>
      <c r="E529" s="4">
        <f t="shared" si="16"/>
        <v>43149</v>
      </c>
      <c r="F529">
        <f t="shared" si="17"/>
        <v>1880</v>
      </c>
    </row>
    <row r="530" spans="1:6" x14ac:dyDescent="0.55000000000000004">
      <c r="A530">
        <v>1.1523051514952149E+19</v>
      </c>
      <c r="B530" t="s">
        <v>133</v>
      </c>
      <c r="C530" t="s">
        <v>13</v>
      </c>
      <c r="D530">
        <v>1125</v>
      </c>
      <c r="E530" s="4">
        <f t="shared" si="16"/>
        <v>44944</v>
      </c>
      <c r="F530">
        <f t="shared" si="17"/>
        <v>85</v>
      </c>
    </row>
    <row r="531" spans="1:6" x14ac:dyDescent="0.55000000000000004">
      <c r="A531">
        <v>6.3308097158382285E+18</v>
      </c>
      <c r="B531" t="s">
        <v>447</v>
      </c>
      <c r="C531" t="s">
        <v>10</v>
      </c>
      <c r="D531">
        <v>5242</v>
      </c>
      <c r="E531" s="4">
        <f t="shared" si="16"/>
        <v>44709</v>
      </c>
      <c r="F531">
        <f t="shared" si="17"/>
        <v>320</v>
      </c>
    </row>
    <row r="532" spans="1:6" x14ac:dyDescent="0.55000000000000004">
      <c r="A532">
        <v>2.6449074443805271E+18</v>
      </c>
      <c r="B532" t="s">
        <v>448</v>
      </c>
      <c r="C532" t="s">
        <v>10</v>
      </c>
      <c r="D532">
        <v>290</v>
      </c>
      <c r="E532" s="4">
        <f t="shared" si="16"/>
        <v>44506</v>
      </c>
      <c r="F532">
        <f t="shared" si="17"/>
        <v>523</v>
      </c>
    </row>
    <row r="533" spans="1:6" x14ac:dyDescent="0.55000000000000004">
      <c r="A533">
        <v>1.023326339046786E+19</v>
      </c>
      <c r="B533" t="s">
        <v>449</v>
      </c>
      <c r="C533" t="s">
        <v>46</v>
      </c>
      <c r="D533">
        <v>394</v>
      </c>
      <c r="E533" s="4">
        <f t="shared" si="16"/>
        <v>44608</v>
      </c>
      <c r="F533">
        <f t="shared" si="17"/>
        <v>421</v>
      </c>
    </row>
    <row r="534" spans="1:6" x14ac:dyDescent="0.55000000000000004">
      <c r="A534">
        <v>4.6209190320835246E+18</v>
      </c>
      <c r="B534" t="s">
        <v>450</v>
      </c>
      <c r="C534" t="s">
        <v>7</v>
      </c>
      <c r="D534">
        <v>150</v>
      </c>
      <c r="E534" s="4">
        <f t="shared" si="16"/>
        <v>44661</v>
      </c>
      <c r="F534">
        <f t="shared" si="17"/>
        <v>368</v>
      </c>
    </row>
    <row r="535" spans="1:6" x14ac:dyDescent="0.55000000000000004">
      <c r="A535">
        <v>7.530252964857858E+18</v>
      </c>
      <c r="B535" t="s">
        <v>451</v>
      </c>
      <c r="C535" t="s">
        <v>10</v>
      </c>
      <c r="D535">
        <v>299</v>
      </c>
      <c r="E535" s="4">
        <f t="shared" si="16"/>
        <v>44901</v>
      </c>
      <c r="F535">
        <f t="shared" si="17"/>
        <v>128</v>
      </c>
    </row>
    <row r="536" spans="1:6" x14ac:dyDescent="0.55000000000000004">
      <c r="A536">
        <v>4.5624078666477901E+18</v>
      </c>
      <c r="B536" t="s">
        <v>352</v>
      </c>
      <c r="C536" t="s">
        <v>10</v>
      </c>
      <c r="D536">
        <v>1096</v>
      </c>
      <c r="E536" s="4">
        <f t="shared" si="16"/>
        <v>44705</v>
      </c>
      <c r="F536">
        <f t="shared" si="17"/>
        <v>324</v>
      </c>
    </row>
    <row r="537" spans="1:6" x14ac:dyDescent="0.55000000000000004">
      <c r="A537">
        <v>1.73052055947601E+19</v>
      </c>
      <c r="B537" t="s">
        <v>37</v>
      </c>
      <c r="C537" t="s">
        <v>10</v>
      </c>
      <c r="D537">
        <v>227</v>
      </c>
      <c r="E537" s="4">
        <f t="shared" si="16"/>
        <v>44663</v>
      </c>
      <c r="F537">
        <f t="shared" si="17"/>
        <v>366</v>
      </c>
    </row>
    <row r="538" spans="1:6" x14ac:dyDescent="0.55000000000000004">
      <c r="A538">
        <v>1.211195581225029E+19</v>
      </c>
      <c r="B538" t="s">
        <v>452</v>
      </c>
      <c r="C538" t="s">
        <v>10</v>
      </c>
      <c r="D538">
        <v>8915</v>
      </c>
      <c r="E538" s="4">
        <f t="shared" si="16"/>
        <v>44163</v>
      </c>
      <c r="F538">
        <f t="shared" si="17"/>
        <v>866</v>
      </c>
    </row>
    <row r="539" spans="1:6" x14ac:dyDescent="0.55000000000000004">
      <c r="A539">
        <v>7.8620508395246733E+17</v>
      </c>
      <c r="B539" t="s">
        <v>453</v>
      </c>
      <c r="C539" t="s">
        <v>10</v>
      </c>
      <c r="D539">
        <v>8727</v>
      </c>
      <c r="E539" s="4">
        <f t="shared" si="16"/>
        <v>43748</v>
      </c>
      <c r="F539">
        <f t="shared" si="17"/>
        <v>1281</v>
      </c>
    </row>
    <row r="540" spans="1:6" x14ac:dyDescent="0.55000000000000004">
      <c r="A540">
        <v>6.9147518516432422E+17</v>
      </c>
      <c r="B540" t="s">
        <v>454</v>
      </c>
      <c r="C540" t="s">
        <v>10</v>
      </c>
      <c r="D540">
        <v>1058</v>
      </c>
      <c r="E540" s="4">
        <f t="shared" si="16"/>
        <v>44740</v>
      </c>
      <c r="F540">
        <f t="shared" si="17"/>
        <v>289</v>
      </c>
    </row>
    <row r="541" spans="1:6" x14ac:dyDescent="0.55000000000000004">
      <c r="A541">
        <v>5.6974482217642691E+18</v>
      </c>
      <c r="B541" t="s">
        <v>455</v>
      </c>
      <c r="C541" t="s">
        <v>10</v>
      </c>
      <c r="D541">
        <v>1175</v>
      </c>
      <c r="E541" s="4">
        <f t="shared" si="16"/>
        <v>44879</v>
      </c>
      <c r="F541">
        <f t="shared" si="17"/>
        <v>150</v>
      </c>
    </row>
    <row r="542" spans="1:6" x14ac:dyDescent="0.55000000000000004">
      <c r="A542">
        <v>1.4456830229592809E+19</v>
      </c>
      <c r="B542" t="s">
        <v>456</v>
      </c>
      <c r="C542" t="s">
        <v>50</v>
      </c>
      <c r="D542">
        <v>19</v>
      </c>
      <c r="E542" s="4">
        <f t="shared" si="16"/>
        <v>44428</v>
      </c>
      <c r="F542">
        <f t="shared" si="17"/>
        <v>601</v>
      </c>
    </row>
    <row r="543" spans="1:6" x14ac:dyDescent="0.55000000000000004">
      <c r="A543">
        <v>4.6112523702828739E+18</v>
      </c>
      <c r="B543" t="s">
        <v>432</v>
      </c>
      <c r="C543" t="s">
        <v>26</v>
      </c>
      <c r="D543">
        <v>2370</v>
      </c>
      <c r="E543" s="4">
        <f t="shared" si="16"/>
        <v>44777</v>
      </c>
      <c r="F543">
        <f t="shared" si="17"/>
        <v>252</v>
      </c>
    </row>
    <row r="544" spans="1:6" x14ac:dyDescent="0.55000000000000004">
      <c r="A544">
        <v>1.4430650406078761E+19</v>
      </c>
      <c r="B544" t="s">
        <v>415</v>
      </c>
      <c r="C544" t="s">
        <v>13</v>
      </c>
      <c r="D544">
        <v>2106</v>
      </c>
      <c r="E544" s="4">
        <f t="shared" si="16"/>
        <v>44218</v>
      </c>
      <c r="F544">
        <f t="shared" si="17"/>
        <v>811</v>
      </c>
    </row>
    <row r="545" spans="1:6" x14ac:dyDescent="0.55000000000000004">
      <c r="A545">
        <v>1.61628271192128E+19</v>
      </c>
      <c r="B545" t="s">
        <v>457</v>
      </c>
      <c r="C545" t="s">
        <v>13</v>
      </c>
      <c r="D545">
        <v>398</v>
      </c>
      <c r="E545" s="4">
        <f t="shared" si="16"/>
        <v>43860</v>
      </c>
      <c r="F545">
        <f t="shared" si="17"/>
        <v>1169</v>
      </c>
    </row>
    <row r="546" spans="1:6" x14ac:dyDescent="0.55000000000000004">
      <c r="A546">
        <v>1.7195823753244791E+19</v>
      </c>
      <c r="B546" t="s">
        <v>458</v>
      </c>
      <c r="C546" t="s">
        <v>7</v>
      </c>
      <c r="D546">
        <v>576</v>
      </c>
      <c r="E546" s="4">
        <f t="shared" si="16"/>
        <v>44838</v>
      </c>
      <c r="F546">
        <f t="shared" si="17"/>
        <v>191</v>
      </c>
    </row>
    <row r="547" spans="1:6" x14ac:dyDescent="0.55000000000000004">
      <c r="A547">
        <v>1.1892397586174779E+19</v>
      </c>
      <c r="B547" t="s">
        <v>458</v>
      </c>
      <c r="C547" t="s">
        <v>13</v>
      </c>
      <c r="D547">
        <v>1306</v>
      </c>
      <c r="E547" s="4">
        <f t="shared" si="16"/>
        <v>44838</v>
      </c>
      <c r="F547">
        <f t="shared" si="17"/>
        <v>191</v>
      </c>
    </row>
    <row r="548" spans="1:6" x14ac:dyDescent="0.55000000000000004">
      <c r="A548">
        <v>6.2599499234929787E+18</v>
      </c>
      <c r="B548" t="s">
        <v>459</v>
      </c>
      <c r="C548" t="s">
        <v>10</v>
      </c>
      <c r="D548">
        <v>232</v>
      </c>
      <c r="E548" s="4">
        <f t="shared" si="16"/>
        <v>43876</v>
      </c>
      <c r="F548">
        <f t="shared" si="17"/>
        <v>1153</v>
      </c>
    </row>
    <row r="549" spans="1:6" x14ac:dyDescent="0.55000000000000004">
      <c r="A549">
        <v>1.2061880677718579E+19</v>
      </c>
      <c r="B549" t="s">
        <v>460</v>
      </c>
      <c r="C549" t="s">
        <v>5</v>
      </c>
      <c r="D549">
        <v>795</v>
      </c>
      <c r="E549" s="4">
        <f t="shared" si="16"/>
        <v>44671</v>
      </c>
      <c r="F549">
        <f t="shared" si="17"/>
        <v>358</v>
      </c>
    </row>
    <row r="550" spans="1:6" x14ac:dyDescent="0.55000000000000004">
      <c r="A550">
        <v>1.928598308475934E+18</v>
      </c>
      <c r="B550" t="s">
        <v>461</v>
      </c>
      <c r="C550" t="s">
        <v>13</v>
      </c>
      <c r="D550">
        <v>387</v>
      </c>
      <c r="E550" s="4">
        <f t="shared" si="16"/>
        <v>44441</v>
      </c>
      <c r="F550">
        <f t="shared" si="17"/>
        <v>588</v>
      </c>
    </row>
    <row r="551" spans="1:6" x14ac:dyDescent="0.55000000000000004">
      <c r="A551">
        <v>1.706372138256819E+19</v>
      </c>
      <c r="B551" t="s">
        <v>462</v>
      </c>
      <c r="C551" t="s">
        <v>10</v>
      </c>
      <c r="D551">
        <v>6985</v>
      </c>
      <c r="E551" s="4">
        <f t="shared" si="16"/>
        <v>44534</v>
      </c>
      <c r="F551">
        <f t="shared" si="17"/>
        <v>495</v>
      </c>
    </row>
    <row r="552" spans="1:6" x14ac:dyDescent="0.55000000000000004">
      <c r="A552">
        <v>4.2881579349642619E+18</v>
      </c>
      <c r="B552" t="s">
        <v>463</v>
      </c>
      <c r="C552" t="s">
        <v>13</v>
      </c>
      <c r="D552">
        <v>279</v>
      </c>
      <c r="E552" s="4">
        <f t="shared" si="16"/>
        <v>43683</v>
      </c>
      <c r="F552">
        <f t="shared" si="17"/>
        <v>1346</v>
      </c>
    </row>
    <row r="553" spans="1:6" x14ac:dyDescent="0.55000000000000004">
      <c r="A553">
        <v>5.3973038049061745E+18</v>
      </c>
      <c r="B553" t="s">
        <v>464</v>
      </c>
      <c r="C553" t="s">
        <v>26</v>
      </c>
      <c r="D553">
        <v>2528</v>
      </c>
      <c r="E553" s="4">
        <f t="shared" si="16"/>
        <v>43954</v>
      </c>
      <c r="F553">
        <f t="shared" si="17"/>
        <v>1075</v>
      </c>
    </row>
    <row r="554" spans="1:6" x14ac:dyDescent="0.55000000000000004">
      <c r="A554">
        <v>3.8822343132996511E+18</v>
      </c>
      <c r="B554" t="s">
        <v>465</v>
      </c>
      <c r="C554" t="s">
        <v>5</v>
      </c>
      <c r="D554">
        <v>530</v>
      </c>
      <c r="E554" s="4">
        <f t="shared" si="16"/>
        <v>44917</v>
      </c>
      <c r="F554">
        <f t="shared" si="17"/>
        <v>112</v>
      </c>
    </row>
    <row r="555" spans="1:6" x14ac:dyDescent="0.55000000000000004">
      <c r="A555">
        <v>6.3035102497799158E+18</v>
      </c>
      <c r="B555" t="s">
        <v>465</v>
      </c>
      <c r="C555" t="s">
        <v>10</v>
      </c>
      <c r="D555">
        <v>1990</v>
      </c>
      <c r="E555" s="4">
        <f t="shared" si="16"/>
        <v>44917</v>
      </c>
      <c r="F555">
        <f t="shared" si="17"/>
        <v>112</v>
      </c>
    </row>
    <row r="556" spans="1:6" x14ac:dyDescent="0.55000000000000004">
      <c r="A556">
        <v>9.8270771362328934E+17</v>
      </c>
      <c r="B556" t="s">
        <v>466</v>
      </c>
      <c r="C556" t="s">
        <v>13</v>
      </c>
      <c r="D556">
        <v>495</v>
      </c>
      <c r="E556" s="4">
        <f t="shared" si="16"/>
        <v>44624</v>
      </c>
      <c r="F556">
        <f t="shared" si="17"/>
        <v>405</v>
      </c>
    </row>
    <row r="557" spans="1:6" x14ac:dyDescent="0.55000000000000004">
      <c r="A557">
        <v>1.154366778486877E+19</v>
      </c>
      <c r="B557" t="s">
        <v>467</v>
      </c>
      <c r="C557" t="s">
        <v>10</v>
      </c>
      <c r="D557">
        <v>1399</v>
      </c>
      <c r="E557" s="4">
        <f t="shared" si="16"/>
        <v>44204</v>
      </c>
      <c r="F557">
        <f t="shared" si="17"/>
        <v>825</v>
      </c>
    </row>
    <row r="558" spans="1:6" x14ac:dyDescent="0.55000000000000004">
      <c r="A558">
        <v>1.5813885059110459E+19</v>
      </c>
      <c r="B558" t="s">
        <v>468</v>
      </c>
      <c r="C558" t="s">
        <v>7</v>
      </c>
      <c r="D558">
        <v>4100</v>
      </c>
      <c r="E558" s="4">
        <f t="shared" si="16"/>
        <v>44292</v>
      </c>
      <c r="F558">
        <f t="shared" si="17"/>
        <v>737</v>
      </c>
    </row>
    <row r="559" spans="1:6" x14ac:dyDescent="0.55000000000000004">
      <c r="A559">
        <v>4.3842148892131758E+18</v>
      </c>
      <c r="B559" t="s">
        <v>469</v>
      </c>
      <c r="C559" t="s">
        <v>10</v>
      </c>
      <c r="D559">
        <v>126</v>
      </c>
      <c r="E559" s="4">
        <f t="shared" si="16"/>
        <v>43818</v>
      </c>
      <c r="F559">
        <f t="shared" si="17"/>
        <v>1211</v>
      </c>
    </row>
    <row r="560" spans="1:6" x14ac:dyDescent="0.55000000000000004">
      <c r="A560">
        <v>9.0073211666938911E+18</v>
      </c>
      <c r="B560" t="s">
        <v>470</v>
      </c>
      <c r="C560" t="s">
        <v>26</v>
      </c>
      <c r="D560">
        <v>349</v>
      </c>
      <c r="E560" s="4">
        <f t="shared" si="16"/>
        <v>44907</v>
      </c>
      <c r="F560">
        <f t="shared" si="17"/>
        <v>122</v>
      </c>
    </row>
    <row r="561" spans="1:6" x14ac:dyDescent="0.55000000000000004">
      <c r="A561">
        <v>2.5539692136129722E+17</v>
      </c>
      <c r="B561" t="s">
        <v>471</v>
      </c>
      <c r="C561" t="s">
        <v>10</v>
      </c>
      <c r="D561">
        <v>1201</v>
      </c>
      <c r="E561" s="4">
        <f t="shared" si="16"/>
        <v>43615</v>
      </c>
      <c r="F561">
        <f t="shared" si="17"/>
        <v>1414</v>
      </c>
    </row>
    <row r="562" spans="1:6" x14ac:dyDescent="0.55000000000000004">
      <c r="A562">
        <v>4.094269431837227E+18</v>
      </c>
      <c r="B562" t="s">
        <v>127</v>
      </c>
      <c r="C562" t="s">
        <v>10</v>
      </c>
      <c r="D562">
        <v>1105</v>
      </c>
      <c r="E562" s="4">
        <f t="shared" si="16"/>
        <v>43824</v>
      </c>
      <c r="F562">
        <f t="shared" si="17"/>
        <v>1205</v>
      </c>
    </row>
    <row r="563" spans="1:6" x14ac:dyDescent="0.55000000000000004">
      <c r="A563">
        <v>5.6918524632912978E+18</v>
      </c>
      <c r="B563" t="s">
        <v>472</v>
      </c>
      <c r="C563" t="s">
        <v>5</v>
      </c>
      <c r="D563">
        <v>2447</v>
      </c>
      <c r="E563" s="4">
        <f t="shared" si="16"/>
        <v>44769</v>
      </c>
      <c r="F563">
        <f t="shared" si="17"/>
        <v>260</v>
      </c>
    </row>
    <row r="564" spans="1:6" x14ac:dyDescent="0.55000000000000004">
      <c r="A564">
        <v>1.510216515945837E+19</v>
      </c>
      <c r="B564" t="s">
        <v>473</v>
      </c>
      <c r="C564" t="s">
        <v>50</v>
      </c>
      <c r="D564">
        <v>7710</v>
      </c>
      <c r="E564" s="4">
        <f t="shared" si="16"/>
        <v>44893</v>
      </c>
      <c r="F564">
        <f t="shared" si="17"/>
        <v>136</v>
      </c>
    </row>
    <row r="565" spans="1:6" x14ac:dyDescent="0.55000000000000004">
      <c r="A565">
        <v>1.675574844922743E+19</v>
      </c>
      <c r="B565" t="s">
        <v>474</v>
      </c>
      <c r="C565" t="s">
        <v>7</v>
      </c>
      <c r="D565">
        <v>0</v>
      </c>
      <c r="E565" s="4">
        <f t="shared" si="16"/>
        <v>44785</v>
      </c>
      <c r="F565">
        <f t="shared" si="17"/>
        <v>244</v>
      </c>
    </row>
    <row r="566" spans="1:6" x14ac:dyDescent="0.55000000000000004">
      <c r="A566">
        <v>1.4292414189915501E+19</v>
      </c>
      <c r="B566" t="s">
        <v>449</v>
      </c>
      <c r="C566" t="s">
        <v>10</v>
      </c>
      <c r="D566">
        <v>833</v>
      </c>
      <c r="E566" s="4">
        <f t="shared" si="16"/>
        <v>44608</v>
      </c>
      <c r="F566">
        <f t="shared" si="17"/>
        <v>421</v>
      </c>
    </row>
    <row r="567" spans="1:6" x14ac:dyDescent="0.55000000000000004">
      <c r="A567">
        <v>1.824466406295605E+18</v>
      </c>
      <c r="B567" t="s">
        <v>465</v>
      </c>
      <c r="C567" t="s">
        <v>13</v>
      </c>
      <c r="D567">
        <v>1213</v>
      </c>
      <c r="E567" s="4">
        <f t="shared" si="16"/>
        <v>44917</v>
      </c>
      <c r="F567">
        <f t="shared" si="17"/>
        <v>112</v>
      </c>
    </row>
    <row r="568" spans="1:6" x14ac:dyDescent="0.55000000000000004">
      <c r="A568">
        <v>1.4281018237799711E+19</v>
      </c>
      <c r="B568" t="s">
        <v>137</v>
      </c>
      <c r="C568" t="s">
        <v>10</v>
      </c>
      <c r="D568">
        <v>789</v>
      </c>
      <c r="E568" s="4">
        <f t="shared" si="16"/>
        <v>44294</v>
      </c>
      <c r="F568">
        <f t="shared" si="17"/>
        <v>735</v>
      </c>
    </row>
    <row r="569" spans="1:6" x14ac:dyDescent="0.55000000000000004">
      <c r="A569">
        <v>1.4427428116042281E+18</v>
      </c>
      <c r="B569" t="s">
        <v>475</v>
      </c>
      <c r="C569" t="s">
        <v>13</v>
      </c>
      <c r="D569">
        <v>2218</v>
      </c>
      <c r="E569" s="4">
        <f t="shared" si="16"/>
        <v>44847</v>
      </c>
      <c r="F569">
        <f t="shared" si="17"/>
        <v>182</v>
      </c>
    </row>
    <row r="570" spans="1:6" x14ac:dyDescent="0.55000000000000004">
      <c r="A570">
        <v>1.4503463643584E+19</v>
      </c>
      <c r="B570" t="s">
        <v>476</v>
      </c>
      <c r="C570" t="s">
        <v>5</v>
      </c>
      <c r="D570">
        <v>605</v>
      </c>
      <c r="E570" s="4">
        <f t="shared" si="16"/>
        <v>44099</v>
      </c>
      <c r="F570">
        <f t="shared" si="17"/>
        <v>930</v>
      </c>
    </row>
    <row r="571" spans="1:6" x14ac:dyDescent="0.55000000000000004">
      <c r="A571">
        <v>5.3973038049061745E+18</v>
      </c>
      <c r="B571" t="s">
        <v>477</v>
      </c>
      <c r="C571" t="s">
        <v>50</v>
      </c>
      <c r="D571">
        <v>7077.76</v>
      </c>
      <c r="E571" s="4">
        <f t="shared" si="16"/>
        <v>44680</v>
      </c>
      <c r="F571">
        <f t="shared" si="17"/>
        <v>349</v>
      </c>
    </row>
    <row r="572" spans="1:6" x14ac:dyDescent="0.55000000000000004">
      <c r="A572">
        <v>1.6502892064455491E+18</v>
      </c>
      <c r="B572" t="s">
        <v>478</v>
      </c>
      <c r="C572" t="s">
        <v>10</v>
      </c>
      <c r="D572">
        <v>243</v>
      </c>
      <c r="E572" s="4">
        <f t="shared" si="16"/>
        <v>44936</v>
      </c>
      <c r="F572">
        <f t="shared" si="17"/>
        <v>93</v>
      </c>
    </row>
    <row r="573" spans="1:6" x14ac:dyDescent="0.55000000000000004">
      <c r="A573">
        <v>1.536672420053701E+19</v>
      </c>
      <c r="B573" t="s">
        <v>479</v>
      </c>
      <c r="C573" t="s">
        <v>7</v>
      </c>
      <c r="D573">
        <v>991</v>
      </c>
      <c r="E573" s="4">
        <f t="shared" si="16"/>
        <v>44399</v>
      </c>
      <c r="F573">
        <f t="shared" si="17"/>
        <v>630</v>
      </c>
    </row>
    <row r="574" spans="1:6" x14ac:dyDescent="0.55000000000000004">
      <c r="A574">
        <v>1.360719435373294E+19</v>
      </c>
      <c r="B574" t="s">
        <v>90</v>
      </c>
      <c r="C574" t="s">
        <v>10</v>
      </c>
      <c r="D574">
        <v>650</v>
      </c>
      <c r="E574" s="4">
        <f t="shared" si="16"/>
        <v>44899</v>
      </c>
      <c r="F574">
        <f t="shared" si="17"/>
        <v>130</v>
      </c>
    </row>
    <row r="575" spans="1:6" x14ac:dyDescent="0.55000000000000004">
      <c r="A575">
        <v>1.7451978901407271E+19</v>
      </c>
      <c r="B575" t="s">
        <v>480</v>
      </c>
      <c r="C575" t="s">
        <v>10</v>
      </c>
      <c r="D575">
        <v>7854</v>
      </c>
      <c r="E575" s="4">
        <f t="shared" si="16"/>
        <v>44979</v>
      </c>
      <c r="F575">
        <f t="shared" si="17"/>
        <v>50</v>
      </c>
    </row>
    <row r="576" spans="1:6" x14ac:dyDescent="0.55000000000000004">
      <c r="A576">
        <v>6.2213589487169055E+18</v>
      </c>
      <c r="B576" t="s">
        <v>481</v>
      </c>
      <c r="C576" t="s">
        <v>7</v>
      </c>
      <c r="D576">
        <v>777</v>
      </c>
      <c r="E576" s="4">
        <f t="shared" si="16"/>
        <v>44315</v>
      </c>
      <c r="F576">
        <f t="shared" si="17"/>
        <v>714</v>
      </c>
    </row>
    <row r="577" spans="1:6" x14ac:dyDescent="0.55000000000000004">
      <c r="A577">
        <v>1.4358514523277611E+19</v>
      </c>
      <c r="B577" t="s">
        <v>266</v>
      </c>
      <c r="C577" t="s">
        <v>10</v>
      </c>
      <c r="D577">
        <v>919</v>
      </c>
      <c r="E577" s="4">
        <f t="shared" si="16"/>
        <v>44318</v>
      </c>
      <c r="F577">
        <f t="shared" si="17"/>
        <v>711</v>
      </c>
    </row>
    <row r="578" spans="1:6" x14ac:dyDescent="0.55000000000000004">
      <c r="A578">
        <v>1.7263309530364119E+19</v>
      </c>
      <c r="B578" t="s">
        <v>381</v>
      </c>
      <c r="C578" t="s">
        <v>10</v>
      </c>
      <c r="D578">
        <v>179</v>
      </c>
      <c r="E578" s="4">
        <f t="shared" si="16"/>
        <v>44657</v>
      </c>
      <c r="F578">
        <f t="shared" si="17"/>
        <v>372</v>
      </c>
    </row>
    <row r="579" spans="1:6" x14ac:dyDescent="0.55000000000000004">
      <c r="A579">
        <v>3.599136762635753E+17</v>
      </c>
      <c r="B579" t="s">
        <v>482</v>
      </c>
      <c r="C579" t="s">
        <v>13</v>
      </c>
      <c r="D579">
        <v>3760</v>
      </c>
      <c r="E579" s="4">
        <f t="shared" ref="E579:E642" si="18">DATEVALUE(B579)</f>
        <v>44666</v>
      </c>
      <c r="F579">
        <f t="shared" ref="F579:F642" si="19">$H$1-E579</f>
        <v>363</v>
      </c>
    </row>
    <row r="580" spans="1:6" x14ac:dyDescent="0.55000000000000004">
      <c r="A580">
        <v>1.142685925263751E+19</v>
      </c>
      <c r="B580" t="s">
        <v>325</v>
      </c>
      <c r="C580" t="s">
        <v>46</v>
      </c>
      <c r="D580">
        <v>534</v>
      </c>
      <c r="E580" s="4">
        <f t="shared" si="18"/>
        <v>44143</v>
      </c>
      <c r="F580">
        <f t="shared" si="19"/>
        <v>886</v>
      </c>
    </row>
    <row r="581" spans="1:6" x14ac:dyDescent="0.55000000000000004">
      <c r="A581">
        <v>1.4510001291487109E+19</v>
      </c>
      <c r="B581" t="s">
        <v>483</v>
      </c>
      <c r="C581" t="s">
        <v>10</v>
      </c>
      <c r="D581">
        <v>1447</v>
      </c>
      <c r="E581" s="4">
        <f t="shared" si="18"/>
        <v>43767</v>
      </c>
      <c r="F581">
        <f t="shared" si="19"/>
        <v>1262</v>
      </c>
    </row>
    <row r="582" spans="1:6" x14ac:dyDescent="0.55000000000000004">
      <c r="A582">
        <v>8.3761788875651021E+18</v>
      </c>
      <c r="B582" t="s">
        <v>484</v>
      </c>
      <c r="C582" t="s">
        <v>13</v>
      </c>
      <c r="D582">
        <v>1244</v>
      </c>
      <c r="E582" s="4">
        <f t="shared" si="18"/>
        <v>44326</v>
      </c>
      <c r="F582">
        <f t="shared" si="19"/>
        <v>703</v>
      </c>
    </row>
    <row r="583" spans="1:6" x14ac:dyDescent="0.55000000000000004">
      <c r="A583">
        <v>9.2781126943122145E+18</v>
      </c>
      <c r="B583" t="s">
        <v>485</v>
      </c>
      <c r="C583" t="s">
        <v>26</v>
      </c>
      <c r="D583">
        <v>530</v>
      </c>
      <c r="E583" s="4">
        <f t="shared" si="18"/>
        <v>43996</v>
      </c>
      <c r="F583">
        <f t="shared" si="19"/>
        <v>1033</v>
      </c>
    </row>
    <row r="584" spans="1:6" x14ac:dyDescent="0.55000000000000004">
      <c r="A584">
        <v>7.3761653183158497E+18</v>
      </c>
      <c r="B584" t="s">
        <v>486</v>
      </c>
      <c r="C584" t="s">
        <v>10</v>
      </c>
      <c r="D584">
        <v>363</v>
      </c>
      <c r="E584" s="4">
        <f t="shared" si="18"/>
        <v>44828</v>
      </c>
      <c r="F584">
        <f t="shared" si="19"/>
        <v>201</v>
      </c>
    </row>
    <row r="585" spans="1:6" x14ac:dyDescent="0.55000000000000004">
      <c r="A585">
        <v>5.7983901334204365E+18</v>
      </c>
      <c r="B585" t="s">
        <v>487</v>
      </c>
      <c r="C585" t="s">
        <v>13</v>
      </c>
      <c r="D585">
        <v>1196</v>
      </c>
      <c r="E585" s="4">
        <f t="shared" si="18"/>
        <v>44388</v>
      </c>
      <c r="F585">
        <f t="shared" si="19"/>
        <v>641</v>
      </c>
    </row>
    <row r="586" spans="1:6" x14ac:dyDescent="0.55000000000000004">
      <c r="A586">
        <v>1.7195823753244791E+19</v>
      </c>
      <c r="B586" t="s">
        <v>317</v>
      </c>
      <c r="C586" t="s">
        <v>10</v>
      </c>
      <c r="D586">
        <v>298</v>
      </c>
      <c r="E586" s="4">
        <f t="shared" si="18"/>
        <v>44601</v>
      </c>
      <c r="F586">
        <f t="shared" si="19"/>
        <v>428</v>
      </c>
    </row>
    <row r="587" spans="1:6" x14ac:dyDescent="0.55000000000000004">
      <c r="A587">
        <v>1.498780301633416E+19</v>
      </c>
      <c r="B587" t="s">
        <v>488</v>
      </c>
      <c r="C587" t="s">
        <v>13</v>
      </c>
      <c r="D587">
        <v>1422</v>
      </c>
      <c r="E587" s="4">
        <f t="shared" si="18"/>
        <v>44802</v>
      </c>
      <c r="F587">
        <f t="shared" si="19"/>
        <v>227</v>
      </c>
    </row>
    <row r="588" spans="1:6" x14ac:dyDescent="0.55000000000000004">
      <c r="A588">
        <v>1.4124490964674601E+19</v>
      </c>
      <c r="B588" t="s">
        <v>489</v>
      </c>
      <c r="C588" t="s">
        <v>13</v>
      </c>
      <c r="D588">
        <v>12172</v>
      </c>
      <c r="E588" s="4">
        <f t="shared" si="18"/>
        <v>44170</v>
      </c>
      <c r="F588">
        <f t="shared" si="19"/>
        <v>859</v>
      </c>
    </row>
    <row r="589" spans="1:6" x14ac:dyDescent="0.55000000000000004">
      <c r="A589">
        <v>7.5659730072132506E+18</v>
      </c>
      <c r="B589" t="s">
        <v>54</v>
      </c>
      <c r="C589" t="s">
        <v>10</v>
      </c>
      <c r="D589">
        <v>897</v>
      </c>
      <c r="E589" s="4">
        <f t="shared" si="18"/>
        <v>44943</v>
      </c>
      <c r="F589">
        <f t="shared" si="19"/>
        <v>86</v>
      </c>
    </row>
    <row r="590" spans="1:6" x14ac:dyDescent="0.55000000000000004">
      <c r="A590">
        <v>3.8730926034270961E+18</v>
      </c>
      <c r="B590" t="s">
        <v>415</v>
      </c>
      <c r="C590" t="s">
        <v>13</v>
      </c>
      <c r="D590">
        <v>2000</v>
      </c>
      <c r="E590" s="4">
        <f t="shared" si="18"/>
        <v>44218</v>
      </c>
      <c r="F590">
        <f t="shared" si="19"/>
        <v>811</v>
      </c>
    </row>
    <row r="591" spans="1:6" x14ac:dyDescent="0.55000000000000004">
      <c r="A591">
        <v>1.690305298798652E+19</v>
      </c>
      <c r="B591" t="s">
        <v>490</v>
      </c>
      <c r="C591" t="s">
        <v>13</v>
      </c>
      <c r="D591">
        <v>294</v>
      </c>
      <c r="E591" s="4">
        <f t="shared" si="18"/>
        <v>44159</v>
      </c>
      <c r="F591">
        <f t="shared" si="19"/>
        <v>870</v>
      </c>
    </row>
    <row r="592" spans="1:6" x14ac:dyDescent="0.55000000000000004">
      <c r="A592">
        <v>8.1715804350956923E+18</v>
      </c>
      <c r="B592" t="s">
        <v>238</v>
      </c>
      <c r="C592" t="s">
        <v>13</v>
      </c>
      <c r="D592">
        <v>2970</v>
      </c>
      <c r="E592" s="4">
        <f t="shared" si="18"/>
        <v>44622</v>
      </c>
      <c r="F592">
        <f t="shared" si="19"/>
        <v>407</v>
      </c>
    </row>
    <row r="593" spans="1:6" x14ac:dyDescent="0.55000000000000004">
      <c r="A593">
        <v>1.8137111385135651E+19</v>
      </c>
      <c r="B593" t="s">
        <v>491</v>
      </c>
      <c r="C593" t="s">
        <v>7</v>
      </c>
      <c r="D593">
        <v>99</v>
      </c>
      <c r="E593" s="4">
        <f t="shared" si="18"/>
        <v>43832</v>
      </c>
      <c r="F593">
        <f t="shared" si="19"/>
        <v>1197</v>
      </c>
    </row>
    <row r="594" spans="1:6" x14ac:dyDescent="0.55000000000000004">
      <c r="A594">
        <v>1.0033077588166869E+19</v>
      </c>
      <c r="B594" t="s">
        <v>492</v>
      </c>
      <c r="C594" t="s">
        <v>10</v>
      </c>
      <c r="D594">
        <v>199</v>
      </c>
      <c r="E594" s="4">
        <f t="shared" si="18"/>
        <v>44710</v>
      </c>
      <c r="F594">
        <f t="shared" si="19"/>
        <v>319</v>
      </c>
    </row>
    <row r="595" spans="1:6" x14ac:dyDescent="0.55000000000000004">
      <c r="A595">
        <v>1.83139076252951E+19</v>
      </c>
      <c r="B595" t="s">
        <v>493</v>
      </c>
      <c r="C595" t="s">
        <v>7</v>
      </c>
      <c r="D595">
        <v>247</v>
      </c>
      <c r="E595" s="4">
        <f t="shared" si="18"/>
        <v>43747</v>
      </c>
      <c r="F595">
        <f t="shared" si="19"/>
        <v>1282</v>
      </c>
    </row>
    <row r="596" spans="1:6" x14ac:dyDescent="0.55000000000000004">
      <c r="A596">
        <v>9.6644451978526269E+18</v>
      </c>
      <c r="B596" t="s">
        <v>494</v>
      </c>
      <c r="C596" t="s">
        <v>10</v>
      </c>
      <c r="D596">
        <v>149</v>
      </c>
      <c r="E596" s="4">
        <f t="shared" si="18"/>
        <v>44891</v>
      </c>
      <c r="F596">
        <f t="shared" si="19"/>
        <v>138</v>
      </c>
    </row>
    <row r="597" spans="1:6" x14ac:dyDescent="0.55000000000000004">
      <c r="A597">
        <v>1.25975856000808E+19</v>
      </c>
      <c r="B597" t="s">
        <v>495</v>
      </c>
      <c r="C597" t="s">
        <v>13</v>
      </c>
      <c r="D597">
        <v>1009</v>
      </c>
      <c r="E597" s="4">
        <f t="shared" si="18"/>
        <v>44323</v>
      </c>
      <c r="F597">
        <f t="shared" si="19"/>
        <v>706</v>
      </c>
    </row>
    <row r="598" spans="1:6" x14ac:dyDescent="0.55000000000000004">
      <c r="A598">
        <v>2.3287859527018061E+18</v>
      </c>
      <c r="B598" t="s">
        <v>496</v>
      </c>
      <c r="C598" t="s">
        <v>13</v>
      </c>
      <c r="D598">
        <v>964</v>
      </c>
      <c r="E598" s="4">
        <f t="shared" si="18"/>
        <v>44968</v>
      </c>
      <c r="F598">
        <f t="shared" si="19"/>
        <v>61</v>
      </c>
    </row>
    <row r="599" spans="1:6" x14ac:dyDescent="0.55000000000000004">
      <c r="A599">
        <v>1.3812641732678619E+19</v>
      </c>
      <c r="B599" t="s">
        <v>425</v>
      </c>
      <c r="C599" t="s">
        <v>10</v>
      </c>
      <c r="D599">
        <v>159</v>
      </c>
      <c r="E599" s="4">
        <f t="shared" si="18"/>
        <v>44096</v>
      </c>
      <c r="F599">
        <f t="shared" si="19"/>
        <v>933</v>
      </c>
    </row>
    <row r="600" spans="1:6" x14ac:dyDescent="0.55000000000000004">
      <c r="A600">
        <v>1.0094740595714761E+19</v>
      </c>
      <c r="B600" t="s">
        <v>201</v>
      </c>
      <c r="C600" t="s">
        <v>10</v>
      </c>
      <c r="D600">
        <v>270</v>
      </c>
      <c r="E600" s="4">
        <f t="shared" si="18"/>
        <v>44715</v>
      </c>
      <c r="F600">
        <f t="shared" si="19"/>
        <v>314</v>
      </c>
    </row>
    <row r="601" spans="1:6" x14ac:dyDescent="0.55000000000000004">
      <c r="A601">
        <v>1.436989293562307E+19</v>
      </c>
      <c r="B601" t="s">
        <v>364</v>
      </c>
      <c r="C601" t="s">
        <v>10</v>
      </c>
      <c r="D601">
        <v>504</v>
      </c>
      <c r="E601" s="4">
        <f t="shared" si="18"/>
        <v>44668</v>
      </c>
      <c r="F601">
        <f t="shared" si="19"/>
        <v>361</v>
      </c>
    </row>
    <row r="602" spans="1:6" x14ac:dyDescent="0.55000000000000004">
      <c r="A602">
        <v>1.3198046627891401E+19</v>
      </c>
      <c r="B602" t="s">
        <v>497</v>
      </c>
      <c r="C602" t="s">
        <v>13</v>
      </c>
      <c r="D602">
        <v>1175</v>
      </c>
      <c r="E602" s="4">
        <f t="shared" si="18"/>
        <v>44676</v>
      </c>
      <c r="F602">
        <f t="shared" si="19"/>
        <v>353</v>
      </c>
    </row>
    <row r="603" spans="1:6" x14ac:dyDescent="0.55000000000000004">
      <c r="A603">
        <v>1.681618764775117E+19</v>
      </c>
      <c r="B603" t="s">
        <v>498</v>
      </c>
      <c r="C603" t="s">
        <v>7</v>
      </c>
      <c r="D603">
        <v>0</v>
      </c>
      <c r="E603" s="4">
        <f t="shared" si="18"/>
        <v>43913</v>
      </c>
      <c r="F603">
        <f t="shared" si="19"/>
        <v>1116</v>
      </c>
    </row>
    <row r="604" spans="1:6" x14ac:dyDescent="0.55000000000000004">
      <c r="A604">
        <v>2.3946474641006162E+18</v>
      </c>
      <c r="B604" t="s">
        <v>499</v>
      </c>
      <c r="C604" t="s">
        <v>7</v>
      </c>
      <c r="D604">
        <v>803</v>
      </c>
      <c r="E604" s="4">
        <f t="shared" si="18"/>
        <v>44109</v>
      </c>
      <c r="F604">
        <f t="shared" si="19"/>
        <v>920</v>
      </c>
    </row>
    <row r="605" spans="1:6" x14ac:dyDescent="0.55000000000000004">
      <c r="A605">
        <v>1.8095816446598441E+19</v>
      </c>
      <c r="B605" t="s">
        <v>500</v>
      </c>
      <c r="C605" t="s">
        <v>7</v>
      </c>
      <c r="D605">
        <v>72</v>
      </c>
      <c r="E605" s="4">
        <f t="shared" si="18"/>
        <v>43781</v>
      </c>
      <c r="F605">
        <f t="shared" si="19"/>
        <v>1248</v>
      </c>
    </row>
    <row r="606" spans="1:6" x14ac:dyDescent="0.55000000000000004">
      <c r="A606">
        <v>6.3662245030475868E+18</v>
      </c>
      <c r="B606" t="s">
        <v>501</v>
      </c>
      <c r="C606" t="s">
        <v>26</v>
      </c>
      <c r="D606">
        <v>502</v>
      </c>
      <c r="E606" s="4">
        <f t="shared" si="18"/>
        <v>43819</v>
      </c>
      <c r="F606">
        <f t="shared" si="19"/>
        <v>1210</v>
      </c>
    </row>
    <row r="607" spans="1:6" x14ac:dyDescent="0.55000000000000004">
      <c r="A607">
        <v>4.4418718641919068E+18</v>
      </c>
      <c r="B607" t="s">
        <v>502</v>
      </c>
      <c r="C607" t="s">
        <v>13</v>
      </c>
      <c r="D607">
        <v>193</v>
      </c>
      <c r="E607" s="4">
        <f t="shared" si="18"/>
        <v>44162</v>
      </c>
      <c r="F607">
        <f t="shared" si="19"/>
        <v>867</v>
      </c>
    </row>
    <row r="608" spans="1:6" x14ac:dyDescent="0.55000000000000004">
      <c r="A608">
        <v>1.14714685135289E+19</v>
      </c>
      <c r="B608" t="s">
        <v>503</v>
      </c>
      <c r="C608" t="s">
        <v>46</v>
      </c>
      <c r="D608">
        <v>1227</v>
      </c>
      <c r="E608" s="4">
        <f t="shared" si="18"/>
        <v>44480</v>
      </c>
      <c r="F608">
        <f t="shared" si="19"/>
        <v>549</v>
      </c>
    </row>
    <row r="609" spans="1:6" x14ac:dyDescent="0.55000000000000004">
      <c r="A609">
        <v>4.4937326221003612E+18</v>
      </c>
      <c r="B609" t="s">
        <v>504</v>
      </c>
      <c r="C609" t="s">
        <v>10</v>
      </c>
      <c r="D609">
        <v>146</v>
      </c>
      <c r="E609" s="4">
        <f t="shared" si="18"/>
        <v>43844</v>
      </c>
      <c r="F609">
        <f t="shared" si="19"/>
        <v>1185</v>
      </c>
    </row>
    <row r="610" spans="1:6" x14ac:dyDescent="0.55000000000000004">
      <c r="A610">
        <v>1.4861461294758699E+19</v>
      </c>
      <c r="B610" t="s">
        <v>362</v>
      </c>
      <c r="C610" t="s">
        <v>7</v>
      </c>
      <c r="D610">
        <v>846</v>
      </c>
      <c r="E610" s="4">
        <f t="shared" si="18"/>
        <v>44164</v>
      </c>
      <c r="F610">
        <f t="shared" si="19"/>
        <v>865</v>
      </c>
    </row>
    <row r="611" spans="1:6" x14ac:dyDescent="0.55000000000000004">
      <c r="A611">
        <v>1.714029759982669E+19</v>
      </c>
      <c r="B611" t="s">
        <v>505</v>
      </c>
      <c r="C611" t="s">
        <v>13</v>
      </c>
      <c r="D611">
        <v>660</v>
      </c>
      <c r="E611" s="4">
        <f t="shared" si="18"/>
        <v>44548</v>
      </c>
      <c r="F611">
        <f t="shared" si="19"/>
        <v>481</v>
      </c>
    </row>
    <row r="612" spans="1:6" x14ac:dyDescent="0.55000000000000004">
      <c r="A612">
        <v>1.728308851418914E+19</v>
      </c>
      <c r="B612" t="s">
        <v>506</v>
      </c>
      <c r="C612" t="s">
        <v>7</v>
      </c>
      <c r="D612">
        <v>2520</v>
      </c>
      <c r="E612" s="4">
        <f t="shared" si="18"/>
        <v>44123</v>
      </c>
      <c r="F612">
        <f t="shared" si="19"/>
        <v>906</v>
      </c>
    </row>
    <row r="613" spans="1:6" x14ac:dyDescent="0.55000000000000004">
      <c r="A613">
        <v>1.7195823753244791E+19</v>
      </c>
      <c r="B613" t="s">
        <v>429</v>
      </c>
      <c r="C613" t="s">
        <v>7</v>
      </c>
      <c r="D613">
        <v>599</v>
      </c>
      <c r="E613" s="4">
        <f t="shared" si="18"/>
        <v>44571</v>
      </c>
      <c r="F613">
        <f t="shared" si="19"/>
        <v>458</v>
      </c>
    </row>
    <row r="614" spans="1:6" x14ac:dyDescent="0.55000000000000004">
      <c r="A614">
        <v>1.468306835061665E+19</v>
      </c>
      <c r="B614" t="s">
        <v>507</v>
      </c>
      <c r="C614" t="s">
        <v>13</v>
      </c>
      <c r="D614">
        <v>678</v>
      </c>
      <c r="E614" s="4">
        <f t="shared" si="18"/>
        <v>44581</v>
      </c>
      <c r="F614">
        <f t="shared" si="19"/>
        <v>448</v>
      </c>
    </row>
    <row r="615" spans="1:6" x14ac:dyDescent="0.55000000000000004">
      <c r="A615">
        <v>2.8520025775292242E+18</v>
      </c>
      <c r="B615" t="s">
        <v>494</v>
      </c>
      <c r="C615" t="s">
        <v>5</v>
      </c>
      <c r="D615">
        <v>990</v>
      </c>
      <c r="E615" s="4">
        <f t="shared" si="18"/>
        <v>44891</v>
      </c>
      <c r="F615">
        <f t="shared" si="19"/>
        <v>138</v>
      </c>
    </row>
    <row r="616" spans="1:6" x14ac:dyDescent="0.55000000000000004">
      <c r="A616">
        <v>8.934561437004929E+18</v>
      </c>
      <c r="B616" t="s">
        <v>411</v>
      </c>
      <c r="C616" t="s">
        <v>13</v>
      </c>
      <c r="D616">
        <v>1598</v>
      </c>
      <c r="E616" s="4">
        <f t="shared" si="18"/>
        <v>44625</v>
      </c>
      <c r="F616">
        <f t="shared" si="19"/>
        <v>404</v>
      </c>
    </row>
    <row r="617" spans="1:6" x14ac:dyDescent="0.55000000000000004">
      <c r="A617">
        <v>1.2805386747322821E+19</v>
      </c>
      <c r="B617" t="s">
        <v>508</v>
      </c>
      <c r="C617" t="s">
        <v>13</v>
      </c>
      <c r="D617">
        <v>564</v>
      </c>
      <c r="E617" s="4">
        <f t="shared" si="18"/>
        <v>44886</v>
      </c>
      <c r="F617">
        <f t="shared" si="19"/>
        <v>143</v>
      </c>
    </row>
    <row r="618" spans="1:6" x14ac:dyDescent="0.55000000000000004">
      <c r="A618">
        <v>5.3973038049061745E+18</v>
      </c>
      <c r="B618" t="s">
        <v>509</v>
      </c>
      <c r="C618" t="s">
        <v>510</v>
      </c>
      <c r="D618">
        <v>2245</v>
      </c>
      <c r="E618" s="4">
        <f t="shared" si="18"/>
        <v>42947</v>
      </c>
      <c r="F618">
        <f t="shared" si="19"/>
        <v>2082</v>
      </c>
    </row>
    <row r="619" spans="1:6" x14ac:dyDescent="0.55000000000000004">
      <c r="A619">
        <v>1.3007881861818691E+18</v>
      </c>
      <c r="B619" t="s">
        <v>511</v>
      </c>
      <c r="C619" t="s">
        <v>10</v>
      </c>
      <c r="D619">
        <v>1937</v>
      </c>
      <c r="E619" s="4">
        <f t="shared" si="18"/>
        <v>44577</v>
      </c>
      <c r="F619">
        <f t="shared" si="19"/>
        <v>452</v>
      </c>
    </row>
    <row r="620" spans="1:6" x14ac:dyDescent="0.55000000000000004">
      <c r="A620">
        <v>1.37766412219519E+19</v>
      </c>
      <c r="B620" t="s">
        <v>302</v>
      </c>
      <c r="C620" t="s">
        <v>7</v>
      </c>
      <c r="D620">
        <v>190</v>
      </c>
      <c r="E620" s="4">
        <f t="shared" si="18"/>
        <v>44997</v>
      </c>
      <c r="F620">
        <f t="shared" si="19"/>
        <v>32</v>
      </c>
    </row>
    <row r="621" spans="1:6" x14ac:dyDescent="0.55000000000000004">
      <c r="A621">
        <v>1.494118160307739E+19</v>
      </c>
      <c r="B621" t="s">
        <v>14</v>
      </c>
      <c r="C621" t="s">
        <v>13</v>
      </c>
      <c r="D621">
        <v>1186</v>
      </c>
      <c r="E621" s="4">
        <f t="shared" si="18"/>
        <v>44832</v>
      </c>
      <c r="F621">
        <f t="shared" si="19"/>
        <v>197</v>
      </c>
    </row>
    <row r="622" spans="1:6" x14ac:dyDescent="0.55000000000000004">
      <c r="A622">
        <v>6.0965140272997366E+18</v>
      </c>
      <c r="B622" t="s">
        <v>512</v>
      </c>
      <c r="C622" t="s">
        <v>10</v>
      </c>
      <c r="D622">
        <v>987</v>
      </c>
      <c r="E622" s="4">
        <f t="shared" si="18"/>
        <v>44839</v>
      </c>
      <c r="F622">
        <f t="shared" si="19"/>
        <v>190</v>
      </c>
    </row>
    <row r="623" spans="1:6" x14ac:dyDescent="0.55000000000000004">
      <c r="A623">
        <v>5.9513242594965381E+18</v>
      </c>
      <c r="B623" t="s">
        <v>513</v>
      </c>
      <c r="C623" t="s">
        <v>13</v>
      </c>
      <c r="D623">
        <v>596</v>
      </c>
      <c r="E623" s="4">
        <f t="shared" si="18"/>
        <v>44452</v>
      </c>
      <c r="F623">
        <f t="shared" si="19"/>
        <v>577</v>
      </c>
    </row>
    <row r="624" spans="1:6" x14ac:dyDescent="0.55000000000000004">
      <c r="A624">
        <v>1.61628271192128E+19</v>
      </c>
      <c r="B624" t="s">
        <v>514</v>
      </c>
      <c r="C624" t="s">
        <v>10</v>
      </c>
      <c r="D624">
        <v>515</v>
      </c>
      <c r="E624" s="4">
        <f t="shared" si="18"/>
        <v>43843</v>
      </c>
      <c r="F624">
        <f t="shared" si="19"/>
        <v>1186</v>
      </c>
    </row>
    <row r="625" spans="1:6" x14ac:dyDescent="0.55000000000000004">
      <c r="A625">
        <v>4.8396436690101975E+18</v>
      </c>
      <c r="B625" t="s">
        <v>6</v>
      </c>
      <c r="C625" t="s">
        <v>10</v>
      </c>
      <c r="D625">
        <v>1539</v>
      </c>
      <c r="E625" s="4">
        <f t="shared" si="18"/>
        <v>44591</v>
      </c>
      <c r="F625">
        <f t="shared" si="19"/>
        <v>438</v>
      </c>
    </row>
    <row r="626" spans="1:6" x14ac:dyDescent="0.55000000000000004">
      <c r="A626">
        <v>9.5486237307164324E+18</v>
      </c>
      <c r="B626" t="s">
        <v>194</v>
      </c>
      <c r="C626" t="s">
        <v>10</v>
      </c>
      <c r="D626">
        <v>960</v>
      </c>
      <c r="E626" s="4">
        <f t="shared" si="18"/>
        <v>44988</v>
      </c>
      <c r="F626">
        <f t="shared" si="19"/>
        <v>41</v>
      </c>
    </row>
    <row r="627" spans="1:6" x14ac:dyDescent="0.55000000000000004">
      <c r="A627">
        <v>3.91791813032032E+18</v>
      </c>
      <c r="B627" t="s">
        <v>298</v>
      </c>
      <c r="C627" t="s">
        <v>13</v>
      </c>
      <c r="D627">
        <v>142</v>
      </c>
      <c r="E627" s="4">
        <f t="shared" si="18"/>
        <v>44682</v>
      </c>
      <c r="F627">
        <f t="shared" si="19"/>
        <v>347</v>
      </c>
    </row>
    <row r="628" spans="1:6" x14ac:dyDescent="0.55000000000000004">
      <c r="A628">
        <v>7.8829897884774124E+18</v>
      </c>
      <c r="B628" t="s">
        <v>515</v>
      </c>
      <c r="C628" t="s">
        <v>13</v>
      </c>
      <c r="D628">
        <v>1543</v>
      </c>
      <c r="E628" s="4">
        <f t="shared" si="18"/>
        <v>44521</v>
      </c>
      <c r="F628">
        <f t="shared" si="19"/>
        <v>508</v>
      </c>
    </row>
    <row r="629" spans="1:6" x14ac:dyDescent="0.55000000000000004">
      <c r="A629">
        <v>9.2042145550697564E+18</v>
      </c>
      <c r="B629" t="s">
        <v>516</v>
      </c>
      <c r="C629" t="s">
        <v>13</v>
      </c>
      <c r="D629">
        <v>1688</v>
      </c>
      <c r="E629" s="4">
        <f t="shared" si="18"/>
        <v>44665</v>
      </c>
      <c r="F629">
        <f t="shared" si="19"/>
        <v>364</v>
      </c>
    </row>
    <row r="630" spans="1:6" x14ac:dyDescent="0.55000000000000004">
      <c r="A630">
        <v>1.482147953417866E+18</v>
      </c>
      <c r="B630" t="s">
        <v>517</v>
      </c>
      <c r="C630" t="s">
        <v>13</v>
      </c>
      <c r="D630">
        <v>1617</v>
      </c>
      <c r="E630" s="4">
        <f t="shared" si="18"/>
        <v>44015</v>
      </c>
      <c r="F630">
        <f t="shared" si="19"/>
        <v>1014</v>
      </c>
    </row>
    <row r="631" spans="1:6" x14ac:dyDescent="0.55000000000000004">
      <c r="A631">
        <v>9.7042332944123105E+18</v>
      </c>
      <c r="B631" t="s">
        <v>518</v>
      </c>
      <c r="C631" t="s">
        <v>7</v>
      </c>
      <c r="D631">
        <v>9690</v>
      </c>
      <c r="E631" s="4">
        <f t="shared" si="18"/>
        <v>44801</v>
      </c>
      <c r="F631">
        <f t="shared" si="19"/>
        <v>228</v>
      </c>
    </row>
    <row r="632" spans="1:6" x14ac:dyDescent="0.55000000000000004">
      <c r="A632">
        <v>1.3197254341847869E+19</v>
      </c>
      <c r="B632" t="s">
        <v>519</v>
      </c>
      <c r="C632" t="s">
        <v>46</v>
      </c>
      <c r="D632">
        <v>173</v>
      </c>
      <c r="E632" s="4">
        <f t="shared" si="18"/>
        <v>44587</v>
      </c>
      <c r="F632">
        <f t="shared" si="19"/>
        <v>442</v>
      </c>
    </row>
    <row r="633" spans="1:6" x14ac:dyDescent="0.55000000000000004">
      <c r="A633">
        <v>1.5935314464390359E+18</v>
      </c>
      <c r="B633" t="s">
        <v>520</v>
      </c>
      <c r="C633" t="s">
        <v>13</v>
      </c>
      <c r="D633">
        <v>2570</v>
      </c>
      <c r="E633" s="4">
        <f t="shared" si="18"/>
        <v>44412</v>
      </c>
      <c r="F633">
        <f t="shared" si="19"/>
        <v>617</v>
      </c>
    </row>
    <row r="634" spans="1:6" x14ac:dyDescent="0.55000000000000004">
      <c r="A634">
        <v>1.673274317856599E+19</v>
      </c>
      <c r="B634" t="s">
        <v>51</v>
      </c>
      <c r="C634" t="s">
        <v>13</v>
      </c>
      <c r="D634">
        <v>3030</v>
      </c>
      <c r="E634" s="4">
        <f t="shared" si="18"/>
        <v>44310</v>
      </c>
      <c r="F634">
        <f t="shared" si="19"/>
        <v>719</v>
      </c>
    </row>
    <row r="635" spans="1:6" x14ac:dyDescent="0.55000000000000004">
      <c r="A635">
        <v>2.4494809714764979E+18</v>
      </c>
      <c r="B635" t="s">
        <v>521</v>
      </c>
      <c r="C635" t="s">
        <v>10</v>
      </c>
      <c r="D635">
        <v>3734</v>
      </c>
      <c r="E635" s="4">
        <f t="shared" si="18"/>
        <v>44550</v>
      </c>
      <c r="F635">
        <f t="shared" si="19"/>
        <v>479</v>
      </c>
    </row>
    <row r="636" spans="1:6" x14ac:dyDescent="0.55000000000000004">
      <c r="A636">
        <v>3.2482827640987121E+18</v>
      </c>
      <c r="B636" t="s">
        <v>263</v>
      </c>
      <c r="C636" t="s">
        <v>13</v>
      </c>
      <c r="D636">
        <v>4971</v>
      </c>
      <c r="E636" s="4">
        <f t="shared" si="18"/>
        <v>44549</v>
      </c>
      <c r="F636">
        <f t="shared" si="19"/>
        <v>480</v>
      </c>
    </row>
    <row r="637" spans="1:6" x14ac:dyDescent="0.55000000000000004">
      <c r="A637">
        <v>1.776693575630839E+18</v>
      </c>
      <c r="B637" t="s">
        <v>522</v>
      </c>
      <c r="C637" t="s">
        <v>26</v>
      </c>
      <c r="D637">
        <v>229</v>
      </c>
      <c r="E637" s="4">
        <f t="shared" si="18"/>
        <v>44815</v>
      </c>
      <c r="F637">
        <f t="shared" si="19"/>
        <v>214</v>
      </c>
    </row>
    <row r="638" spans="1:6" x14ac:dyDescent="0.55000000000000004">
      <c r="A638">
        <v>5.9432810329175511E+18</v>
      </c>
      <c r="B638" t="s">
        <v>253</v>
      </c>
      <c r="C638" t="s">
        <v>13</v>
      </c>
      <c r="D638">
        <v>799</v>
      </c>
      <c r="E638" s="4">
        <f t="shared" si="18"/>
        <v>44376</v>
      </c>
      <c r="F638">
        <f t="shared" si="19"/>
        <v>653</v>
      </c>
    </row>
    <row r="639" spans="1:6" x14ac:dyDescent="0.55000000000000004">
      <c r="A639">
        <v>1.2530939074231751E+19</v>
      </c>
      <c r="B639" t="s">
        <v>523</v>
      </c>
      <c r="C639" t="s">
        <v>10</v>
      </c>
      <c r="D639">
        <v>1669</v>
      </c>
      <c r="E639" s="4">
        <f t="shared" si="18"/>
        <v>43893</v>
      </c>
      <c r="F639">
        <f t="shared" si="19"/>
        <v>1136</v>
      </c>
    </row>
    <row r="640" spans="1:6" x14ac:dyDescent="0.55000000000000004">
      <c r="A640">
        <v>8.0737938358047109E+18</v>
      </c>
      <c r="B640" t="s">
        <v>524</v>
      </c>
      <c r="C640" t="s">
        <v>13</v>
      </c>
      <c r="D640">
        <v>1686</v>
      </c>
      <c r="E640" s="4">
        <f t="shared" si="18"/>
        <v>43852</v>
      </c>
      <c r="F640">
        <f t="shared" si="19"/>
        <v>1177</v>
      </c>
    </row>
    <row r="641" spans="1:6" x14ac:dyDescent="0.55000000000000004">
      <c r="A641">
        <v>5.1490237090920947E+17</v>
      </c>
      <c r="B641" t="s">
        <v>525</v>
      </c>
      <c r="C641" t="s">
        <v>7</v>
      </c>
      <c r="D641">
        <v>4820</v>
      </c>
      <c r="E641" s="4">
        <f t="shared" si="18"/>
        <v>44475</v>
      </c>
      <c r="F641">
        <f t="shared" si="19"/>
        <v>554</v>
      </c>
    </row>
    <row r="642" spans="1:6" x14ac:dyDescent="0.55000000000000004">
      <c r="A642">
        <v>4.7001543663819756E+18</v>
      </c>
      <c r="B642" t="s">
        <v>526</v>
      </c>
      <c r="C642" t="s">
        <v>13</v>
      </c>
      <c r="D642">
        <v>2760</v>
      </c>
      <c r="E642" s="4">
        <f t="shared" si="18"/>
        <v>44299</v>
      </c>
      <c r="F642">
        <f t="shared" si="19"/>
        <v>730</v>
      </c>
    </row>
    <row r="643" spans="1:6" x14ac:dyDescent="0.55000000000000004">
      <c r="A643">
        <v>1.633488305632271E+19</v>
      </c>
      <c r="B643" t="s">
        <v>63</v>
      </c>
      <c r="C643" t="s">
        <v>10</v>
      </c>
      <c r="D643">
        <v>1680</v>
      </c>
      <c r="E643" s="4">
        <f t="shared" ref="E643:E706" si="20">DATEVALUE(B643)</f>
        <v>45005</v>
      </c>
      <c r="F643">
        <f t="shared" ref="F643:F706" si="21">$H$1-E643</f>
        <v>24</v>
      </c>
    </row>
    <row r="644" spans="1:6" x14ac:dyDescent="0.55000000000000004">
      <c r="A644">
        <v>1.4521807807988369E+19</v>
      </c>
      <c r="B644" t="s">
        <v>281</v>
      </c>
      <c r="C644" t="s">
        <v>5</v>
      </c>
      <c r="D644">
        <v>5842</v>
      </c>
      <c r="E644" s="4">
        <f t="shared" si="20"/>
        <v>44833</v>
      </c>
      <c r="F644">
        <f t="shared" si="21"/>
        <v>196</v>
      </c>
    </row>
    <row r="645" spans="1:6" x14ac:dyDescent="0.55000000000000004">
      <c r="A645">
        <v>9.6483656327770194E+18</v>
      </c>
      <c r="B645" t="s">
        <v>520</v>
      </c>
      <c r="C645" t="s">
        <v>10</v>
      </c>
      <c r="D645">
        <v>170</v>
      </c>
      <c r="E645" s="4">
        <f t="shared" si="20"/>
        <v>44412</v>
      </c>
      <c r="F645">
        <f t="shared" si="21"/>
        <v>617</v>
      </c>
    </row>
    <row r="646" spans="1:6" x14ac:dyDescent="0.55000000000000004">
      <c r="A646">
        <v>1.677269360641493E+19</v>
      </c>
      <c r="B646" t="s">
        <v>260</v>
      </c>
      <c r="C646" t="s">
        <v>50</v>
      </c>
      <c r="D646">
        <v>59</v>
      </c>
      <c r="E646" s="4">
        <f t="shared" si="20"/>
        <v>44219</v>
      </c>
      <c r="F646">
        <f t="shared" si="21"/>
        <v>810</v>
      </c>
    </row>
    <row r="647" spans="1:6" x14ac:dyDescent="0.55000000000000004">
      <c r="A647">
        <v>9.946256903831636E+18</v>
      </c>
      <c r="B647" t="s">
        <v>527</v>
      </c>
      <c r="C647" t="s">
        <v>50</v>
      </c>
      <c r="D647">
        <v>141</v>
      </c>
      <c r="E647" s="4">
        <f t="shared" si="20"/>
        <v>44643</v>
      </c>
      <c r="F647">
        <f t="shared" si="21"/>
        <v>386</v>
      </c>
    </row>
    <row r="648" spans="1:6" x14ac:dyDescent="0.55000000000000004">
      <c r="A648">
        <v>9.6234067619688038E+18</v>
      </c>
      <c r="B648" t="s">
        <v>528</v>
      </c>
      <c r="C648" t="s">
        <v>26</v>
      </c>
      <c r="D648">
        <v>734</v>
      </c>
      <c r="E648" s="4">
        <f t="shared" si="20"/>
        <v>44761</v>
      </c>
      <c r="F648">
        <f t="shared" si="21"/>
        <v>268</v>
      </c>
    </row>
    <row r="649" spans="1:6" x14ac:dyDescent="0.55000000000000004">
      <c r="A649">
        <v>1.6629909964198941E+19</v>
      </c>
      <c r="B649" t="s">
        <v>524</v>
      </c>
      <c r="C649" t="s">
        <v>7</v>
      </c>
      <c r="D649">
        <v>17</v>
      </c>
      <c r="E649" s="4">
        <f t="shared" si="20"/>
        <v>43852</v>
      </c>
      <c r="F649">
        <f t="shared" si="21"/>
        <v>1177</v>
      </c>
    </row>
    <row r="650" spans="1:6" x14ac:dyDescent="0.55000000000000004">
      <c r="A650">
        <v>1.302438137576739E+19</v>
      </c>
      <c r="B650" t="s">
        <v>529</v>
      </c>
      <c r="C650" t="s">
        <v>13</v>
      </c>
      <c r="D650">
        <v>886</v>
      </c>
      <c r="E650" s="4">
        <f t="shared" si="20"/>
        <v>44980</v>
      </c>
      <c r="F650">
        <f t="shared" si="21"/>
        <v>49</v>
      </c>
    </row>
    <row r="651" spans="1:6" x14ac:dyDescent="0.55000000000000004">
      <c r="A651">
        <v>9.2940510925032448E+18</v>
      </c>
      <c r="B651" t="s">
        <v>473</v>
      </c>
      <c r="C651" t="s">
        <v>50</v>
      </c>
      <c r="D651">
        <v>183</v>
      </c>
      <c r="E651" s="4">
        <f t="shared" si="20"/>
        <v>44893</v>
      </c>
      <c r="F651">
        <f t="shared" si="21"/>
        <v>136</v>
      </c>
    </row>
    <row r="652" spans="1:6" x14ac:dyDescent="0.55000000000000004">
      <c r="A652">
        <v>1.4510001291487109E+19</v>
      </c>
      <c r="B652" t="s">
        <v>530</v>
      </c>
      <c r="C652" t="s">
        <v>10</v>
      </c>
      <c r="D652">
        <v>1850</v>
      </c>
      <c r="E652" s="4">
        <f t="shared" si="20"/>
        <v>44509</v>
      </c>
      <c r="F652">
        <f t="shared" si="21"/>
        <v>520</v>
      </c>
    </row>
    <row r="653" spans="1:6" x14ac:dyDescent="0.55000000000000004">
      <c r="A653">
        <v>1.832646097835544E+19</v>
      </c>
      <c r="B653" t="s">
        <v>531</v>
      </c>
      <c r="C653" t="s">
        <v>10</v>
      </c>
      <c r="D653">
        <v>10608</v>
      </c>
      <c r="E653" s="4">
        <f t="shared" si="20"/>
        <v>45028</v>
      </c>
      <c r="F653">
        <f t="shared" si="21"/>
        <v>1</v>
      </c>
    </row>
    <row r="654" spans="1:6" x14ac:dyDescent="0.55000000000000004">
      <c r="A654">
        <v>3.5379622459849021E+18</v>
      </c>
      <c r="B654" t="s">
        <v>487</v>
      </c>
      <c r="C654" t="s">
        <v>10</v>
      </c>
      <c r="D654">
        <v>879</v>
      </c>
      <c r="E654" s="4">
        <f t="shared" si="20"/>
        <v>44388</v>
      </c>
      <c r="F654">
        <f t="shared" si="21"/>
        <v>641</v>
      </c>
    </row>
    <row r="655" spans="1:6" x14ac:dyDescent="0.55000000000000004">
      <c r="A655">
        <v>1.247375959022874E+19</v>
      </c>
      <c r="B655" t="s">
        <v>532</v>
      </c>
      <c r="C655" t="s">
        <v>7</v>
      </c>
      <c r="D655">
        <v>99</v>
      </c>
      <c r="E655" s="4">
        <f t="shared" si="20"/>
        <v>44524</v>
      </c>
      <c r="F655">
        <f t="shared" si="21"/>
        <v>505</v>
      </c>
    </row>
    <row r="656" spans="1:6" x14ac:dyDescent="0.55000000000000004">
      <c r="A656">
        <v>3.263288518696343E+18</v>
      </c>
      <c r="B656" t="s">
        <v>130</v>
      </c>
      <c r="C656" t="s">
        <v>7</v>
      </c>
      <c r="D656">
        <v>421</v>
      </c>
      <c r="E656" s="4">
        <f t="shared" si="20"/>
        <v>44627</v>
      </c>
      <c r="F656">
        <f t="shared" si="21"/>
        <v>402</v>
      </c>
    </row>
    <row r="657" spans="1:6" x14ac:dyDescent="0.55000000000000004">
      <c r="A657">
        <v>3.0632376063521802E+18</v>
      </c>
      <c r="B657" t="s">
        <v>533</v>
      </c>
      <c r="C657" t="s">
        <v>10</v>
      </c>
      <c r="D657">
        <v>1068</v>
      </c>
      <c r="E657" s="4">
        <f t="shared" si="20"/>
        <v>44924</v>
      </c>
      <c r="F657">
        <f t="shared" si="21"/>
        <v>105</v>
      </c>
    </row>
    <row r="658" spans="1:6" x14ac:dyDescent="0.55000000000000004">
      <c r="A658">
        <v>8.0070065705883238E+18</v>
      </c>
      <c r="B658" t="s">
        <v>288</v>
      </c>
      <c r="C658" t="s">
        <v>13</v>
      </c>
      <c r="D658">
        <v>288</v>
      </c>
      <c r="E658" s="4">
        <f t="shared" si="20"/>
        <v>43951</v>
      </c>
      <c r="F658">
        <f t="shared" si="21"/>
        <v>1078</v>
      </c>
    </row>
    <row r="659" spans="1:6" x14ac:dyDescent="0.55000000000000004">
      <c r="A659">
        <v>1.816587074405564E+19</v>
      </c>
      <c r="B659" t="s">
        <v>534</v>
      </c>
      <c r="C659" t="s">
        <v>10</v>
      </c>
      <c r="D659">
        <v>7740</v>
      </c>
      <c r="E659" s="4">
        <f t="shared" si="20"/>
        <v>43743</v>
      </c>
      <c r="F659">
        <f t="shared" si="21"/>
        <v>1286</v>
      </c>
    </row>
    <row r="660" spans="1:6" x14ac:dyDescent="0.55000000000000004">
      <c r="A660">
        <v>4.5794481710770079E+18</v>
      </c>
      <c r="B660" t="s">
        <v>535</v>
      </c>
      <c r="C660" t="s">
        <v>10</v>
      </c>
      <c r="D660">
        <v>2440</v>
      </c>
      <c r="E660" s="4">
        <f t="shared" si="20"/>
        <v>44275</v>
      </c>
      <c r="F660">
        <f t="shared" si="21"/>
        <v>754</v>
      </c>
    </row>
    <row r="661" spans="1:6" x14ac:dyDescent="0.55000000000000004">
      <c r="A661">
        <v>8.0393233094696724E+18</v>
      </c>
      <c r="B661" t="s">
        <v>536</v>
      </c>
      <c r="C661" t="s">
        <v>13</v>
      </c>
      <c r="D661">
        <v>1793</v>
      </c>
      <c r="E661" s="4">
        <f t="shared" si="20"/>
        <v>44738</v>
      </c>
      <c r="F661">
        <f t="shared" si="21"/>
        <v>291</v>
      </c>
    </row>
    <row r="662" spans="1:6" x14ac:dyDescent="0.55000000000000004">
      <c r="A662">
        <v>3.3311643714163379E+18</v>
      </c>
      <c r="B662" t="s">
        <v>537</v>
      </c>
      <c r="C662" t="s">
        <v>10</v>
      </c>
      <c r="D662">
        <v>3290</v>
      </c>
      <c r="E662" s="4">
        <f t="shared" si="20"/>
        <v>44617</v>
      </c>
      <c r="F662">
        <f t="shared" si="21"/>
        <v>412</v>
      </c>
    </row>
    <row r="663" spans="1:6" x14ac:dyDescent="0.55000000000000004">
      <c r="A663">
        <v>1.4310111291417111E+19</v>
      </c>
      <c r="B663" t="s">
        <v>538</v>
      </c>
      <c r="C663" t="s">
        <v>50</v>
      </c>
      <c r="D663">
        <v>158</v>
      </c>
      <c r="E663" s="4">
        <f t="shared" si="20"/>
        <v>44712</v>
      </c>
      <c r="F663">
        <f t="shared" si="21"/>
        <v>317</v>
      </c>
    </row>
    <row r="664" spans="1:6" x14ac:dyDescent="0.55000000000000004">
      <c r="A664">
        <v>6.8089722655245609E+18</v>
      </c>
      <c r="B664" t="s">
        <v>539</v>
      </c>
      <c r="C664" t="s">
        <v>10</v>
      </c>
      <c r="D664">
        <v>21183</v>
      </c>
      <c r="E664" s="4">
        <f t="shared" si="20"/>
        <v>44305</v>
      </c>
      <c r="F664">
        <f t="shared" si="21"/>
        <v>724</v>
      </c>
    </row>
    <row r="665" spans="1:6" x14ac:dyDescent="0.55000000000000004">
      <c r="A665">
        <v>1.248812592215986E+19</v>
      </c>
      <c r="B665" t="s">
        <v>540</v>
      </c>
      <c r="C665" t="s">
        <v>13</v>
      </c>
      <c r="D665">
        <v>302</v>
      </c>
      <c r="E665" s="4">
        <f t="shared" si="20"/>
        <v>44436</v>
      </c>
      <c r="F665">
        <f t="shared" si="21"/>
        <v>593</v>
      </c>
    </row>
    <row r="666" spans="1:6" x14ac:dyDescent="0.55000000000000004">
      <c r="A666">
        <v>1.2563713193918501E+19</v>
      </c>
      <c r="B666" t="s">
        <v>414</v>
      </c>
      <c r="C666" t="s">
        <v>50</v>
      </c>
      <c r="D666">
        <v>53</v>
      </c>
      <c r="E666" s="4">
        <f t="shared" si="20"/>
        <v>44554</v>
      </c>
      <c r="F666">
        <f t="shared" si="21"/>
        <v>475</v>
      </c>
    </row>
    <row r="667" spans="1:6" x14ac:dyDescent="0.55000000000000004">
      <c r="A667">
        <v>1.790383277032789E+19</v>
      </c>
      <c r="B667" t="s">
        <v>541</v>
      </c>
      <c r="C667" t="s">
        <v>10</v>
      </c>
      <c r="D667">
        <v>238</v>
      </c>
      <c r="E667" s="4">
        <f t="shared" si="20"/>
        <v>44567</v>
      </c>
      <c r="F667">
        <f t="shared" si="21"/>
        <v>462</v>
      </c>
    </row>
    <row r="668" spans="1:6" x14ac:dyDescent="0.55000000000000004">
      <c r="A668">
        <v>7.2450631337090017E+18</v>
      </c>
      <c r="B668" t="s">
        <v>542</v>
      </c>
      <c r="C668" t="s">
        <v>13</v>
      </c>
      <c r="D668">
        <v>2584</v>
      </c>
      <c r="E668" s="4">
        <f t="shared" si="20"/>
        <v>44066</v>
      </c>
      <c r="F668">
        <f t="shared" si="21"/>
        <v>963</v>
      </c>
    </row>
    <row r="669" spans="1:6" x14ac:dyDescent="0.55000000000000004">
      <c r="A669">
        <v>1.7976821978033129E+19</v>
      </c>
      <c r="B669" t="s">
        <v>445</v>
      </c>
      <c r="C669" t="s">
        <v>10</v>
      </c>
      <c r="D669">
        <v>1197</v>
      </c>
      <c r="E669" s="4">
        <f t="shared" si="20"/>
        <v>44070</v>
      </c>
      <c r="F669">
        <f t="shared" si="21"/>
        <v>959</v>
      </c>
    </row>
    <row r="670" spans="1:6" x14ac:dyDescent="0.55000000000000004">
      <c r="A670">
        <v>1.1286749485820361E+19</v>
      </c>
      <c r="B670" t="s">
        <v>434</v>
      </c>
      <c r="C670" t="s">
        <v>13</v>
      </c>
      <c r="D670">
        <v>5016</v>
      </c>
      <c r="E670" s="4">
        <f t="shared" si="20"/>
        <v>44226</v>
      </c>
      <c r="F670">
        <f t="shared" si="21"/>
        <v>803</v>
      </c>
    </row>
    <row r="671" spans="1:6" x14ac:dyDescent="0.55000000000000004">
      <c r="A671">
        <v>5.5885706773209549E+18</v>
      </c>
      <c r="B671" t="s">
        <v>543</v>
      </c>
      <c r="C671" t="s">
        <v>10</v>
      </c>
      <c r="D671">
        <v>16368</v>
      </c>
      <c r="E671" s="4">
        <f t="shared" si="20"/>
        <v>44998</v>
      </c>
      <c r="F671">
        <f t="shared" si="21"/>
        <v>31</v>
      </c>
    </row>
    <row r="672" spans="1:6" x14ac:dyDescent="0.55000000000000004">
      <c r="A672">
        <v>1.411496331180091E+19</v>
      </c>
      <c r="B672" t="s">
        <v>390</v>
      </c>
      <c r="C672" t="s">
        <v>10</v>
      </c>
      <c r="D672">
        <v>2634</v>
      </c>
      <c r="E672" s="4">
        <f t="shared" si="20"/>
        <v>44885</v>
      </c>
      <c r="F672">
        <f t="shared" si="21"/>
        <v>144</v>
      </c>
    </row>
    <row r="673" spans="1:6" x14ac:dyDescent="0.55000000000000004">
      <c r="A673">
        <v>1.000893489261431E+19</v>
      </c>
      <c r="B673" t="s">
        <v>195</v>
      </c>
      <c r="C673" t="s">
        <v>10</v>
      </c>
      <c r="D673">
        <v>1434</v>
      </c>
      <c r="E673" s="4">
        <f t="shared" si="20"/>
        <v>44640</v>
      </c>
      <c r="F673">
        <f t="shared" si="21"/>
        <v>389</v>
      </c>
    </row>
    <row r="674" spans="1:6" x14ac:dyDescent="0.55000000000000004">
      <c r="A674">
        <v>5.5847640147339397E+18</v>
      </c>
      <c r="B674" t="s">
        <v>544</v>
      </c>
      <c r="C674" t="s">
        <v>10</v>
      </c>
      <c r="D674">
        <v>630</v>
      </c>
      <c r="E674" s="4">
        <f t="shared" si="20"/>
        <v>44217</v>
      </c>
      <c r="F674">
        <f t="shared" si="21"/>
        <v>812</v>
      </c>
    </row>
    <row r="675" spans="1:6" x14ac:dyDescent="0.55000000000000004">
      <c r="A675">
        <v>1.2716608980920001E+19</v>
      </c>
      <c r="B675" t="s">
        <v>545</v>
      </c>
      <c r="C675" t="s">
        <v>50</v>
      </c>
      <c r="D675">
        <v>53</v>
      </c>
      <c r="E675" s="4">
        <f t="shared" si="20"/>
        <v>44411</v>
      </c>
      <c r="F675">
        <f t="shared" si="21"/>
        <v>618</v>
      </c>
    </row>
    <row r="676" spans="1:6" x14ac:dyDescent="0.55000000000000004">
      <c r="A676">
        <v>8.012821087019391E+18</v>
      </c>
      <c r="B676" t="s">
        <v>546</v>
      </c>
      <c r="C676" t="s">
        <v>10</v>
      </c>
      <c r="D676">
        <v>1415</v>
      </c>
      <c r="E676" s="4">
        <f t="shared" si="20"/>
        <v>44679</v>
      </c>
      <c r="F676">
        <f t="shared" si="21"/>
        <v>350</v>
      </c>
    </row>
    <row r="677" spans="1:6" x14ac:dyDescent="0.55000000000000004">
      <c r="A677">
        <v>3.6054619238879939E+18</v>
      </c>
      <c r="B677" t="s">
        <v>547</v>
      </c>
      <c r="C677" t="s">
        <v>10</v>
      </c>
      <c r="D677">
        <v>696</v>
      </c>
      <c r="E677" s="4">
        <f t="shared" si="20"/>
        <v>44618</v>
      </c>
      <c r="F677">
        <f t="shared" si="21"/>
        <v>411</v>
      </c>
    </row>
    <row r="678" spans="1:6" x14ac:dyDescent="0.55000000000000004">
      <c r="A678">
        <v>1.02390262991266E+19</v>
      </c>
      <c r="B678" t="s">
        <v>548</v>
      </c>
      <c r="C678" t="s">
        <v>13</v>
      </c>
      <c r="D678">
        <v>1271</v>
      </c>
      <c r="E678" s="4">
        <f t="shared" si="20"/>
        <v>44778</v>
      </c>
      <c r="F678">
        <f t="shared" si="21"/>
        <v>251</v>
      </c>
    </row>
    <row r="679" spans="1:6" x14ac:dyDescent="0.55000000000000004">
      <c r="A679">
        <v>5.6099104682635295E+18</v>
      </c>
      <c r="B679" t="s">
        <v>293</v>
      </c>
      <c r="C679" t="s">
        <v>13</v>
      </c>
      <c r="D679">
        <v>1955</v>
      </c>
      <c r="E679" s="4">
        <f t="shared" si="20"/>
        <v>44598</v>
      </c>
      <c r="F679">
        <f t="shared" si="21"/>
        <v>431</v>
      </c>
    </row>
    <row r="680" spans="1:6" x14ac:dyDescent="0.55000000000000004">
      <c r="A680">
        <v>4.9043793651502182E+18</v>
      </c>
      <c r="B680" t="s">
        <v>90</v>
      </c>
      <c r="C680" t="s">
        <v>7</v>
      </c>
      <c r="D680">
        <v>1430</v>
      </c>
      <c r="E680" s="4">
        <f t="shared" si="20"/>
        <v>44899</v>
      </c>
      <c r="F680">
        <f t="shared" si="21"/>
        <v>130</v>
      </c>
    </row>
    <row r="681" spans="1:6" x14ac:dyDescent="0.55000000000000004">
      <c r="A681">
        <v>2.6856549616065859E+18</v>
      </c>
      <c r="B681" t="s">
        <v>549</v>
      </c>
      <c r="C681" t="s">
        <v>13</v>
      </c>
      <c r="D681">
        <v>2122</v>
      </c>
      <c r="E681" s="4">
        <f t="shared" si="20"/>
        <v>44912</v>
      </c>
      <c r="F681">
        <f t="shared" si="21"/>
        <v>117</v>
      </c>
    </row>
    <row r="682" spans="1:6" x14ac:dyDescent="0.55000000000000004">
      <c r="A682">
        <v>8.3047703636024269E+18</v>
      </c>
      <c r="B682" t="s">
        <v>89</v>
      </c>
      <c r="C682" t="s">
        <v>10</v>
      </c>
      <c r="D682">
        <v>398</v>
      </c>
      <c r="E682" s="4">
        <f t="shared" si="20"/>
        <v>44950</v>
      </c>
      <c r="F682">
        <f t="shared" si="21"/>
        <v>79</v>
      </c>
    </row>
    <row r="683" spans="1:6" x14ac:dyDescent="0.55000000000000004">
      <c r="A683">
        <v>1.5299554968771371E+19</v>
      </c>
      <c r="B683" t="s">
        <v>451</v>
      </c>
      <c r="C683" t="s">
        <v>7</v>
      </c>
      <c r="D683">
        <v>499</v>
      </c>
      <c r="E683" s="4">
        <f t="shared" si="20"/>
        <v>44901</v>
      </c>
      <c r="F683">
        <f t="shared" si="21"/>
        <v>128</v>
      </c>
    </row>
    <row r="684" spans="1:6" x14ac:dyDescent="0.55000000000000004">
      <c r="A684">
        <v>4.9488081381740602E+17</v>
      </c>
      <c r="B684" t="s">
        <v>550</v>
      </c>
      <c r="C684" t="s">
        <v>13</v>
      </c>
      <c r="D684">
        <v>215</v>
      </c>
      <c r="E684" s="4">
        <f t="shared" si="20"/>
        <v>44760</v>
      </c>
      <c r="F684">
        <f t="shared" si="21"/>
        <v>269</v>
      </c>
    </row>
    <row r="685" spans="1:6" x14ac:dyDescent="0.55000000000000004">
      <c r="A685">
        <v>7.5940743852725688E+18</v>
      </c>
      <c r="B685" t="s">
        <v>474</v>
      </c>
      <c r="C685" t="s">
        <v>10</v>
      </c>
      <c r="D685">
        <v>299</v>
      </c>
      <c r="E685" s="4">
        <f t="shared" si="20"/>
        <v>44785</v>
      </c>
      <c r="F685">
        <f t="shared" si="21"/>
        <v>244</v>
      </c>
    </row>
    <row r="686" spans="1:6" x14ac:dyDescent="0.55000000000000004">
      <c r="A686">
        <v>3.5949493402033961E+18</v>
      </c>
      <c r="B686" t="s">
        <v>143</v>
      </c>
      <c r="C686" t="s">
        <v>10</v>
      </c>
      <c r="D686">
        <v>1855</v>
      </c>
      <c r="E686" s="4">
        <f t="shared" si="20"/>
        <v>44552</v>
      </c>
      <c r="F686">
        <f t="shared" si="21"/>
        <v>477</v>
      </c>
    </row>
    <row r="687" spans="1:6" x14ac:dyDescent="0.55000000000000004">
      <c r="A687">
        <v>5.6384367051789804E+18</v>
      </c>
      <c r="B687" t="s">
        <v>551</v>
      </c>
      <c r="C687" t="s">
        <v>46</v>
      </c>
      <c r="D687">
        <v>256</v>
      </c>
      <c r="E687" s="4">
        <f t="shared" si="20"/>
        <v>44247</v>
      </c>
      <c r="F687">
        <f t="shared" si="21"/>
        <v>782</v>
      </c>
    </row>
    <row r="688" spans="1:6" x14ac:dyDescent="0.55000000000000004">
      <c r="A688">
        <v>1.429900781615487E+19</v>
      </c>
      <c r="B688" t="s">
        <v>552</v>
      </c>
      <c r="C688" t="s">
        <v>10</v>
      </c>
      <c r="D688">
        <v>148</v>
      </c>
      <c r="E688" s="4">
        <f t="shared" si="20"/>
        <v>43759</v>
      </c>
      <c r="F688">
        <f t="shared" si="21"/>
        <v>1270</v>
      </c>
    </row>
    <row r="689" spans="1:6" x14ac:dyDescent="0.55000000000000004">
      <c r="A689">
        <v>4.6298459976987689E+18</v>
      </c>
      <c r="B689" t="s">
        <v>259</v>
      </c>
      <c r="C689" t="s">
        <v>13</v>
      </c>
      <c r="D689">
        <v>6470</v>
      </c>
      <c r="E689" s="4">
        <f t="shared" si="20"/>
        <v>44555</v>
      </c>
      <c r="F689">
        <f t="shared" si="21"/>
        <v>474</v>
      </c>
    </row>
    <row r="690" spans="1:6" x14ac:dyDescent="0.55000000000000004">
      <c r="A690">
        <v>1.6429661775723479E+19</v>
      </c>
      <c r="B690" t="s">
        <v>553</v>
      </c>
      <c r="C690" t="s">
        <v>13</v>
      </c>
      <c r="D690">
        <v>1184</v>
      </c>
      <c r="E690" s="4">
        <f t="shared" si="20"/>
        <v>44578</v>
      </c>
      <c r="F690">
        <f t="shared" si="21"/>
        <v>451</v>
      </c>
    </row>
    <row r="691" spans="1:6" x14ac:dyDescent="0.55000000000000004">
      <c r="A691">
        <v>1.5103322672922581E+19</v>
      </c>
      <c r="B691" t="s">
        <v>554</v>
      </c>
      <c r="C691" t="s">
        <v>46</v>
      </c>
      <c r="D691">
        <v>229</v>
      </c>
      <c r="E691" s="4">
        <f t="shared" si="20"/>
        <v>44750</v>
      </c>
      <c r="F691">
        <f t="shared" si="21"/>
        <v>279</v>
      </c>
    </row>
    <row r="692" spans="1:6" x14ac:dyDescent="0.55000000000000004">
      <c r="A692">
        <v>4.7695134222513848E+18</v>
      </c>
      <c r="B692" t="s">
        <v>418</v>
      </c>
      <c r="C692" t="s">
        <v>46</v>
      </c>
      <c r="D692">
        <v>2766</v>
      </c>
      <c r="E692" s="4">
        <f t="shared" si="20"/>
        <v>44301</v>
      </c>
      <c r="F692">
        <f t="shared" si="21"/>
        <v>728</v>
      </c>
    </row>
    <row r="693" spans="1:6" x14ac:dyDescent="0.55000000000000004">
      <c r="A693">
        <v>9.0093056768248351E+18</v>
      </c>
      <c r="B693" t="s">
        <v>62</v>
      </c>
      <c r="C693" t="s">
        <v>13</v>
      </c>
      <c r="D693">
        <v>20250</v>
      </c>
      <c r="E693" s="4">
        <f t="shared" si="20"/>
        <v>44349</v>
      </c>
      <c r="F693">
        <f t="shared" si="21"/>
        <v>680</v>
      </c>
    </row>
    <row r="694" spans="1:6" x14ac:dyDescent="0.55000000000000004">
      <c r="A694">
        <v>5.6822075481277911E+18</v>
      </c>
      <c r="B694" t="s">
        <v>555</v>
      </c>
      <c r="C694" t="s">
        <v>13</v>
      </c>
      <c r="D694">
        <v>660</v>
      </c>
      <c r="E694" s="4">
        <f t="shared" si="20"/>
        <v>44283</v>
      </c>
      <c r="F694">
        <f t="shared" si="21"/>
        <v>746</v>
      </c>
    </row>
    <row r="695" spans="1:6" x14ac:dyDescent="0.55000000000000004">
      <c r="A695">
        <v>1.698759223686554E+19</v>
      </c>
      <c r="B695" t="s">
        <v>62</v>
      </c>
      <c r="C695" t="s">
        <v>13</v>
      </c>
      <c r="D695">
        <v>180</v>
      </c>
      <c r="E695" s="4">
        <f t="shared" si="20"/>
        <v>44349</v>
      </c>
      <c r="F695">
        <f t="shared" si="21"/>
        <v>680</v>
      </c>
    </row>
    <row r="696" spans="1:6" x14ac:dyDescent="0.55000000000000004">
      <c r="A696">
        <v>1.3041268512318099E+19</v>
      </c>
      <c r="B696" t="s">
        <v>556</v>
      </c>
      <c r="C696" t="s">
        <v>13</v>
      </c>
      <c r="D696">
        <v>1467</v>
      </c>
      <c r="E696" s="4">
        <f t="shared" si="20"/>
        <v>44317</v>
      </c>
      <c r="F696">
        <f t="shared" si="21"/>
        <v>712</v>
      </c>
    </row>
    <row r="697" spans="1:6" x14ac:dyDescent="0.55000000000000004">
      <c r="A697">
        <v>9.0474318240599982E+18</v>
      </c>
      <c r="B697" t="s">
        <v>328</v>
      </c>
      <c r="C697" t="s">
        <v>10</v>
      </c>
      <c r="D697">
        <v>5607</v>
      </c>
      <c r="E697" s="4">
        <f t="shared" si="20"/>
        <v>44834</v>
      </c>
      <c r="F697">
        <f t="shared" si="21"/>
        <v>195</v>
      </c>
    </row>
    <row r="698" spans="1:6" x14ac:dyDescent="0.55000000000000004">
      <c r="A698">
        <v>1.8380950668525359E+19</v>
      </c>
      <c r="B698" t="s">
        <v>347</v>
      </c>
      <c r="C698" t="s">
        <v>10</v>
      </c>
      <c r="D698">
        <v>967</v>
      </c>
      <c r="E698" s="4">
        <f t="shared" si="20"/>
        <v>44857</v>
      </c>
      <c r="F698">
        <f t="shared" si="21"/>
        <v>172</v>
      </c>
    </row>
    <row r="699" spans="1:6" x14ac:dyDescent="0.55000000000000004">
      <c r="A699">
        <v>1.586258091061504E+19</v>
      </c>
      <c r="B699" t="s">
        <v>557</v>
      </c>
      <c r="C699" t="s">
        <v>13</v>
      </c>
      <c r="D699">
        <v>319</v>
      </c>
      <c r="E699" s="4">
        <f t="shared" si="20"/>
        <v>44260</v>
      </c>
      <c r="F699">
        <f t="shared" si="21"/>
        <v>769</v>
      </c>
    </row>
    <row r="700" spans="1:6" x14ac:dyDescent="0.55000000000000004">
      <c r="A700">
        <v>4.20500913241359E+18</v>
      </c>
      <c r="B700" t="s">
        <v>558</v>
      </c>
      <c r="C700" t="s">
        <v>50</v>
      </c>
      <c r="D700">
        <v>204</v>
      </c>
      <c r="E700" s="4">
        <f t="shared" si="20"/>
        <v>44284</v>
      </c>
      <c r="F700">
        <f t="shared" si="21"/>
        <v>745</v>
      </c>
    </row>
    <row r="701" spans="1:6" x14ac:dyDescent="0.55000000000000004">
      <c r="A701">
        <v>6.5158383350411981E+18</v>
      </c>
      <c r="B701" t="s">
        <v>559</v>
      </c>
      <c r="C701" t="s">
        <v>13</v>
      </c>
      <c r="D701">
        <v>1060</v>
      </c>
      <c r="E701" s="4">
        <f t="shared" si="20"/>
        <v>44133</v>
      </c>
      <c r="F701">
        <f t="shared" si="21"/>
        <v>896</v>
      </c>
    </row>
    <row r="702" spans="1:6" x14ac:dyDescent="0.55000000000000004">
      <c r="A702">
        <v>8.5845141960176026E+18</v>
      </c>
      <c r="B702" t="s">
        <v>560</v>
      </c>
      <c r="C702" t="s">
        <v>13</v>
      </c>
      <c r="D702">
        <v>2700</v>
      </c>
      <c r="E702" s="4">
        <f t="shared" si="20"/>
        <v>44985</v>
      </c>
      <c r="F702">
        <f t="shared" si="21"/>
        <v>44</v>
      </c>
    </row>
    <row r="703" spans="1:6" x14ac:dyDescent="0.55000000000000004">
      <c r="A703">
        <v>9.7256486500598088E+18</v>
      </c>
      <c r="B703" t="s">
        <v>99</v>
      </c>
      <c r="C703" t="s">
        <v>13</v>
      </c>
      <c r="D703">
        <v>1359</v>
      </c>
      <c r="E703" s="4">
        <f t="shared" si="20"/>
        <v>44764</v>
      </c>
      <c r="F703">
        <f t="shared" si="21"/>
        <v>265</v>
      </c>
    </row>
    <row r="704" spans="1:6" x14ac:dyDescent="0.55000000000000004">
      <c r="A704">
        <v>7.1585107620074312E+18</v>
      </c>
      <c r="B704" t="s">
        <v>561</v>
      </c>
      <c r="C704" t="s">
        <v>26</v>
      </c>
      <c r="D704">
        <v>1734</v>
      </c>
      <c r="E704" s="4">
        <f t="shared" si="20"/>
        <v>44296</v>
      </c>
      <c r="F704">
        <f t="shared" si="21"/>
        <v>733</v>
      </c>
    </row>
    <row r="705" spans="1:6" x14ac:dyDescent="0.55000000000000004">
      <c r="A705">
        <v>4.7913437573787628E+18</v>
      </c>
      <c r="B705" t="s">
        <v>344</v>
      </c>
      <c r="C705" t="s">
        <v>10</v>
      </c>
      <c r="D705">
        <v>2508</v>
      </c>
      <c r="E705" s="4">
        <f t="shared" si="20"/>
        <v>44308</v>
      </c>
      <c r="F705">
        <f t="shared" si="21"/>
        <v>721</v>
      </c>
    </row>
    <row r="706" spans="1:6" x14ac:dyDescent="0.55000000000000004">
      <c r="A706">
        <v>3.755355309603927E+18</v>
      </c>
      <c r="B706" t="s">
        <v>307</v>
      </c>
      <c r="C706" t="s">
        <v>10</v>
      </c>
      <c r="D706">
        <v>4409</v>
      </c>
      <c r="E706" s="4">
        <f t="shared" si="20"/>
        <v>44616</v>
      </c>
      <c r="F706">
        <f t="shared" si="21"/>
        <v>413</v>
      </c>
    </row>
    <row r="707" spans="1:6" x14ac:dyDescent="0.55000000000000004">
      <c r="A707">
        <v>8.4018263479148943E+18</v>
      </c>
      <c r="B707" t="s">
        <v>562</v>
      </c>
      <c r="C707" t="s">
        <v>13</v>
      </c>
      <c r="D707">
        <v>5478</v>
      </c>
      <c r="E707" s="4">
        <f t="shared" ref="E707:E770" si="22">DATEVALUE(B707)</f>
        <v>44052</v>
      </c>
      <c r="F707">
        <f t="shared" ref="F707:F770" si="23">$H$1-E707</f>
        <v>977</v>
      </c>
    </row>
    <row r="708" spans="1:6" x14ac:dyDescent="0.55000000000000004">
      <c r="A708">
        <v>1.0360110391397169E+19</v>
      </c>
      <c r="B708" t="s">
        <v>305</v>
      </c>
      <c r="C708" t="s">
        <v>13</v>
      </c>
      <c r="D708">
        <v>898</v>
      </c>
      <c r="E708" s="4">
        <f t="shared" si="22"/>
        <v>44713</v>
      </c>
      <c r="F708">
        <f t="shared" si="23"/>
        <v>316</v>
      </c>
    </row>
    <row r="709" spans="1:6" x14ac:dyDescent="0.55000000000000004">
      <c r="A709">
        <v>1.591305381159808E+19</v>
      </c>
      <c r="B709" t="s">
        <v>563</v>
      </c>
      <c r="C709" t="s">
        <v>10</v>
      </c>
      <c r="D709">
        <v>1078</v>
      </c>
      <c r="E709" s="4">
        <f t="shared" si="22"/>
        <v>43816</v>
      </c>
      <c r="F709">
        <f t="shared" si="23"/>
        <v>1213</v>
      </c>
    </row>
    <row r="710" spans="1:6" x14ac:dyDescent="0.55000000000000004">
      <c r="A710">
        <v>5.3920489679229184E+18</v>
      </c>
      <c r="B710" t="s">
        <v>564</v>
      </c>
      <c r="C710" t="s">
        <v>10</v>
      </c>
      <c r="D710">
        <v>398</v>
      </c>
      <c r="E710" s="4">
        <f t="shared" si="22"/>
        <v>44753</v>
      </c>
      <c r="F710">
        <f t="shared" si="23"/>
        <v>276</v>
      </c>
    </row>
    <row r="711" spans="1:6" x14ac:dyDescent="0.55000000000000004">
      <c r="A711">
        <v>5.7023836737131592E+18</v>
      </c>
      <c r="B711" t="s">
        <v>565</v>
      </c>
      <c r="C711" t="s">
        <v>5</v>
      </c>
      <c r="D711">
        <v>1920</v>
      </c>
      <c r="E711" s="4">
        <f t="shared" si="22"/>
        <v>43783</v>
      </c>
      <c r="F711">
        <f t="shared" si="23"/>
        <v>1246</v>
      </c>
    </row>
    <row r="712" spans="1:6" x14ac:dyDescent="0.55000000000000004">
      <c r="A712">
        <v>6.5876540869802783E+18</v>
      </c>
      <c r="B712" t="s">
        <v>537</v>
      </c>
      <c r="C712" t="s">
        <v>10</v>
      </c>
      <c r="D712">
        <v>1218</v>
      </c>
      <c r="E712" s="4">
        <f t="shared" si="22"/>
        <v>44617</v>
      </c>
      <c r="F712">
        <f t="shared" si="23"/>
        <v>412</v>
      </c>
    </row>
    <row r="713" spans="1:6" x14ac:dyDescent="0.55000000000000004">
      <c r="A713">
        <v>6.4811992783555676E+18</v>
      </c>
      <c r="B713" t="s">
        <v>566</v>
      </c>
      <c r="C713" t="s">
        <v>26</v>
      </c>
      <c r="D713">
        <v>380</v>
      </c>
      <c r="E713" s="4">
        <f t="shared" si="22"/>
        <v>44965</v>
      </c>
      <c r="F713">
        <f t="shared" si="23"/>
        <v>64</v>
      </c>
    </row>
    <row r="714" spans="1:6" x14ac:dyDescent="0.55000000000000004">
      <c r="A714">
        <v>8.084749895325399E+18</v>
      </c>
      <c r="B714" t="s">
        <v>567</v>
      </c>
      <c r="C714" t="s">
        <v>13</v>
      </c>
      <c r="D714">
        <v>1347</v>
      </c>
      <c r="E714" s="4">
        <f t="shared" si="22"/>
        <v>43771</v>
      </c>
      <c r="F714">
        <f t="shared" si="23"/>
        <v>1258</v>
      </c>
    </row>
    <row r="715" spans="1:6" x14ac:dyDescent="0.55000000000000004">
      <c r="A715">
        <v>1.34213405262877E+19</v>
      </c>
      <c r="B715" t="s">
        <v>568</v>
      </c>
      <c r="C715" t="s">
        <v>7</v>
      </c>
      <c r="D715">
        <v>1959</v>
      </c>
      <c r="E715" s="4">
        <f t="shared" si="22"/>
        <v>44474</v>
      </c>
      <c r="F715">
        <f t="shared" si="23"/>
        <v>555</v>
      </c>
    </row>
    <row r="716" spans="1:6" x14ac:dyDescent="0.55000000000000004">
      <c r="A716">
        <v>1.58983942898392E+19</v>
      </c>
      <c r="B716" t="s">
        <v>482</v>
      </c>
      <c r="C716" t="s">
        <v>13</v>
      </c>
      <c r="D716">
        <v>1547</v>
      </c>
      <c r="E716" s="4">
        <f t="shared" si="22"/>
        <v>44666</v>
      </c>
      <c r="F716">
        <f t="shared" si="23"/>
        <v>363</v>
      </c>
    </row>
    <row r="717" spans="1:6" x14ac:dyDescent="0.55000000000000004">
      <c r="A717">
        <v>1.2685288237024381E+19</v>
      </c>
      <c r="B717" t="s">
        <v>569</v>
      </c>
      <c r="C717" t="s">
        <v>13</v>
      </c>
      <c r="D717">
        <v>16227</v>
      </c>
      <c r="E717" s="4">
        <f t="shared" si="22"/>
        <v>44273</v>
      </c>
      <c r="F717">
        <f t="shared" si="23"/>
        <v>756</v>
      </c>
    </row>
    <row r="718" spans="1:6" x14ac:dyDescent="0.55000000000000004">
      <c r="A718">
        <v>1.677129202633119E+18</v>
      </c>
      <c r="B718" t="s">
        <v>570</v>
      </c>
      <c r="C718" t="s">
        <v>13</v>
      </c>
      <c r="D718">
        <v>2619</v>
      </c>
      <c r="E718" s="4">
        <f t="shared" si="22"/>
        <v>44490</v>
      </c>
      <c r="F718">
        <f t="shared" si="23"/>
        <v>539</v>
      </c>
    </row>
    <row r="719" spans="1:6" x14ac:dyDescent="0.55000000000000004">
      <c r="A719">
        <v>1.010084852275994E+19</v>
      </c>
      <c r="B719" t="s">
        <v>571</v>
      </c>
      <c r="C719" t="s">
        <v>46</v>
      </c>
      <c r="D719">
        <v>199</v>
      </c>
      <c r="E719" s="4">
        <f t="shared" si="22"/>
        <v>44718</v>
      </c>
      <c r="F719">
        <f t="shared" si="23"/>
        <v>311</v>
      </c>
    </row>
    <row r="720" spans="1:6" x14ac:dyDescent="0.55000000000000004">
      <c r="A720">
        <v>1.0985004871977071E+19</v>
      </c>
      <c r="B720" t="s">
        <v>203</v>
      </c>
      <c r="C720" t="s">
        <v>10</v>
      </c>
      <c r="D720">
        <v>609</v>
      </c>
      <c r="E720" s="4">
        <f t="shared" si="22"/>
        <v>44875</v>
      </c>
      <c r="F720">
        <f t="shared" si="23"/>
        <v>154</v>
      </c>
    </row>
    <row r="721" spans="1:6" x14ac:dyDescent="0.55000000000000004">
      <c r="A721">
        <v>9.4676140967001108E+18</v>
      </c>
      <c r="B721" t="s">
        <v>572</v>
      </c>
      <c r="C721" t="s">
        <v>10</v>
      </c>
      <c r="D721">
        <v>6600</v>
      </c>
      <c r="E721" s="4">
        <f t="shared" si="22"/>
        <v>44479</v>
      </c>
      <c r="F721">
        <f t="shared" si="23"/>
        <v>550</v>
      </c>
    </row>
    <row r="722" spans="1:6" x14ac:dyDescent="0.55000000000000004">
      <c r="A722">
        <v>9.968207945847255E+18</v>
      </c>
      <c r="B722" t="s">
        <v>316</v>
      </c>
      <c r="C722" t="s">
        <v>5</v>
      </c>
      <c r="D722">
        <v>407</v>
      </c>
      <c r="E722" s="4">
        <f t="shared" si="22"/>
        <v>43946</v>
      </c>
      <c r="F722">
        <f t="shared" si="23"/>
        <v>1083</v>
      </c>
    </row>
    <row r="723" spans="1:6" x14ac:dyDescent="0.55000000000000004">
      <c r="A723">
        <v>1.267152939092461E+19</v>
      </c>
      <c r="B723" t="s">
        <v>437</v>
      </c>
      <c r="C723" t="s">
        <v>10</v>
      </c>
      <c r="D723">
        <v>1096</v>
      </c>
      <c r="E723" s="4">
        <f t="shared" si="22"/>
        <v>44658</v>
      </c>
      <c r="F723">
        <f t="shared" si="23"/>
        <v>371</v>
      </c>
    </row>
    <row r="724" spans="1:6" x14ac:dyDescent="0.55000000000000004">
      <c r="A724">
        <v>1.6530110765076251E+19</v>
      </c>
      <c r="B724" t="s">
        <v>573</v>
      </c>
      <c r="C724" t="s">
        <v>10</v>
      </c>
      <c r="D724">
        <v>289</v>
      </c>
      <c r="E724" s="4">
        <f t="shared" si="22"/>
        <v>44442</v>
      </c>
      <c r="F724">
        <f t="shared" si="23"/>
        <v>587</v>
      </c>
    </row>
    <row r="725" spans="1:6" x14ac:dyDescent="0.55000000000000004">
      <c r="A725">
        <v>1.7144049074298481E+19</v>
      </c>
      <c r="B725" t="s">
        <v>362</v>
      </c>
      <c r="C725" t="s">
        <v>13</v>
      </c>
      <c r="D725">
        <v>910</v>
      </c>
      <c r="E725" s="4">
        <f t="shared" si="22"/>
        <v>44164</v>
      </c>
      <c r="F725">
        <f t="shared" si="23"/>
        <v>865</v>
      </c>
    </row>
    <row r="726" spans="1:6" x14ac:dyDescent="0.55000000000000004">
      <c r="A726">
        <v>7.4503376825986447E+18</v>
      </c>
      <c r="B726" t="s">
        <v>574</v>
      </c>
      <c r="C726" t="s">
        <v>7</v>
      </c>
      <c r="D726">
        <v>638</v>
      </c>
      <c r="E726" s="4">
        <f t="shared" si="22"/>
        <v>43736</v>
      </c>
      <c r="F726">
        <f t="shared" si="23"/>
        <v>1293</v>
      </c>
    </row>
    <row r="727" spans="1:6" x14ac:dyDescent="0.55000000000000004">
      <c r="A727">
        <v>1.299057148355362E+19</v>
      </c>
      <c r="B727" t="s">
        <v>575</v>
      </c>
      <c r="C727" t="s">
        <v>7</v>
      </c>
      <c r="D727">
        <v>537</v>
      </c>
      <c r="E727" s="4">
        <f t="shared" si="22"/>
        <v>44307</v>
      </c>
      <c r="F727">
        <f t="shared" si="23"/>
        <v>722</v>
      </c>
    </row>
    <row r="728" spans="1:6" x14ac:dyDescent="0.55000000000000004">
      <c r="A728">
        <v>1.291041474171733E+19</v>
      </c>
      <c r="B728" t="s">
        <v>576</v>
      </c>
      <c r="C728" t="s">
        <v>7</v>
      </c>
      <c r="D728">
        <v>790</v>
      </c>
      <c r="E728" s="4">
        <f t="shared" si="22"/>
        <v>44689</v>
      </c>
      <c r="F728">
        <f t="shared" si="23"/>
        <v>340</v>
      </c>
    </row>
    <row r="729" spans="1:6" x14ac:dyDescent="0.55000000000000004">
      <c r="A729">
        <v>1.2023383622054459E+19</v>
      </c>
      <c r="B729" t="s">
        <v>142</v>
      </c>
      <c r="C729" t="s">
        <v>10</v>
      </c>
      <c r="D729">
        <v>834</v>
      </c>
      <c r="E729" s="4">
        <f t="shared" si="22"/>
        <v>44272</v>
      </c>
      <c r="F729">
        <f t="shared" si="23"/>
        <v>757</v>
      </c>
    </row>
    <row r="730" spans="1:6" x14ac:dyDescent="0.55000000000000004">
      <c r="A730">
        <v>4.5106534982823552E+18</v>
      </c>
      <c r="B730" t="s">
        <v>554</v>
      </c>
      <c r="C730" t="s">
        <v>46</v>
      </c>
      <c r="D730">
        <v>128</v>
      </c>
      <c r="E730" s="4">
        <f t="shared" si="22"/>
        <v>44750</v>
      </c>
      <c r="F730">
        <f t="shared" si="23"/>
        <v>279</v>
      </c>
    </row>
    <row r="731" spans="1:6" x14ac:dyDescent="0.55000000000000004">
      <c r="A731">
        <v>1.218487979043211E+18</v>
      </c>
      <c r="B731" t="s">
        <v>577</v>
      </c>
      <c r="C731" t="s">
        <v>13</v>
      </c>
      <c r="D731">
        <v>754</v>
      </c>
      <c r="E731" s="4">
        <f t="shared" si="22"/>
        <v>44977</v>
      </c>
      <c r="F731">
        <f t="shared" si="23"/>
        <v>52</v>
      </c>
    </row>
    <row r="732" spans="1:6" x14ac:dyDescent="0.55000000000000004">
      <c r="A732">
        <v>1.3281688634325961E+19</v>
      </c>
      <c r="B732" t="s">
        <v>379</v>
      </c>
      <c r="C732" t="s">
        <v>13</v>
      </c>
      <c r="D732">
        <v>1740</v>
      </c>
      <c r="E732" s="4">
        <f t="shared" si="22"/>
        <v>45024</v>
      </c>
      <c r="F732">
        <f t="shared" si="23"/>
        <v>5</v>
      </c>
    </row>
    <row r="733" spans="1:6" x14ac:dyDescent="0.55000000000000004">
      <c r="A733">
        <v>9.4455062286359388E+18</v>
      </c>
      <c r="B733" t="s">
        <v>350</v>
      </c>
      <c r="C733" t="s">
        <v>13</v>
      </c>
      <c r="D733">
        <v>1616</v>
      </c>
      <c r="E733" s="4">
        <f t="shared" si="22"/>
        <v>44716</v>
      </c>
      <c r="F733">
        <f t="shared" si="23"/>
        <v>313</v>
      </c>
    </row>
    <row r="734" spans="1:6" x14ac:dyDescent="0.55000000000000004">
      <c r="A734">
        <v>4.5296498561153311E+18</v>
      </c>
      <c r="B734" t="s">
        <v>103</v>
      </c>
      <c r="C734" t="s">
        <v>7</v>
      </c>
      <c r="D734">
        <v>30</v>
      </c>
      <c r="E734" s="4">
        <f t="shared" si="22"/>
        <v>44098</v>
      </c>
      <c r="F734">
        <f t="shared" si="23"/>
        <v>931</v>
      </c>
    </row>
    <row r="735" spans="1:6" x14ac:dyDescent="0.55000000000000004">
      <c r="A735">
        <v>1.3044049217928221E+19</v>
      </c>
      <c r="B735" t="s">
        <v>578</v>
      </c>
      <c r="C735" t="s">
        <v>26</v>
      </c>
      <c r="D735">
        <v>389</v>
      </c>
      <c r="E735" s="4">
        <f t="shared" si="22"/>
        <v>44590</v>
      </c>
      <c r="F735">
        <f t="shared" si="23"/>
        <v>439</v>
      </c>
    </row>
    <row r="736" spans="1:6" x14ac:dyDescent="0.55000000000000004">
      <c r="A736">
        <v>1.549160635335436E+18</v>
      </c>
      <c r="B736" t="s">
        <v>579</v>
      </c>
      <c r="C736" t="s">
        <v>7</v>
      </c>
      <c r="D736">
        <v>84</v>
      </c>
      <c r="E736" s="4">
        <f t="shared" si="22"/>
        <v>43791</v>
      </c>
      <c r="F736">
        <f t="shared" si="23"/>
        <v>1238</v>
      </c>
    </row>
    <row r="737" spans="1:6" x14ac:dyDescent="0.55000000000000004">
      <c r="A737">
        <v>1.1178009049025339E+19</v>
      </c>
      <c r="B737" t="s">
        <v>580</v>
      </c>
      <c r="C737" t="s">
        <v>7</v>
      </c>
      <c r="D737">
        <v>219</v>
      </c>
      <c r="E737" s="4">
        <f t="shared" si="22"/>
        <v>44404</v>
      </c>
      <c r="F737">
        <f t="shared" si="23"/>
        <v>625</v>
      </c>
    </row>
    <row r="738" spans="1:6" x14ac:dyDescent="0.55000000000000004">
      <c r="A738">
        <v>1.5067970773666001E+19</v>
      </c>
      <c r="B738" t="s">
        <v>25</v>
      </c>
      <c r="C738" t="s">
        <v>50</v>
      </c>
      <c r="D738">
        <v>145</v>
      </c>
      <c r="E738" s="4">
        <f t="shared" si="22"/>
        <v>44976</v>
      </c>
      <c r="F738">
        <f t="shared" si="23"/>
        <v>53</v>
      </c>
    </row>
    <row r="739" spans="1:6" x14ac:dyDescent="0.55000000000000004">
      <c r="A739">
        <v>1.2242322411880839E+19</v>
      </c>
      <c r="B739" t="s">
        <v>136</v>
      </c>
      <c r="C739" t="s">
        <v>7</v>
      </c>
      <c r="D739">
        <v>789</v>
      </c>
      <c r="E739" s="4">
        <f t="shared" si="22"/>
        <v>44955</v>
      </c>
      <c r="F739">
        <f t="shared" si="23"/>
        <v>74</v>
      </c>
    </row>
    <row r="740" spans="1:6" x14ac:dyDescent="0.55000000000000004">
      <c r="A740">
        <v>3.0502653338408781E+18</v>
      </c>
      <c r="B740" t="s">
        <v>414</v>
      </c>
      <c r="C740" t="s">
        <v>5</v>
      </c>
      <c r="D740">
        <v>8300</v>
      </c>
      <c r="E740" s="4">
        <f t="shared" si="22"/>
        <v>44554</v>
      </c>
      <c r="F740">
        <f t="shared" si="23"/>
        <v>475</v>
      </c>
    </row>
    <row r="741" spans="1:6" x14ac:dyDescent="0.55000000000000004">
      <c r="A741">
        <v>2.9797603071166321E+18</v>
      </c>
      <c r="B741" t="s">
        <v>481</v>
      </c>
      <c r="C741" t="s">
        <v>50</v>
      </c>
      <c r="D741">
        <v>105</v>
      </c>
      <c r="E741" s="4">
        <f t="shared" si="22"/>
        <v>44315</v>
      </c>
      <c r="F741">
        <f t="shared" si="23"/>
        <v>714</v>
      </c>
    </row>
    <row r="742" spans="1:6" x14ac:dyDescent="0.55000000000000004">
      <c r="A742">
        <v>1.042579710060724E+19</v>
      </c>
      <c r="B742" t="s">
        <v>581</v>
      </c>
      <c r="C742" t="s">
        <v>13</v>
      </c>
      <c r="D742">
        <v>2310</v>
      </c>
      <c r="E742" s="4">
        <f t="shared" si="22"/>
        <v>44770</v>
      </c>
      <c r="F742">
        <f t="shared" si="23"/>
        <v>259</v>
      </c>
    </row>
    <row r="743" spans="1:6" x14ac:dyDescent="0.55000000000000004">
      <c r="A743">
        <v>8.1566095224349348E+18</v>
      </c>
      <c r="B743" t="s">
        <v>582</v>
      </c>
      <c r="C743" t="s">
        <v>13</v>
      </c>
      <c r="D743">
        <v>608</v>
      </c>
      <c r="E743" s="4">
        <f t="shared" si="22"/>
        <v>44916</v>
      </c>
      <c r="F743">
        <f t="shared" si="23"/>
        <v>113</v>
      </c>
    </row>
    <row r="744" spans="1:6" x14ac:dyDescent="0.55000000000000004">
      <c r="A744">
        <v>3.263288518696343E+18</v>
      </c>
      <c r="B744" t="s">
        <v>583</v>
      </c>
      <c r="C744" t="s">
        <v>10</v>
      </c>
      <c r="D744">
        <v>684</v>
      </c>
      <c r="E744" s="4">
        <f t="shared" si="22"/>
        <v>44476</v>
      </c>
      <c r="F744">
        <f t="shared" si="23"/>
        <v>553</v>
      </c>
    </row>
    <row r="745" spans="1:6" x14ac:dyDescent="0.55000000000000004">
      <c r="A745">
        <v>1.0986192490940271E+19</v>
      </c>
      <c r="B745" t="s">
        <v>584</v>
      </c>
      <c r="C745" t="s">
        <v>26</v>
      </c>
      <c r="D745">
        <v>158</v>
      </c>
      <c r="E745" s="4">
        <f t="shared" si="22"/>
        <v>44825</v>
      </c>
      <c r="F745">
        <f t="shared" si="23"/>
        <v>204</v>
      </c>
    </row>
    <row r="746" spans="1:6" x14ac:dyDescent="0.55000000000000004">
      <c r="A746">
        <v>9.0073211666938911E+18</v>
      </c>
      <c r="B746" t="s">
        <v>298</v>
      </c>
      <c r="C746" t="s">
        <v>10</v>
      </c>
      <c r="D746">
        <v>149</v>
      </c>
      <c r="E746" s="4">
        <f t="shared" si="22"/>
        <v>44682</v>
      </c>
      <c r="F746">
        <f t="shared" si="23"/>
        <v>347</v>
      </c>
    </row>
    <row r="747" spans="1:6" x14ac:dyDescent="0.55000000000000004">
      <c r="A747">
        <v>8.5679421323235338E+18</v>
      </c>
      <c r="B747" t="s">
        <v>181</v>
      </c>
      <c r="C747" t="s">
        <v>7</v>
      </c>
      <c r="D747">
        <v>329</v>
      </c>
      <c r="E747" s="4">
        <f t="shared" si="22"/>
        <v>45000</v>
      </c>
      <c r="F747">
        <f t="shared" si="23"/>
        <v>29</v>
      </c>
    </row>
    <row r="748" spans="1:6" x14ac:dyDescent="0.55000000000000004">
      <c r="A748">
        <v>1.276386496350713E+19</v>
      </c>
      <c r="B748" t="s">
        <v>585</v>
      </c>
      <c r="C748" t="s">
        <v>46</v>
      </c>
      <c r="D748">
        <v>219</v>
      </c>
      <c r="E748" s="4">
        <f t="shared" si="22"/>
        <v>44860</v>
      </c>
      <c r="F748">
        <f t="shared" si="23"/>
        <v>169</v>
      </c>
    </row>
    <row r="749" spans="1:6" x14ac:dyDescent="0.55000000000000004">
      <c r="A749">
        <v>1.821993513028534E+18</v>
      </c>
      <c r="B749" t="s">
        <v>224</v>
      </c>
      <c r="C749" t="s">
        <v>26</v>
      </c>
      <c r="D749">
        <v>229</v>
      </c>
      <c r="E749" s="4">
        <f t="shared" si="22"/>
        <v>44460</v>
      </c>
      <c r="F749">
        <f t="shared" si="23"/>
        <v>569</v>
      </c>
    </row>
    <row r="750" spans="1:6" x14ac:dyDescent="0.55000000000000004">
      <c r="A750">
        <v>5.3973038049061745E+18</v>
      </c>
      <c r="B750" t="s">
        <v>586</v>
      </c>
      <c r="C750" t="s">
        <v>46</v>
      </c>
      <c r="D750">
        <v>108870.32</v>
      </c>
      <c r="E750" s="4">
        <f t="shared" si="22"/>
        <v>42467</v>
      </c>
      <c r="F750">
        <f t="shared" si="23"/>
        <v>2562</v>
      </c>
    </row>
    <row r="751" spans="1:6" x14ac:dyDescent="0.55000000000000004">
      <c r="A751">
        <v>1.5767204741208119E+19</v>
      </c>
      <c r="B751" t="s">
        <v>86</v>
      </c>
      <c r="C751" t="s">
        <v>50</v>
      </c>
      <c r="D751">
        <v>92</v>
      </c>
      <c r="E751" s="4">
        <f t="shared" si="22"/>
        <v>44263</v>
      </c>
      <c r="F751">
        <f t="shared" si="23"/>
        <v>766</v>
      </c>
    </row>
    <row r="752" spans="1:6" x14ac:dyDescent="0.55000000000000004">
      <c r="A752">
        <v>2.7658005217164191E+18</v>
      </c>
      <c r="B752" t="s">
        <v>223</v>
      </c>
      <c r="C752" t="s">
        <v>13</v>
      </c>
      <c r="D752">
        <v>1094</v>
      </c>
      <c r="E752" s="4">
        <f t="shared" si="22"/>
        <v>44623</v>
      </c>
      <c r="F752">
        <f t="shared" si="23"/>
        <v>406</v>
      </c>
    </row>
    <row r="753" spans="1:6" x14ac:dyDescent="0.55000000000000004">
      <c r="A753">
        <v>4.9767555645308058E+18</v>
      </c>
      <c r="B753" t="s">
        <v>480</v>
      </c>
      <c r="C753" t="s">
        <v>5</v>
      </c>
      <c r="D753">
        <v>890</v>
      </c>
      <c r="E753" s="4">
        <f t="shared" si="22"/>
        <v>44979</v>
      </c>
      <c r="F753">
        <f t="shared" si="23"/>
        <v>50</v>
      </c>
    </row>
    <row r="754" spans="1:6" x14ac:dyDescent="0.55000000000000004">
      <c r="A754">
        <v>1.7876883666677039E+19</v>
      </c>
      <c r="B754" t="s">
        <v>33</v>
      </c>
      <c r="C754" t="s">
        <v>13</v>
      </c>
      <c r="D754">
        <v>5055</v>
      </c>
      <c r="E754" s="4">
        <f t="shared" si="22"/>
        <v>44013</v>
      </c>
      <c r="F754">
        <f t="shared" si="23"/>
        <v>1016</v>
      </c>
    </row>
    <row r="755" spans="1:6" x14ac:dyDescent="0.55000000000000004">
      <c r="A755">
        <v>9.4514269476234404E+18</v>
      </c>
      <c r="B755" t="s">
        <v>587</v>
      </c>
      <c r="C755" t="s">
        <v>5</v>
      </c>
      <c r="D755">
        <v>2736</v>
      </c>
      <c r="E755" s="4">
        <f t="shared" si="22"/>
        <v>44729</v>
      </c>
      <c r="F755">
        <f t="shared" si="23"/>
        <v>300</v>
      </c>
    </row>
    <row r="756" spans="1:6" x14ac:dyDescent="0.55000000000000004">
      <c r="A756">
        <v>3.722614482804054E+18</v>
      </c>
      <c r="B756" t="s">
        <v>588</v>
      </c>
      <c r="C756" t="s">
        <v>10</v>
      </c>
      <c r="D756">
        <v>1008</v>
      </c>
      <c r="E756" s="4">
        <f t="shared" si="22"/>
        <v>43822</v>
      </c>
      <c r="F756">
        <f t="shared" si="23"/>
        <v>1207</v>
      </c>
    </row>
    <row r="757" spans="1:6" x14ac:dyDescent="0.55000000000000004">
      <c r="A757">
        <v>1.1738439999794471E+19</v>
      </c>
      <c r="B757" t="s">
        <v>354</v>
      </c>
      <c r="C757" t="s">
        <v>10</v>
      </c>
      <c r="D757">
        <v>3684</v>
      </c>
      <c r="E757" s="4">
        <f t="shared" si="22"/>
        <v>44925</v>
      </c>
      <c r="F757">
        <f t="shared" si="23"/>
        <v>104</v>
      </c>
    </row>
    <row r="758" spans="1:6" x14ac:dyDescent="0.55000000000000004">
      <c r="A758">
        <v>8.8705274734315756E+18</v>
      </c>
      <c r="B758" t="s">
        <v>589</v>
      </c>
      <c r="C758" t="s">
        <v>10</v>
      </c>
      <c r="D758">
        <v>1353</v>
      </c>
      <c r="E758" s="4">
        <f t="shared" si="22"/>
        <v>44105</v>
      </c>
      <c r="F758">
        <f t="shared" si="23"/>
        <v>924</v>
      </c>
    </row>
    <row r="759" spans="1:6" x14ac:dyDescent="0.55000000000000004">
      <c r="A759">
        <v>6.9166335837545892E+18</v>
      </c>
      <c r="B759" t="s">
        <v>519</v>
      </c>
      <c r="C759" t="s">
        <v>50</v>
      </c>
      <c r="D759">
        <v>87</v>
      </c>
      <c r="E759" s="4">
        <f t="shared" si="22"/>
        <v>44587</v>
      </c>
      <c r="F759">
        <f t="shared" si="23"/>
        <v>442</v>
      </c>
    </row>
    <row r="760" spans="1:6" x14ac:dyDescent="0.55000000000000004">
      <c r="A760">
        <v>6.749289830386561E+18</v>
      </c>
      <c r="B760" t="s">
        <v>228</v>
      </c>
      <c r="C760" t="s">
        <v>13</v>
      </c>
      <c r="D760">
        <v>3369</v>
      </c>
      <c r="E760" s="4">
        <f t="shared" si="22"/>
        <v>44145</v>
      </c>
      <c r="F760">
        <f t="shared" si="23"/>
        <v>884</v>
      </c>
    </row>
    <row r="761" spans="1:6" x14ac:dyDescent="0.55000000000000004">
      <c r="A761">
        <v>1.2557420658904809E+19</v>
      </c>
      <c r="B761" t="s">
        <v>461</v>
      </c>
      <c r="C761" t="s">
        <v>10</v>
      </c>
      <c r="D761">
        <v>1947</v>
      </c>
      <c r="E761" s="4">
        <f t="shared" si="22"/>
        <v>44441</v>
      </c>
      <c r="F761">
        <f t="shared" si="23"/>
        <v>588</v>
      </c>
    </row>
    <row r="762" spans="1:6" x14ac:dyDescent="0.55000000000000004">
      <c r="A762">
        <v>1.6777193568567321E+19</v>
      </c>
      <c r="B762" t="s">
        <v>282</v>
      </c>
      <c r="C762" t="s">
        <v>10</v>
      </c>
      <c r="D762">
        <v>4020</v>
      </c>
      <c r="E762" s="4">
        <f t="shared" si="22"/>
        <v>44557</v>
      </c>
      <c r="F762">
        <f t="shared" si="23"/>
        <v>472</v>
      </c>
    </row>
    <row r="763" spans="1:6" x14ac:dyDescent="0.55000000000000004">
      <c r="A763">
        <v>3.0587753631777741E+18</v>
      </c>
      <c r="B763" t="s">
        <v>590</v>
      </c>
      <c r="C763" t="s">
        <v>7</v>
      </c>
      <c r="D763">
        <v>690</v>
      </c>
      <c r="E763" s="4">
        <f t="shared" si="22"/>
        <v>44398</v>
      </c>
      <c r="F763">
        <f t="shared" si="23"/>
        <v>631</v>
      </c>
    </row>
    <row r="764" spans="1:6" x14ac:dyDescent="0.55000000000000004">
      <c r="A764">
        <v>8.9186426008950723E+18</v>
      </c>
      <c r="B764" t="s">
        <v>591</v>
      </c>
      <c r="C764" t="s">
        <v>10</v>
      </c>
      <c r="D764">
        <v>8989</v>
      </c>
      <c r="E764" s="4">
        <f t="shared" si="22"/>
        <v>44387</v>
      </c>
      <c r="F764">
        <f t="shared" si="23"/>
        <v>642</v>
      </c>
    </row>
    <row r="765" spans="1:6" x14ac:dyDescent="0.55000000000000004">
      <c r="A765">
        <v>1.7208461186914601E+19</v>
      </c>
      <c r="B765" t="s">
        <v>269</v>
      </c>
      <c r="C765" t="s">
        <v>13</v>
      </c>
      <c r="D765">
        <v>910</v>
      </c>
      <c r="E765" s="4">
        <f t="shared" si="22"/>
        <v>44135</v>
      </c>
      <c r="F765">
        <f t="shared" si="23"/>
        <v>894</v>
      </c>
    </row>
    <row r="766" spans="1:6" x14ac:dyDescent="0.55000000000000004">
      <c r="A766">
        <v>9.7783392705113784E+18</v>
      </c>
      <c r="B766" t="s">
        <v>485</v>
      </c>
      <c r="C766" t="s">
        <v>7</v>
      </c>
      <c r="D766">
        <v>95</v>
      </c>
      <c r="E766" s="4">
        <f t="shared" si="22"/>
        <v>43996</v>
      </c>
      <c r="F766">
        <f t="shared" si="23"/>
        <v>1033</v>
      </c>
    </row>
    <row r="767" spans="1:6" x14ac:dyDescent="0.55000000000000004">
      <c r="A767">
        <v>1.81502859460929E+19</v>
      </c>
      <c r="B767" t="s">
        <v>178</v>
      </c>
      <c r="C767" t="s">
        <v>46</v>
      </c>
      <c r="D767">
        <v>808</v>
      </c>
      <c r="E767" s="4">
        <f t="shared" si="22"/>
        <v>44984</v>
      </c>
      <c r="F767">
        <f t="shared" si="23"/>
        <v>45</v>
      </c>
    </row>
    <row r="768" spans="1:6" x14ac:dyDescent="0.55000000000000004">
      <c r="A768">
        <v>1.196782103337771E+18</v>
      </c>
      <c r="B768" t="s">
        <v>592</v>
      </c>
      <c r="C768" t="s">
        <v>10</v>
      </c>
      <c r="D768">
        <v>770</v>
      </c>
      <c r="E768" s="4">
        <f t="shared" si="22"/>
        <v>44632</v>
      </c>
      <c r="F768">
        <f t="shared" si="23"/>
        <v>397</v>
      </c>
    </row>
    <row r="769" spans="1:6" x14ac:dyDescent="0.55000000000000004">
      <c r="A769">
        <v>1.1126621026109131E+19</v>
      </c>
      <c r="B769" t="s">
        <v>79</v>
      </c>
      <c r="C769" t="s">
        <v>10</v>
      </c>
      <c r="D769">
        <v>1047</v>
      </c>
      <c r="E769" s="4">
        <f t="shared" si="22"/>
        <v>44249</v>
      </c>
      <c r="F769">
        <f t="shared" si="23"/>
        <v>780</v>
      </c>
    </row>
    <row r="770" spans="1:6" x14ac:dyDescent="0.55000000000000004">
      <c r="A770">
        <v>5.3973038049061745E+18</v>
      </c>
      <c r="B770" t="s">
        <v>355</v>
      </c>
      <c r="C770" t="s">
        <v>50</v>
      </c>
      <c r="D770">
        <v>2774</v>
      </c>
      <c r="E770" s="4">
        <f t="shared" si="22"/>
        <v>44330</v>
      </c>
      <c r="F770">
        <f t="shared" si="23"/>
        <v>699</v>
      </c>
    </row>
    <row r="771" spans="1:6" x14ac:dyDescent="0.55000000000000004">
      <c r="A771">
        <v>1.6133138332866609E+19</v>
      </c>
      <c r="B771" t="s">
        <v>593</v>
      </c>
      <c r="C771" t="s">
        <v>13</v>
      </c>
      <c r="D771">
        <v>1659</v>
      </c>
      <c r="E771" s="4">
        <f t="shared" ref="E771:E834" si="24">DATEVALUE(B771)</f>
        <v>44500</v>
      </c>
      <c r="F771">
        <f t="shared" ref="F771:F834" si="25">$H$1-E771</f>
        <v>529</v>
      </c>
    </row>
    <row r="772" spans="1:6" x14ac:dyDescent="0.55000000000000004">
      <c r="A772">
        <v>1.4379473002426651E+19</v>
      </c>
      <c r="B772" t="s">
        <v>594</v>
      </c>
      <c r="C772" t="s">
        <v>50</v>
      </c>
      <c r="D772">
        <v>58</v>
      </c>
      <c r="E772" s="4">
        <f t="shared" si="24"/>
        <v>44638</v>
      </c>
      <c r="F772">
        <f t="shared" si="25"/>
        <v>391</v>
      </c>
    </row>
    <row r="773" spans="1:6" x14ac:dyDescent="0.55000000000000004">
      <c r="A773">
        <v>1.0142052197562481E+19</v>
      </c>
      <c r="B773" t="s">
        <v>595</v>
      </c>
      <c r="C773" t="s">
        <v>7</v>
      </c>
      <c r="D773">
        <v>1275</v>
      </c>
      <c r="E773" s="4">
        <f t="shared" si="24"/>
        <v>44969</v>
      </c>
      <c r="F773">
        <f t="shared" si="25"/>
        <v>60</v>
      </c>
    </row>
    <row r="774" spans="1:6" x14ac:dyDescent="0.55000000000000004">
      <c r="A774">
        <v>1.6661811925703371E+19</v>
      </c>
      <c r="B774" t="s">
        <v>214</v>
      </c>
      <c r="C774" t="s">
        <v>26</v>
      </c>
      <c r="D774">
        <v>229</v>
      </c>
      <c r="E774" s="4">
        <f t="shared" si="24"/>
        <v>44821</v>
      </c>
      <c r="F774">
        <f t="shared" si="25"/>
        <v>208</v>
      </c>
    </row>
    <row r="775" spans="1:6" x14ac:dyDescent="0.55000000000000004">
      <c r="A775">
        <v>1.691837402705929E+19</v>
      </c>
      <c r="B775" t="s">
        <v>364</v>
      </c>
      <c r="C775" t="s">
        <v>10</v>
      </c>
      <c r="D775">
        <v>2128</v>
      </c>
      <c r="E775" s="4">
        <f t="shared" si="24"/>
        <v>44668</v>
      </c>
      <c r="F775">
        <f t="shared" si="25"/>
        <v>361</v>
      </c>
    </row>
    <row r="776" spans="1:6" x14ac:dyDescent="0.55000000000000004">
      <c r="A776">
        <v>8.9467332712201267E+18</v>
      </c>
      <c r="B776" t="s">
        <v>596</v>
      </c>
      <c r="C776" t="s">
        <v>13</v>
      </c>
      <c r="D776">
        <v>9522</v>
      </c>
      <c r="E776" s="4">
        <f t="shared" si="24"/>
        <v>44529</v>
      </c>
      <c r="F776">
        <f t="shared" si="25"/>
        <v>500</v>
      </c>
    </row>
    <row r="777" spans="1:6" x14ac:dyDescent="0.55000000000000004">
      <c r="A777">
        <v>4.5603436120477619E+18</v>
      </c>
      <c r="B777" t="s">
        <v>429</v>
      </c>
      <c r="C777" t="s">
        <v>10</v>
      </c>
      <c r="D777">
        <v>1288</v>
      </c>
      <c r="E777" s="4">
        <f t="shared" si="24"/>
        <v>44571</v>
      </c>
      <c r="F777">
        <f t="shared" si="25"/>
        <v>458</v>
      </c>
    </row>
    <row r="778" spans="1:6" x14ac:dyDescent="0.55000000000000004">
      <c r="A778">
        <v>1.262209318827511E+19</v>
      </c>
      <c r="B778" t="s">
        <v>101</v>
      </c>
      <c r="C778" t="s">
        <v>13</v>
      </c>
      <c r="D778">
        <v>15445</v>
      </c>
      <c r="E778" s="4">
        <f t="shared" si="24"/>
        <v>44270</v>
      </c>
      <c r="F778">
        <f t="shared" si="25"/>
        <v>759</v>
      </c>
    </row>
    <row r="779" spans="1:6" x14ac:dyDescent="0.55000000000000004">
      <c r="A779">
        <v>5.2922210755784581E+18</v>
      </c>
      <c r="B779" t="s">
        <v>364</v>
      </c>
      <c r="C779" t="s">
        <v>13</v>
      </c>
      <c r="D779">
        <v>471</v>
      </c>
      <c r="E779" s="4">
        <f t="shared" si="24"/>
        <v>44668</v>
      </c>
      <c r="F779">
        <f t="shared" si="25"/>
        <v>361</v>
      </c>
    </row>
    <row r="780" spans="1:6" x14ac:dyDescent="0.55000000000000004">
      <c r="A780">
        <v>8.4895610788208896E+18</v>
      </c>
      <c r="B780" t="s">
        <v>27</v>
      </c>
      <c r="C780" t="s">
        <v>10</v>
      </c>
      <c r="D780">
        <v>6990</v>
      </c>
      <c r="E780" s="4">
        <f t="shared" si="24"/>
        <v>44451</v>
      </c>
      <c r="F780">
        <f t="shared" si="25"/>
        <v>578</v>
      </c>
    </row>
    <row r="781" spans="1:6" x14ac:dyDescent="0.55000000000000004">
      <c r="A781">
        <v>5.4249199035225917E+18</v>
      </c>
      <c r="B781" t="s">
        <v>153</v>
      </c>
      <c r="C781" t="s">
        <v>10</v>
      </c>
      <c r="D781">
        <v>6282</v>
      </c>
      <c r="E781" s="4">
        <f t="shared" si="24"/>
        <v>44327</v>
      </c>
      <c r="F781">
        <f t="shared" si="25"/>
        <v>702</v>
      </c>
    </row>
    <row r="782" spans="1:6" x14ac:dyDescent="0.55000000000000004">
      <c r="A782">
        <v>4.8328095164550554E+18</v>
      </c>
      <c r="B782" t="s">
        <v>56</v>
      </c>
      <c r="C782" t="s">
        <v>13</v>
      </c>
      <c r="D782">
        <v>829</v>
      </c>
      <c r="E782" s="4">
        <f t="shared" si="24"/>
        <v>44542</v>
      </c>
      <c r="F782">
        <f t="shared" si="25"/>
        <v>487</v>
      </c>
    </row>
    <row r="783" spans="1:6" x14ac:dyDescent="0.55000000000000004">
      <c r="A783">
        <v>7.4929015261092721E+18</v>
      </c>
      <c r="B783" t="s">
        <v>261</v>
      </c>
      <c r="C783" t="s">
        <v>10</v>
      </c>
      <c r="D783">
        <v>255</v>
      </c>
      <c r="E783" s="4">
        <f t="shared" si="24"/>
        <v>44910</v>
      </c>
      <c r="F783">
        <f t="shared" si="25"/>
        <v>119</v>
      </c>
    </row>
    <row r="784" spans="1:6" x14ac:dyDescent="0.55000000000000004">
      <c r="A784">
        <v>8.9215529394304563E+18</v>
      </c>
      <c r="B784" t="s">
        <v>597</v>
      </c>
      <c r="C784" t="s">
        <v>5</v>
      </c>
      <c r="D784">
        <v>439</v>
      </c>
      <c r="E784" s="4">
        <f t="shared" si="24"/>
        <v>44060</v>
      </c>
      <c r="F784">
        <f t="shared" si="25"/>
        <v>969</v>
      </c>
    </row>
    <row r="785" spans="1:6" x14ac:dyDescent="0.55000000000000004">
      <c r="A785">
        <v>1.3250399522734999E+18</v>
      </c>
      <c r="B785" t="s">
        <v>454</v>
      </c>
      <c r="C785" t="s">
        <v>10</v>
      </c>
      <c r="D785">
        <v>950</v>
      </c>
      <c r="E785" s="4">
        <f t="shared" si="24"/>
        <v>44740</v>
      </c>
      <c r="F785">
        <f t="shared" si="25"/>
        <v>289</v>
      </c>
    </row>
    <row r="786" spans="1:6" x14ac:dyDescent="0.55000000000000004">
      <c r="A786">
        <v>1.430055800755106E+19</v>
      </c>
      <c r="B786" t="s">
        <v>108</v>
      </c>
      <c r="C786" t="s">
        <v>13</v>
      </c>
      <c r="D786">
        <v>1064</v>
      </c>
      <c r="E786" s="4">
        <f t="shared" si="24"/>
        <v>44904</v>
      </c>
      <c r="F786">
        <f t="shared" si="25"/>
        <v>125</v>
      </c>
    </row>
    <row r="787" spans="1:6" x14ac:dyDescent="0.55000000000000004">
      <c r="A787">
        <v>9.4805907407423304E+18</v>
      </c>
      <c r="B787" t="s">
        <v>94</v>
      </c>
      <c r="C787" t="s">
        <v>50</v>
      </c>
      <c r="D787">
        <v>39</v>
      </c>
      <c r="E787" s="4">
        <f t="shared" si="24"/>
        <v>44600</v>
      </c>
      <c r="F787">
        <f t="shared" si="25"/>
        <v>429</v>
      </c>
    </row>
    <row r="788" spans="1:6" x14ac:dyDescent="0.55000000000000004">
      <c r="A788">
        <v>4.8320004813216389E+18</v>
      </c>
      <c r="B788" t="s">
        <v>598</v>
      </c>
      <c r="C788" t="s">
        <v>10</v>
      </c>
      <c r="D788">
        <v>161</v>
      </c>
      <c r="E788" s="4">
        <f t="shared" si="24"/>
        <v>44931</v>
      </c>
      <c r="F788">
        <f t="shared" si="25"/>
        <v>98</v>
      </c>
    </row>
    <row r="789" spans="1:6" x14ac:dyDescent="0.55000000000000004">
      <c r="A789">
        <v>1.6299932316121301E+19</v>
      </c>
      <c r="B789" t="s">
        <v>599</v>
      </c>
      <c r="C789" t="s">
        <v>10</v>
      </c>
      <c r="D789">
        <v>3570</v>
      </c>
      <c r="E789" s="4">
        <f t="shared" si="24"/>
        <v>44754</v>
      </c>
      <c r="F789">
        <f t="shared" si="25"/>
        <v>275</v>
      </c>
    </row>
    <row r="790" spans="1:6" x14ac:dyDescent="0.55000000000000004">
      <c r="A790">
        <v>9.6642641141780828E+18</v>
      </c>
      <c r="B790" t="s">
        <v>218</v>
      </c>
      <c r="C790" t="s">
        <v>10</v>
      </c>
      <c r="D790">
        <v>5580</v>
      </c>
      <c r="E790" s="4">
        <f t="shared" si="24"/>
        <v>44419</v>
      </c>
      <c r="F790">
        <f t="shared" si="25"/>
        <v>610</v>
      </c>
    </row>
    <row r="791" spans="1:6" x14ac:dyDescent="0.55000000000000004">
      <c r="A791">
        <v>7.7311230077990822E+17</v>
      </c>
      <c r="B791" t="s">
        <v>9</v>
      </c>
      <c r="C791" t="s">
        <v>10</v>
      </c>
      <c r="D791">
        <v>3014</v>
      </c>
      <c r="E791" s="4">
        <f t="shared" si="24"/>
        <v>44597</v>
      </c>
      <c r="F791">
        <f t="shared" si="25"/>
        <v>432</v>
      </c>
    </row>
    <row r="792" spans="1:6" x14ac:dyDescent="0.55000000000000004">
      <c r="A792">
        <v>6.11687229500642E+18</v>
      </c>
      <c r="B792" t="s">
        <v>600</v>
      </c>
      <c r="C792" t="s">
        <v>10</v>
      </c>
      <c r="D792">
        <v>1826</v>
      </c>
      <c r="E792" s="4">
        <f t="shared" si="24"/>
        <v>43792</v>
      </c>
      <c r="F792">
        <f t="shared" si="25"/>
        <v>1237</v>
      </c>
    </row>
    <row r="793" spans="1:6" x14ac:dyDescent="0.55000000000000004">
      <c r="A793">
        <v>1.866418006074549E+18</v>
      </c>
      <c r="B793" t="s">
        <v>601</v>
      </c>
      <c r="C793" t="s">
        <v>13</v>
      </c>
      <c r="D793">
        <v>90</v>
      </c>
      <c r="E793" s="4">
        <f t="shared" si="24"/>
        <v>44853</v>
      </c>
      <c r="F793">
        <f t="shared" si="25"/>
        <v>176</v>
      </c>
    </row>
    <row r="794" spans="1:6" x14ac:dyDescent="0.55000000000000004">
      <c r="A794">
        <v>1.640554827617833E+19</v>
      </c>
      <c r="B794" t="s">
        <v>602</v>
      </c>
      <c r="C794" t="s">
        <v>13</v>
      </c>
      <c r="D794">
        <v>2577</v>
      </c>
      <c r="E794" s="4">
        <f t="shared" si="24"/>
        <v>44193</v>
      </c>
      <c r="F794">
        <f t="shared" si="25"/>
        <v>836</v>
      </c>
    </row>
    <row r="795" spans="1:6" x14ac:dyDescent="0.55000000000000004">
      <c r="A795">
        <v>5.3973038049061745E+18</v>
      </c>
      <c r="B795" t="s">
        <v>603</v>
      </c>
      <c r="C795" t="s">
        <v>10</v>
      </c>
      <c r="D795">
        <v>9320657.9900000002</v>
      </c>
      <c r="E795" s="4">
        <f t="shared" si="24"/>
        <v>43532</v>
      </c>
      <c r="F795">
        <f t="shared" si="25"/>
        <v>1497</v>
      </c>
    </row>
    <row r="796" spans="1:6" x14ac:dyDescent="0.55000000000000004">
      <c r="A796">
        <v>1.1286749485820361E+19</v>
      </c>
      <c r="B796" t="s">
        <v>354</v>
      </c>
      <c r="C796" t="s">
        <v>13</v>
      </c>
      <c r="D796">
        <v>1699</v>
      </c>
      <c r="E796" s="4">
        <f t="shared" si="24"/>
        <v>44925</v>
      </c>
      <c r="F796">
        <f t="shared" si="25"/>
        <v>104</v>
      </c>
    </row>
    <row r="797" spans="1:6" x14ac:dyDescent="0.55000000000000004">
      <c r="A797">
        <v>5.3973038049061745E+18</v>
      </c>
      <c r="B797" t="s">
        <v>604</v>
      </c>
      <c r="C797" t="s">
        <v>26</v>
      </c>
      <c r="D797">
        <v>257508.3</v>
      </c>
      <c r="E797" s="4">
        <f t="shared" si="24"/>
        <v>43389</v>
      </c>
      <c r="F797">
        <f t="shared" si="25"/>
        <v>1640</v>
      </c>
    </row>
    <row r="798" spans="1:6" x14ac:dyDescent="0.55000000000000004">
      <c r="A798">
        <v>1.281723145494827E+19</v>
      </c>
      <c r="B798" t="s">
        <v>340</v>
      </c>
      <c r="C798" t="s">
        <v>10</v>
      </c>
      <c r="D798">
        <v>4327</v>
      </c>
      <c r="E798" s="4">
        <f t="shared" si="24"/>
        <v>45002</v>
      </c>
      <c r="F798">
        <f t="shared" si="25"/>
        <v>27</v>
      </c>
    </row>
    <row r="799" spans="1:6" x14ac:dyDescent="0.55000000000000004">
      <c r="A799">
        <v>1.529271156526071E+19</v>
      </c>
      <c r="B799" t="s">
        <v>560</v>
      </c>
      <c r="C799" t="s">
        <v>13</v>
      </c>
      <c r="D799">
        <v>1412</v>
      </c>
      <c r="E799" s="4">
        <f t="shared" si="24"/>
        <v>44985</v>
      </c>
      <c r="F799">
        <f t="shared" si="25"/>
        <v>44</v>
      </c>
    </row>
    <row r="800" spans="1:6" x14ac:dyDescent="0.55000000000000004">
      <c r="A800">
        <v>1.0133316379391859E+17</v>
      </c>
      <c r="B800" t="s">
        <v>165</v>
      </c>
      <c r="C800" t="s">
        <v>13</v>
      </c>
      <c r="D800">
        <v>6996</v>
      </c>
      <c r="E800" s="4">
        <f t="shared" si="24"/>
        <v>44513</v>
      </c>
      <c r="F800">
        <f t="shared" si="25"/>
        <v>516</v>
      </c>
    </row>
    <row r="801" spans="1:6" x14ac:dyDescent="0.55000000000000004">
      <c r="A801">
        <v>2.1656688335916831E+18</v>
      </c>
      <c r="B801" t="s">
        <v>350</v>
      </c>
      <c r="C801" t="s">
        <v>13</v>
      </c>
      <c r="D801">
        <v>604</v>
      </c>
      <c r="E801" s="4">
        <f t="shared" si="24"/>
        <v>44716</v>
      </c>
      <c r="F801">
        <f t="shared" si="25"/>
        <v>313</v>
      </c>
    </row>
    <row r="802" spans="1:6" x14ac:dyDescent="0.55000000000000004">
      <c r="A802">
        <v>1.996183669249889E+18</v>
      </c>
      <c r="B802" t="s">
        <v>605</v>
      </c>
      <c r="C802" t="s">
        <v>10</v>
      </c>
      <c r="D802">
        <v>4565</v>
      </c>
      <c r="E802" s="4">
        <f t="shared" si="24"/>
        <v>44531</v>
      </c>
      <c r="F802">
        <f t="shared" si="25"/>
        <v>498</v>
      </c>
    </row>
    <row r="803" spans="1:6" x14ac:dyDescent="0.55000000000000004">
      <c r="A803">
        <v>6.2701828360759163E+18</v>
      </c>
      <c r="B803" t="s">
        <v>158</v>
      </c>
      <c r="C803" t="s">
        <v>7</v>
      </c>
      <c r="D803">
        <v>451</v>
      </c>
      <c r="E803" s="4">
        <f t="shared" si="24"/>
        <v>44418</v>
      </c>
      <c r="F803">
        <f t="shared" si="25"/>
        <v>611</v>
      </c>
    </row>
    <row r="804" spans="1:6" x14ac:dyDescent="0.55000000000000004">
      <c r="A804">
        <v>1.686344105198377E+19</v>
      </c>
      <c r="B804" t="s">
        <v>606</v>
      </c>
      <c r="C804" t="s">
        <v>7</v>
      </c>
      <c r="D804">
        <v>48</v>
      </c>
      <c r="E804" s="4">
        <f t="shared" si="24"/>
        <v>44037</v>
      </c>
      <c r="F804">
        <f t="shared" si="25"/>
        <v>992</v>
      </c>
    </row>
    <row r="805" spans="1:6" x14ac:dyDescent="0.55000000000000004">
      <c r="A805">
        <v>2.3249921401549619E+18</v>
      </c>
      <c r="B805" t="s">
        <v>607</v>
      </c>
      <c r="C805" t="s">
        <v>50</v>
      </c>
      <c r="D805">
        <v>445</v>
      </c>
      <c r="E805" s="4">
        <f t="shared" si="24"/>
        <v>44576</v>
      </c>
      <c r="F805">
        <f t="shared" si="25"/>
        <v>453</v>
      </c>
    </row>
    <row r="806" spans="1:6" x14ac:dyDescent="0.55000000000000004">
      <c r="A806">
        <v>1.3429650595165749E+19</v>
      </c>
      <c r="B806" t="s">
        <v>608</v>
      </c>
      <c r="C806" t="s">
        <v>7</v>
      </c>
      <c r="D806">
        <v>3670</v>
      </c>
      <c r="E806" s="4">
        <f t="shared" si="24"/>
        <v>44845</v>
      </c>
      <c r="F806">
        <f t="shared" si="25"/>
        <v>184</v>
      </c>
    </row>
    <row r="807" spans="1:6" x14ac:dyDescent="0.55000000000000004">
      <c r="A807">
        <v>1.5981399699913851E+19</v>
      </c>
      <c r="B807" t="s">
        <v>609</v>
      </c>
      <c r="C807" t="s">
        <v>10</v>
      </c>
      <c r="D807">
        <v>1490</v>
      </c>
      <c r="E807" s="4">
        <f t="shared" si="24"/>
        <v>44429</v>
      </c>
      <c r="F807">
        <f t="shared" si="25"/>
        <v>600</v>
      </c>
    </row>
    <row r="808" spans="1:6" x14ac:dyDescent="0.55000000000000004">
      <c r="A808">
        <v>1.710465129836398E+19</v>
      </c>
      <c r="B808" t="s">
        <v>610</v>
      </c>
      <c r="C808" t="s">
        <v>10</v>
      </c>
      <c r="D808">
        <v>5148</v>
      </c>
      <c r="E808" s="4">
        <f t="shared" si="24"/>
        <v>44484</v>
      </c>
      <c r="F808">
        <f t="shared" si="25"/>
        <v>545</v>
      </c>
    </row>
    <row r="809" spans="1:6" x14ac:dyDescent="0.55000000000000004">
      <c r="A809">
        <v>1.1544241182249429E+19</v>
      </c>
      <c r="B809" t="s">
        <v>180</v>
      </c>
      <c r="C809" t="s">
        <v>10</v>
      </c>
      <c r="D809">
        <v>597</v>
      </c>
      <c r="E809" s="4">
        <f t="shared" si="24"/>
        <v>44696</v>
      </c>
      <c r="F809">
        <f t="shared" si="25"/>
        <v>333</v>
      </c>
    </row>
    <row r="810" spans="1:6" x14ac:dyDescent="0.55000000000000004">
      <c r="A810">
        <v>1.24468035397837E+19</v>
      </c>
      <c r="B810" t="s">
        <v>371</v>
      </c>
      <c r="C810" t="s">
        <v>13</v>
      </c>
      <c r="D810">
        <v>846</v>
      </c>
      <c r="E810" s="4">
        <f t="shared" si="24"/>
        <v>43935</v>
      </c>
      <c r="F810">
        <f t="shared" si="25"/>
        <v>1094</v>
      </c>
    </row>
    <row r="811" spans="1:6" x14ac:dyDescent="0.55000000000000004">
      <c r="A811">
        <v>9.0129078086439793E+18</v>
      </c>
      <c r="B811" t="s">
        <v>533</v>
      </c>
      <c r="C811" t="s">
        <v>10</v>
      </c>
      <c r="D811">
        <v>1095</v>
      </c>
      <c r="E811" s="4">
        <f t="shared" si="24"/>
        <v>44924</v>
      </c>
      <c r="F811">
        <f t="shared" si="25"/>
        <v>105</v>
      </c>
    </row>
    <row r="812" spans="1:6" x14ac:dyDescent="0.55000000000000004">
      <c r="A812">
        <v>1.1385402060610189E+19</v>
      </c>
      <c r="B812" t="s">
        <v>611</v>
      </c>
      <c r="C812" t="s">
        <v>13</v>
      </c>
      <c r="D812">
        <v>6856</v>
      </c>
      <c r="E812" s="4">
        <f t="shared" si="24"/>
        <v>44359</v>
      </c>
      <c r="F812">
        <f t="shared" si="25"/>
        <v>670</v>
      </c>
    </row>
    <row r="813" spans="1:6" x14ac:dyDescent="0.55000000000000004">
      <c r="A813">
        <v>1.5670996990043869E+19</v>
      </c>
      <c r="B813" t="s">
        <v>612</v>
      </c>
      <c r="C813" t="s">
        <v>10</v>
      </c>
      <c r="D813">
        <v>7345</v>
      </c>
      <c r="E813" s="4">
        <f t="shared" si="24"/>
        <v>44569</v>
      </c>
      <c r="F813">
        <f t="shared" si="25"/>
        <v>460</v>
      </c>
    </row>
    <row r="814" spans="1:6" x14ac:dyDescent="0.55000000000000004">
      <c r="A814">
        <v>2.8651927368076319E+18</v>
      </c>
      <c r="B814" t="s">
        <v>392</v>
      </c>
      <c r="C814" t="s">
        <v>13</v>
      </c>
      <c r="D814">
        <v>820</v>
      </c>
      <c r="E814" s="4">
        <f t="shared" si="24"/>
        <v>45013</v>
      </c>
      <c r="F814">
        <f t="shared" si="25"/>
        <v>16</v>
      </c>
    </row>
    <row r="815" spans="1:6" x14ac:dyDescent="0.55000000000000004">
      <c r="A815">
        <v>4.8279716963090606E+18</v>
      </c>
      <c r="B815" t="s">
        <v>613</v>
      </c>
      <c r="C815" t="s">
        <v>10</v>
      </c>
      <c r="D815">
        <v>701</v>
      </c>
      <c r="E815" s="4">
        <f t="shared" si="24"/>
        <v>44694</v>
      </c>
      <c r="F815">
        <f t="shared" si="25"/>
        <v>335</v>
      </c>
    </row>
    <row r="816" spans="1:6" x14ac:dyDescent="0.55000000000000004">
      <c r="A816">
        <v>8.8435373430543657E+18</v>
      </c>
      <c r="B816" t="s">
        <v>614</v>
      </c>
      <c r="C816" t="s">
        <v>7</v>
      </c>
      <c r="D816">
        <v>20</v>
      </c>
      <c r="E816" s="4">
        <f t="shared" si="24"/>
        <v>43836</v>
      </c>
      <c r="F816">
        <f t="shared" si="25"/>
        <v>1193</v>
      </c>
    </row>
    <row r="817" spans="1:6" x14ac:dyDescent="0.55000000000000004">
      <c r="A817">
        <v>5.3973038049061745E+18</v>
      </c>
      <c r="B817" t="s">
        <v>615</v>
      </c>
      <c r="C817" t="s">
        <v>26</v>
      </c>
      <c r="D817">
        <v>8479</v>
      </c>
      <c r="E817" s="4">
        <f t="shared" si="24"/>
        <v>44051</v>
      </c>
      <c r="F817">
        <f t="shared" si="25"/>
        <v>978</v>
      </c>
    </row>
    <row r="818" spans="1:6" x14ac:dyDescent="0.55000000000000004">
      <c r="A818">
        <v>3.2625381701961421E+18</v>
      </c>
      <c r="B818" t="s">
        <v>178</v>
      </c>
      <c r="C818" t="s">
        <v>10</v>
      </c>
      <c r="D818">
        <v>1666</v>
      </c>
      <c r="E818" s="4">
        <f t="shared" si="24"/>
        <v>44984</v>
      </c>
      <c r="F818">
        <f t="shared" si="25"/>
        <v>45</v>
      </c>
    </row>
    <row r="819" spans="1:6" x14ac:dyDescent="0.55000000000000004">
      <c r="A819">
        <v>3.1122270540513478E+17</v>
      </c>
      <c r="B819" t="s">
        <v>287</v>
      </c>
      <c r="C819" t="s">
        <v>10</v>
      </c>
      <c r="D819">
        <v>534</v>
      </c>
      <c r="E819" s="4">
        <f t="shared" si="24"/>
        <v>44981</v>
      </c>
      <c r="F819">
        <f t="shared" si="25"/>
        <v>48</v>
      </c>
    </row>
    <row r="820" spans="1:6" x14ac:dyDescent="0.55000000000000004">
      <c r="A820">
        <v>1.0208256641071489E+19</v>
      </c>
      <c r="B820" t="s">
        <v>616</v>
      </c>
      <c r="C820" t="s">
        <v>13</v>
      </c>
      <c r="D820">
        <v>2690</v>
      </c>
      <c r="E820" s="4">
        <f t="shared" si="24"/>
        <v>44271</v>
      </c>
      <c r="F820">
        <f t="shared" si="25"/>
        <v>758</v>
      </c>
    </row>
    <row r="821" spans="1:6" x14ac:dyDescent="0.55000000000000004">
      <c r="A821">
        <v>1.525234002805547E+19</v>
      </c>
      <c r="B821" t="s">
        <v>617</v>
      </c>
      <c r="C821" t="s">
        <v>10</v>
      </c>
      <c r="D821">
        <v>126</v>
      </c>
      <c r="E821" s="4">
        <f t="shared" si="24"/>
        <v>44574</v>
      </c>
      <c r="F821">
        <f t="shared" si="25"/>
        <v>455</v>
      </c>
    </row>
    <row r="822" spans="1:6" x14ac:dyDescent="0.55000000000000004">
      <c r="A822">
        <v>1.761906681546685E+19</v>
      </c>
      <c r="B822" t="s">
        <v>618</v>
      </c>
      <c r="C822" t="s">
        <v>13</v>
      </c>
      <c r="D822">
        <v>2646</v>
      </c>
      <c r="E822" s="4">
        <f t="shared" si="24"/>
        <v>44911</v>
      </c>
      <c r="F822">
        <f t="shared" si="25"/>
        <v>118</v>
      </c>
    </row>
    <row r="823" spans="1:6" x14ac:dyDescent="0.55000000000000004">
      <c r="A823">
        <v>1.742902964721654E+19</v>
      </c>
      <c r="B823" t="s">
        <v>193</v>
      </c>
      <c r="C823" t="s">
        <v>13</v>
      </c>
      <c r="D823">
        <v>443</v>
      </c>
      <c r="E823" s="4">
        <f t="shared" si="24"/>
        <v>44575</v>
      </c>
      <c r="F823">
        <f t="shared" si="25"/>
        <v>454</v>
      </c>
    </row>
    <row r="824" spans="1:6" x14ac:dyDescent="0.55000000000000004">
      <c r="A824">
        <v>1.239974817970707E+19</v>
      </c>
      <c r="B824" t="s">
        <v>619</v>
      </c>
      <c r="C824" t="s">
        <v>13</v>
      </c>
      <c r="D824">
        <v>490</v>
      </c>
      <c r="E824" s="4">
        <f t="shared" si="24"/>
        <v>43957</v>
      </c>
      <c r="F824">
        <f t="shared" si="25"/>
        <v>1072</v>
      </c>
    </row>
    <row r="825" spans="1:6" x14ac:dyDescent="0.55000000000000004">
      <c r="A825">
        <v>1.602840828731018E+19</v>
      </c>
      <c r="B825" t="s">
        <v>97</v>
      </c>
      <c r="C825" t="s">
        <v>10</v>
      </c>
      <c r="D825">
        <v>717</v>
      </c>
      <c r="E825" s="4">
        <f t="shared" si="24"/>
        <v>44444</v>
      </c>
      <c r="F825">
        <f t="shared" si="25"/>
        <v>585</v>
      </c>
    </row>
    <row r="826" spans="1:6" x14ac:dyDescent="0.55000000000000004">
      <c r="A826">
        <v>1.2844486894458751E+19</v>
      </c>
      <c r="B826" t="s">
        <v>591</v>
      </c>
      <c r="C826" t="s">
        <v>13</v>
      </c>
      <c r="D826">
        <v>149</v>
      </c>
      <c r="E826" s="4">
        <f t="shared" si="24"/>
        <v>44387</v>
      </c>
      <c r="F826">
        <f t="shared" si="25"/>
        <v>642</v>
      </c>
    </row>
    <row r="827" spans="1:6" x14ac:dyDescent="0.55000000000000004">
      <c r="A827">
        <v>8.7935106791523226E+18</v>
      </c>
      <c r="B827" t="s">
        <v>499</v>
      </c>
      <c r="C827" t="s">
        <v>7</v>
      </c>
      <c r="D827">
        <v>814</v>
      </c>
      <c r="E827" s="4">
        <f t="shared" si="24"/>
        <v>44109</v>
      </c>
      <c r="F827">
        <f t="shared" si="25"/>
        <v>920</v>
      </c>
    </row>
    <row r="828" spans="1:6" x14ac:dyDescent="0.55000000000000004">
      <c r="A828">
        <v>1.5813885059110459E+19</v>
      </c>
      <c r="B828" t="s">
        <v>386</v>
      </c>
      <c r="C828" t="s">
        <v>13</v>
      </c>
      <c r="D828">
        <v>2440</v>
      </c>
      <c r="E828" s="4">
        <f t="shared" si="24"/>
        <v>44329</v>
      </c>
      <c r="F828">
        <f t="shared" si="25"/>
        <v>700</v>
      </c>
    </row>
    <row r="829" spans="1:6" x14ac:dyDescent="0.55000000000000004">
      <c r="A829">
        <v>4.3270255639258972E+18</v>
      </c>
      <c r="B829" t="s">
        <v>363</v>
      </c>
      <c r="C829" t="s">
        <v>13</v>
      </c>
      <c r="D829">
        <v>449</v>
      </c>
      <c r="E829" s="4">
        <f t="shared" si="24"/>
        <v>44454</v>
      </c>
      <c r="F829">
        <f t="shared" si="25"/>
        <v>575</v>
      </c>
    </row>
    <row r="830" spans="1:6" x14ac:dyDescent="0.55000000000000004">
      <c r="A830">
        <v>1.574274455372594E+19</v>
      </c>
      <c r="B830" t="s">
        <v>620</v>
      </c>
      <c r="C830" t="s">
        <v>46</v>
      </c>
      <c r="D830">
        <v>858</v>
      </c>
      <c r="E830" s="4">
        <f t="shared" si="24"/>
        <v>44425</v>
      </c>
      <c r="F830">
        <f t="shared" si="25"/>
        <v>604</v>
      </c>
    </row>
    <row r="831" spans="1:6" x14ac:dyDescent="0.55000000000000004">
      <c r="A831">
        <v>3.2594632490669732E+18</v>
      </c>
      <c r="B831" t="s">
        <v>621</v>
      </c>
      <c r="C831" t="s">
        <v>10</v>
      </c>
      <c r="D831">
        <v>844</v>
      </c>
      <c r="E831" s="4">
        <f t="shared" si="24"/>
        <v>44888</v>
      </c>
      <c r="F831">
        <f t="shared" si="25"/>
        <v>141</v>
      </c>
    </row>
    <row r="832" spans="1:6" x14ac:dyDescent="0.55000000000000004">
      <c r="A832">
        <v>1.367570441445676E+19</v>
      </c>
      <c r="B832" t="s">
        <v>622</v>
      </c>
      <c r="C832" t="s">
        <v>50</v>
      </c>
      <c r="D832">
        <v>126</v>
      </c>
      <c r="E832" s="4">
        <f t="shared" si="24"/>
        <v>44420</v>
      </c>
      <c r="F832">
        <f t="shared" si="25"/>
        <v>609</v>
      </c>
    </row>
    <row r="833" spans="1:6" x14ac:dyDescent="0.55000000000000004">
      <c r="A833">
        <v>1.1574956872702231E+19</v>
      </c>
      <c r="B833" t="s">
        <v>376</v>
      </c>
      <c r="C833" t="s">
        <v>10</v>
      </c>
      <c r="D833">
        <v>2785</v>
      </c>
      <c r="E833" s="4">
        <f t="shared" si="24"/>
        <v>45018</v>
      </c>
      <c r="F833">
        <f t="shared" si="25"/>
        <v>11</v>
      </c>
    </row>
    <row r="834" spans="1:6" x14ac:dyDescent="0.55000000000000004">
      <c r="A834">
        <v>8.7716318777703711E+18</v>
      </c>
      <c r="B834" t="s">
        <v>355</v>
      </c>
      <c r="C834" t="s">
        <v>13</v>
      </c>
      <c r="D834">
        <v>455</v>
      </c>
      <c r="E834" s="4">
        <f t="shared" si="24"/>
        <v>44330</v>
      </c>
      <c r="F834">
        <f t="shared" si="25"/>
        <v>699</v>
      </c>
    </row>
    <row r="835" spans="1:6" x14ac:dyDescent="0.55000000000000004">
      <c r="A835">
        <v>4.8639728879807365E+18</v>
      </c>
      <c r="B835" t="s">
        <v>515</v>
      </c>
      <c r="C835" t="s">
        <v>13</v>
      </c>
      <c r="D835">
        <v>2640</v>
      </c>
      <c r="E835" s="4">
        <f t="shared" ref="E835:E898" si="26">DATEVALUE(B835)</f>
        <v>44521</v>
      </c>
      <c r="F835">
        <f t="shared" ref="F835:F898" si="27">$H$1-E835</f>
        <v>508</v>
      </c>
    </row>
    <row r="836" spans="1:6" x14ac:dyDescent="0.55000000000000004">
      <c r="A836">
        <v>1.143367781385737E+19</v>
      </c>
      <c r="B836" t="s">
        <v>432</v>
      </c>
      <c r="C836" t="s">
        <v>10</v>
      </c>
      <c r="D836">
        <v>13140</v>
      </c>
      <c r="E836" s="4">
        <f t="shared" si="26"/>
        <v>44777</v>
      </c>
      <c r="F836">
        <f t="shared" si="27"/>
        <v>252</v>
      </c>
    </row>
    <row r="837" spans="1:6" x14ac:dyDescent="0.55000000000000004">
      <c r="A837">
        <v>7.7811236904721183E+18</v>
      </c>
      <c r="B837" t="s">
        <v>623</v>
      </c>
      <c r="C837" t="s">
        <v>13</v>
      </c>
      <c r="D837">
        <v>1847</v>
      </c>
      <c r="E837" s="4">
        <f t="shared" si="26"/>
        <v>44253</v>
      </c>
      <c r="F837">
        <f t="shared" si="27"/>
        <v>776</v>
      </c>
    </row>
    <row r="838" spans="1:6" x14ac:dyDescent="0.55000000000000004">
      <c r="A838">
        <v>1.484930902900709E+19</v>
      </c>
      <c r="B838" t="s">
        <v>434</v>
      </c>
      <c r="C838" t="s">
        <v>13</v>
      </c>
      <c r="D838">
        <v>522</v>
      </c>
      <c r="E838" s="4">
        <f t="shared" si="26"/>
        <v>44226</v>
      </c>
      <c r="F838">
        <f t="shared" si="27"/>
        <v>803</v>
      </c>
    </row>
    <row r="839" spans="1:6" x14ac:dyDescent="0.55000000000000004">
      <c r="A839">
        <v>1.1747066878444419E+19</v>
      </c>
      <c r="B839" t="s">
        <v>624</v>
      </c>
      <c r="C839" t="s">
        <v>7</v>
      </c>
      <c r="D839">
        <v>465</v>
      </c>
      <c r="E839" s="4">
        <f t="shared" si="26"/>
        <v>44883</v>
      </c>
      <c r="F839">
        <f t="shared" si="27"/>
        <v>146</v>
      </c>
    </row>
    <row r="840" spans="1:6" x14ac:dyDescent="0.55000000000000004">
      <c r="A840">
        <v>1.669571824780218E+19</v>
      </c>
      <c r="B840" t="s">
        <v>461</v>
      </c>
      <c r="C840" t="s">
        <v>10</v>
      </c>
      <c r="D840">
        <v>1099</v>
      </c>
      <c r="E840" s="4">
        <f t="shared" si="26"/>
        <v>44441</v>
      </c>
      <c r="F840">
        <f t="shared" si="27"/>
        <v>588</v>
      </c>
    </row>
    <row r="841" spans="1:6" x14ac:dyDescent="0.55000000000000004">
      <c r="A841">
        <v>1.0536985698884211E+19</v>
      </c>
      <c r="B841" t="s">
        <v>585</v>
      </c>
      <c r="C841" t="s">
        <v>13</v>
      </c>
      <c r="D841">
        <v>445</v>
      </c>
      <c r="E841" s="4">
        <f t="shared" si="26"/>
        <v>44860</v>
      </c>
      <c r="F841">
        <f t="shared" si="27"/>
        <v>169</v>
      </c>
    </row>
    <row r="842" spans="1:6" x14ac:dyDescent="0.55000000000000004">
      <c r="A842">
        <v>6.6437018081170381E+17</v>
      </c>
      <c r="B842" t="s">
        <v>625</v>
      </c>
      <c r="C842" t="s">
        <v>10</v>
      </c>
      <c r="D842">
        <v>3357</v>
      </c>
      <c r="E842" s="4">
        <f t="shared" si="26"/>
        <v>44495</v>
      </c>
      <c r="F842">
        <f t="shared" si="27"/>
        <v>534</v>
      </c>
    </row>
    <row r="843" spans="1:6" x14ac:dyDescent="0.55000000000000004">
      <c r="A843">
        <v>2.4027411443830999E+18</v>
      </c>
      <c r="B843" t="s">
        <v>64</v>
      </c>
      <c r="C843" t="s">
        <v>50</v>
      </c>
      <c r="D843">
        <v>39</v>
      </c>
      <c r="E843" s="4">
        <f t="shared" si="26"/>
        <v>44287</v>
      </c>
      <c r="F843">
        <f t="shared" si="27"/>
        <v>742</v>
      </c>
    </row>
    <row r="844" spans="1:6" x14ac:dyDescent="0.55000000000000004">
      <c r="A844">
        <v>3.9275450521629261E+18</v>
      </c>
      <c r="B844" t="s">
        <v>626</v>
      </c>
      <c r="C844" t="s">
        <v>26</v>
      </c>
      <c r="D844">
        <v>319</v>
      </c>
      <c r="E844" s="4">
        <f t="shared" si="26"/>
        <v>43756</v>
      </c>
      <c r="F844">
        <f t="shared" si="27"/>
        <v>1273</v>
      </c>
    </row>
    <row r="845" spans="1:6" x14ac:dyDescent="0.55000000000000004">
      <c r="A845">
        <v>1.301594127393486E+19</v>
      </c>
      <c r="B845" t="s">
        <v>18</v>
      </c>
      <c r="C845" t="s">
        <v>10</v>
      </c>
      <c r="D845">
        <v>398</v>
      </c>
      <c r="E845" s="4">
        <f t="shared" si="26"/>
        <v>44982</v>
      </c>
      <c r="F845">
        <f t="shared" si="27"/>
        <v>47</v>
      </c>
    </row>
    <row r="846" spans="1:6" x14ac:dyDescent="0.55000000000000004">
      <c r="A846">
        <v>8.9832999901843036E+18</v>
      </c>
      <c r="B846" t="s">
        <v>376</v>
      </c>
      <c r="C846" t="s">
        <v>10</v>
      </c>
      <c r="D846">
        <v>300</v>
      </c>
      <c r="E846" s="4">
        <f t="shared" si="26"/>
        <v>45018</v>
      </c>
      <c r="F846">
        <f t="shared" si="27"/>
        <v>11</v>
      </c>
    </row>
    <row r="847" spans="1:6" x14ac:dyDescent="0.55000000000000004">
      <c r="A847">
        <v>1.4605535743231601E+19</v>
      </c>
      <c r="B847" t="s">
        <v>590</v>
      </c>
      <c r="C847" t="s">
        <v>10</v>
      </c>
      <c r="D847">
        <v>398</v>
      </c>
      <c r="E847" s="4">
        <f t="shared" si="26"/>
        <v>44398</v>
      </c>
      <c r="F847">
        <f t="shared" si="27"/>
        <v>631</v>
      </c>
    </row>
    <row r="848" spans="1:6" x14ac:dyDescent="0.55000000000000004">
      <c r="A848">
        <v>9.6724537078458496E+17</v>
      </c>
      <c r="B848" t="s">
        <v>627</v>
      </c>
      <c r="C848" t="s">
        <v>7</v>
      </c>
      <c r="D848">
        <v>178</v>
      </c>
      <c r="E848" s="4">
        <f t="shared" si="26"/>
        <v>44810</v>
      </c>
      <c r="F848">
        <f t="shared" si="27"/>
        <v>219</v>
      </c>
    </row>
    <row r="849" spans="1:6" x14ac:dyDescent="0.55000000000000004">
      <c r="A849">
        <v>4.574168725778793E+18</v>
      </c>
      <c r="B849" t="s">
        <v>628</v>
      </c>
      <c r="C849" t="s">
        <v>13</v>
      </c>
      <c r="D849">
        <v>1560</v>
      </c>
      <c r="E849" s="4">
        <f t="shared" si="26"/>
        <v>44131</v>
      </c>
      <c r="F849">
        <f t="shared" si="27"/>
        <v>898</v>
      </c>
    </row>
    <row r="850" spans="1:6" x14ac:dyDescent="0.55000000000000004">
      <c r="A850">
        <v>5.4967923404373617E+18</v>
      </c>
      <c r="B850" t="s">
        <v>629</v>
      </c>
      <c r="C850" t="s">
        <v>10</v>
      </c>
      <c r="D850">
        <v>1418</v>
      </c>
      <c r="E850" s="4">
        <f t="shared" si="26"/>
        <v>44829</v>
      </c>
      <c r="F850">
        <f t="shared" si="27"/>
        <v>200</v>
      </c>
    </row>
    <row r="851" spans="1:6" x14ac:dyDescent="0.55000000000000004">
      <c r="A851">
        <v>1.2302739047481971E+19</v>
      </c>
      <c r="B851" t="s">
        <v>630</v>
      </c>
      <c r="C851" t="s">
        <v>13</v>
      </c>
      <c r="D851">
        <v>1359</v>
      </c>
      <c r="E851" s="4">
        <f t="shared" si="26"/>
        <v>44435</v>
      </c>
      <c r="F851">
        <f t="shared" si="27"/>
        <v>594</v>
      </c>
    </row>
    <row r="852" spans="1:6" x14ac:dyDescent="0.55000000000000004">
      <c r="A852">
        <v>8.4999954768623831E+18</v>
      </c>
      <c r="B852" t="s">
        <v>451</v>
      </c>
      <c r="C852" t="s">
        <v>13</v>
      </c>
      <c r="D852">
        <v>435</v>
      </c>
      <c r="E852" s="4">
        <f t="shared" si="26"/>
        <v>44901</v>
      </c>
      <c r="F852">
        <f t="shared" si="27"/>
        <v>128</v>
      </c>
    </row>
    <row r="853" spans="1:6" x14ac:dyDescent="0.55000000000000004">
      <c r="A853">
        <v>1.3005240302932129E+18</v>
      </c>
      <c r="B853" t="s">
        <v>631</v>
      </c>
      <c r="C853" t="s">
        <v>10</v>
      </c>
      <c r="D853">
        <v>567</v>
      </c>
      <c r="E853" s="4">
        <f t="shared" si="26"/>
        <v>44264</v>
      </c>
      <c r="F853">
        <f t="shared" si="27"/>
        <v>765</v>
      </c>
    </row>
    <row r="854" spans="1:6" x14ac:dyDescent="0.55000000000000004">
      <c r="A854">
        <v>1.2438126385230721E+19</v>
      </c>
      <c r="B854" t="s">
        <v>632</v>
      </c>
      <c r="C854" t="s">
        <v>13</v>
      </c>
      <c r="D854">
        <v>862</v>
      </c>
      <c r="E854" s="4">
        <f t="shared" si="26"/>
        <v>44589</v>
      </c>
      <c r="F854">
        <f t="shared" si="27"/>
        <v>440</v>
      </c>
    </row>
    <row r="855" spans="1:6" x14ac:dyDescent="0.55000000000000004">
      <c r="A855">
        <v>7.5261506837205473E+18</v>
      </c>
      <c r="B855" t="s">
        <v>515</v>
      </c>
      <c r="C855" t="s">
        <v>10</v>
      </c>
      <c r="D855">
        <v>4470</v>
      </c>
      <c r="E855" s="4">
        <f t="shared" si="26"/>
        <v>44521</v>
      </c>
      <c r="F855">
        <f t="shared" si="27"/>
        <v>508</v>
      </c>
    </row>
    <row r="856" spans="1:6" x14ac:dyDescent="0.55000000000000004">
      <c r="A856">
        <v>9.8353873328945715E+17</v>
      </c>
      <c r="B856" t="s">
        <v>633</v>
      </c>
      <c r="C856" t="s">
        <v>13</v>
      </c>
      <c r="D856">
        <v>597</v>
      </c>
      <c r="E856" s="4">
        <f t="shared" si="26"/>
        <v>43596</v>
      </c>
      <c r="F856">
        <f t="shared" si="27"/>
        <v>1433</v>
      </c>
    </row>
    <row r="857" spans="1:6" x14ac:dyDescent="0.55000000000000004">
      <c r="A857">
        <v>9.1327467820469637E+18</v>
      </c>
      <c r="B857" t="s">
        <v>231</v>
      </c>
      <c r="C857" t="s">
        <v>10</v>
      </c>
      <c r="D857">
        <v>3072</v>
      </c>
      <c r="E857" s="4">
        <f t="shared" si="26"/>
        <v>44383</v>
      </c>
      <c r="F857">
        <f t="shared" si="27"/>
        <v>646</v>
      </c>
    </row>
    <row r="858" spans="1:6" x14ac:dyDescent="0.55000000000000004">
      <c r="A858">
        <v>6.7667673536150569E+18</v>
      </c>
      <c r="B858" t="s">
        <v>487</v>
      </c>
      <c r="C858" t="s">
        <v>7</v>
      </c>
      <c r="D858">
        <v>151</v>
      </c>
      <c r="E858" s="4">
        <f t="shared" si="26"/>
        <v>44388</v>
      </c>
      <c r="F858">
        <f t="shared" si="27"/>
        <v>641</v>
      </c>
    </row>
    <row r="859" spans="1:6" x14ac:dyDescent="0.55000000000000004">
      <c r="A859">
        <v>5.881433254715179E+18</v>
      </c>
      <c r="B859" t="s">
        <v>634</v>
      </c>
      <c r="C859" t="s">
        <v>10</v>
      </c>
      <c r="D859">
        <v>1218</v>
      </c>
      <c r="E859" s="4">
        <f t="shared" si="26"/>
        <v>44645</v>
      </c>
      <c r="F859">
        <f t="shared" si="27"/>
        <v>384</v>
      </c>
    </row>
    <row r="860" spans="1:6" x14ac:dyDescent="0.55000000000000004">
      <c r="A860">
        <v>9.4208041421171077E+18</v>
      </c>
      <c r="B860" t="s">
        <v>635</v>
      </c>
      <c r="C860" t="s">
        <v>13</v>
      </c>
      <c r="D860">
        <v>4034</v>
      </c>
      <c r="E860" s="4">
        <f t="shared" si="26"/>
        <v>45020</v>
      </c>
      <c r="F860">
        <f t="shared" si="27"/>
        <v>9</v>
      </c>
    </row>
    <row r="861" spans="1:6" x14ac:dyDescent="0.55000000000000004">
      <c r="A861">
        <v>1.622757487147571E+19</v>
      </c>
      <c r="B861" t="s">
        <v>424</v>
      </c>
      <c r="C861" t="s">
        <v>7</v>
      </c>
      <c r="D861">
        <v>750</v>
      </c>
      <c r="E861" s="4">
        <f t="shared" si="26"/>
        <v>44048</v>
      </c>
      <c r="F861">
        <f t="shared" si="27"/>
        <v>981</v>
      </c>
    </row>
    <row r="862" spans="1:6" x14ac:dyDescent="0.55000000000000004">
      <c r="A862">
        <v>1.7876883666677039E+19</v>
      </c>
      <c r="B862" t="s">
        <v>636</v>
      </c>
      <c r="C862" t="s">
        <v>46</v>
      </c>
      <c r="D862">
        <v>577</v>
      </c>
      <c r="E862" s="4">
        <f t="shared" si="26"/>
        <v>44653</v>
      </c>
      <c r="F862">
        <f t="shared" si="27"/>
        <v>376</v>
      </c>
    </row>
    <row r="863" spans="1:6" x14ac:dyDescent="0.55000000000000004">
      <c r="A863">
        <v>9.2092839124872847E+18</v>
      </c>
      <c r="B863" t="s">
        <v>637</v>
      </c>
      <c r="C863" t="s">
        <v>13</v>
      </c>
      <c r="D863">
        <v>418</v>
      </c>
      <c r="E863" s="4">
        <f t="shared" si="26"/>
        <v>44872</v>
      </c>
      <c r="F863">
        <f t="shared" si="27"/>
        <v>157</v>
      </c>
    </row>
    <row r="864" spans="1:6" x14ac:dyDescent="0.55000000000000004">
      <c r="A864">
        <v>1.2405799779277251E+19</v>
      </c>
      <c r="B864" t="s">
        <v>638</v>
      </c>
      <c r="C864" t="s">
        <v>13</v>
      </c>
      <c r="D864">
        <v>2900</v>
      </c>
      <c r="E864" s="4">
        <f t="shared" si="26"/>
        <v>44191</v>
      </c>
      <c r="F864">
        <f t="shared" si="27"/>
        <v>838</v>
      </c>
    </row>
    <row r="865" spans="1:6" x14ac:dyDescent="0.55000000000000004">
      <c r="A865">
        <v>1.169399923837425E+19</v>
      </c>
      <c r="B865" t="s">
        <v>639</v>
      </c>
      <c r="C865" t="s">
        <v>10</v>
      </c>
      <c r="D865">
        <v>1490</v>
      </c>
      <c r="E865" s="4">
        <f t="shared" si="26"/>
        <v>44494</v>
      </c>
      <c r="F865">
        <f t="shared" si="27"/>
        <v>535</v>
      </c>
    </row>
    <row r="866" spans="1:6" x14ac:dyDescent="0.55000000000000004">
      <c r="A866">
        <v>1.7955982481916549E+19</v>
      </c>
      <c r="B866" t="s">
        <v>640</v>
      </c>
      <c r="C866" t="s">
        <v>13</v>
      </c>
      <c r="D866">
        <v>60</v>
      </c>
      <c r="E866" s="4">
        <f t="shared" si="26"/>
        <v>44036</v>
      </c>
      <c r="F866">
        <f t="shared" si="27"/>
        <v>993</v>
      </c>
    </row>
    <row r="867" spans="1:6" x14ac:dyDescent="0.55000000000000004">
      <c r="A867">
        <v>1.7433041954975681E+19</v>
      </c>
      <c r="B867" t="s">
        <v>641</v>
      </c>
      <c r="C867" t="s">
        <v>13</v>
      </c>
      <c r="D867">
        <v>4790</v>
      </c>
      <c r="E867" s="4">
        <f t="shared" si="26"/>
        <v>44634</v>
      </c>
      <c r="F867">
        <f t="shared" si="27"/>
        <v>395</v>
      </c>
    </row>
    <row r="868" spans="1:6" x14ac:dyDescent="0.55000000000000004">
      <c r="A868">
        <v>1.7701496478709729E+19</v>
      </c>
      <c r="B868" t="s">
        <v>533</v>
      </c>
      <c r="C868" t="s">
        <v>7</v>
      </c>
      <c r="D868">
        <v>380</v>
      </c>
      <c r="E868" s="4">
        <f t="shared" si="26"/>
        <v>44924</v>
      </c>
      <c r="F868">
        <f t="shared" si="27"/>
        <v>105</v>
      </c>
    </row>
    <row r="869" spans="1:6" x14ac:dyDescent="0.55000000000000004">
      <c r="A869">
        <v>1.7935006761815679E+19</v>
      </c>
      <c r="B869" t="s">
        <v>142</v>
      </c>
      <c r="C869" t="s">
        <v>13</v>
      </c>
      <c r="D869">
        <v>2960</v>
      </c>
      <c r="E869" s="4">
        <f t="shared" si="26"/>
        <v>44272</v>
      </c>
      <c r="F869">
        <f t="shared" si="27"/>
        <v>757</v>
      </c>
    </row>
    <row r="870" spans="1:6" x14ac:dyDescent="0.55000000000000004">
      <c r="A870">
        <v>1.0786140050935439E+18</v>
      </c>
      <c r="B870" t="s">
        <v>527</v>
      </c>
      <c r="C870" t="s">
        <v>7</v>
      </c>
      <c r="D870">
        <v>580</v>
      </c>
      <c r="E870" s="4">
        <f t="shared" si="26"/>
        <v>44643</v>
      </c>
      <c r="F870">
        <f t="shared" si="27"/>
        <v>386</v>
      </c>
    </row>
    <row r="871" spans="1:6" x14ac:dyDescent="0.55000000000000004">
      <c r="A871">
        <v>1.160766389248658E+19</v>
      </c>
      <c r="B871" t="s">
        <v>538</v>
      </c>
      <c r="C871" t="s">
        <v>7</v>
      </c>
      <c r="D871">
        <v>750</v>
      </c>
      <c r="E871" s="4">
        <f t="shared" si="26"/>
        <v>44712</v>
      </c>
      <c r="F871">
        <f t="shared" si="27"/>
        <v>317</v>
      </c>
    </row>
    <row r="872" spans="1:6" x14ac:dyDescent="0.55000000000000004">
      <c r="A872">
        <v>7.4680932947525184E+17</v>
      </c>
      <c r="B872" t="s">
        <v>345</v>
      </c>
      <c r="C872" t="s">
        <v>13</v>
      </c>
      <c r="D872">
        <v>1870</v>
      </c>
      <c r="E872" s="4">
        <f t="shared" si="26"/>
        <v>44809</v>
      </c>
      <c r="F872">
        <f t="shared" si="27"/>
        <v>220</v>
      </c>
    </row>
    <row r="873" spans="1:6" x14ac:dyDescent="0.55000000000000004">
      <c r="A873">
        <v>4.6234128565641308E+18</v>
      </c>
      <c r="B873" t="s">
        <v>535</v>
      </c>
      <c r="C873" t="s">
        <v>10</v>
      </c>
      <c r="D873">
        <v>0</v>
      </c>
      <c r="E873" s="4">
        <f t="shared" si="26"/>
        <v>44275</v>
      </c>
      <c r="F873">
        <f t="shared" si="27"/>
        <v>754</v>
      </c>
    </row>
    <row r="874" spans="1:6" x14ac:dyDescent="0.55000000000000004">
      <c r="A874">
        <v>9.4805907407423304E+18</v>
      </c>
      <c r="B874" t="s">
        <v>226</v>
      </c>
      <c r="C874" t="s">
        <v>13</v>
      </c>
      <c r="D874">
        <v>456</v>
      </c>
      <c r="E874" s="4">
        <f t="shared" si="26"/>
        <v>44613</v>
      </c>
      <c r="F874">
        <f t="shared" si="27"/>
        <v>416</v>
      </c>
    </row>
    <row r="875" spans="1:6" x14ac:dyDescent="0.55000000000000004">
      <c r="A875">
        <v>6.1368107832507228E+18</v>
      </c>
      <c r="B875" t="s">
        <v>642</v>
      </c>
      <c r="C875" t="s">
        <v>10</v>
      </c>
      <c r="D875">
        <v>2568</v>
      </c>
      <c r="E875" s="4">
        <f t="shared" si="26"/>
        <v>44703</v>
      </c>
      <c r="F875">
        <f t="shared" si="27"/>
        <v>326</v>
      </c>
    </row>
    <row r="876" spans="1:6" x14ac:dyDescent="0.55000000000000004">
      <c r="A876">
        <v>8.8687396167415603E+18</v>
      </c>
      <c r="B876" t="s">
        <v>341</v>
      </c>
      <c r="C876" t="s">
        <v>13</v>
      </c>
      <c r="D876">
        <v>3636</v>
      </c>
      <c r="E876" s="4">
        <f t="shared" si="26"/>
        <v>44354</v>
      </c>
      <c r="F876">
        <f t="shared" si="27"/>
        <v>675</v>
      </c>
    </row>
    <row r="877" spans="1:6" x14ac:dyDescent="0.55000000000000004">
      <c r="A877">
        <v>4.8279716963090606E+18</v>
      </c>
      <c r="B877" t="s">
        <v>357</v>
      </c>
      <c r="C877" t="s">
        <v>10</v>
      </c>
      <c r="D877">
        <v>1196</v>
      </c>
      <c r="E877" s="4">
        <f t="shared" si="26"/>
        <v>44892</v>
      </c>
      <c r="F877">
        <f t="shared" si="27"/>
        <v>137</v>
      </c>
    </row>
    <row r="878" spans="1:6" x14ac:dyDescent="0.55000000000000004">
      <c r="A878">
        <v>1.310069109594565E+19</v>
      </c>
      <c r="B878" t="s">
        <v>643</v>
      </c>
      <c r="C878" t="s">
        <v>50</v>
      </c>
      <c r="D878">
        <v>84</v>
      </c>
      <c r="E878" s="4">
        <f t="shared" si="26"/>
        <v>44805</v>
      </c>
      <c r="F878">
        <f t="shared" si="27"/>
        <v>224</v>
      </c>
    </row>
    <row r="879" spans="1:6" x14ac:dyDescent="0.55000000000000004">
      <c r="A879">
        <v>1.7493471554403781E+19</v>
      </c>
      <c r="B879" t="s">
        <v>515</v>
      </c>
      <c r="C879" t="s">
        <v>10</v>
      </c>
      <c r="D879">
        <v>5999</v>
      </c>
      <c r="E879" s="4">
        <f t="shared" si="26"/>
        <v>44521</v>
      </c>
      <c r="F879">
        <f t="shared" si="27"/>
        <v>508</v>
      </c>
    </row>
    <row r="880" spans="1:6" x14ac:dyDescent="0.55000000000000004">
      <c r="A880">
        <v>9.8187111120081879E+18</v>
      </c>
      <c r="B880" t="s">
        <v>644</v>
      </c>
      <c r="C880" t="s">
        <v>13</v>
      </c>
      <c r="D880">
        <v>2690</v>
      </c>
      <c r="E880" s="4">
        <f t="shared" si="26"/>
        <v>44814</v>
      </c>
      <c r="F880">
        <f t="shared" si="27"/>
        <v>215</v>
      </c>
    </row>
    <row r="881" spans="1:6" x14ac:dyDescent="0.55000000000000004">
      <c r="A881">
        <v>1.4248678608133429E+19</v>
      </c>
      <c r="B881" t="s">
        <v>91</v>
      </c>
      <c r="C881" t="s">
        <v>13</v>
      </c>
      <c r="D881">
        <v>1990</v>
      </c>
      <c r="E881" s="4">
        <f t="shared" si="26"/>
        <v>44831</v>
      </c>
      <c r="F881">
        <f t="shared" si="27"/>
        <v>198</v>
      </c>
    </row>
    <row r="882" spans="1:6" x14ac:dyDescent="0.55000000000000004">
      <c r="A882">
        <v>1.4723412379073901E+19</v>
      </c>
      <c r="B882" t="s">
        <v>11</v>
      </c>
      <c r="C882" t="s">
        <v>46</v>
      </c>
      <c r="D882">
        <v>562</v>
      </c>
      <c r="E882" s="4">
        <f t="shared" si="26"/>
        <v>44923</v>
      </c>
      <c r="F882">
        <f t="shared" si="27"/>
        <v>106</v>
      </c>
    </row>
    <row r="883" spans="1:6" x14ac:dyDescent="0.55000000000000004">
      <c r="A883">
        <v>1.104004682932333E+19</v>
      </c>
      <c r="B883" t="s">
        <v>645</v>
      </c>
      <c r="C883" t="s">
        <v>13</v>
      </c>
      <c r="D883">
        <v>747</v>
      </c>
      <c r="E883" s="4">
        <f t="shared" si="26"/>
        <v>44897</v>
      </c>
      <c r="F883">
        <f t="shared" si="27"/>
        <v>132</v>
      </c>
    </row>
    <row r="884" spans="1:6" x14ac:dyDescent="0.55000000000000004">
      <c r="A884">
        <v>6.8320949424856115E+18</v>
      </c>
      <c r="B884" t="s">
        <v>646</v>
      </c>
      <c r="C884" t="s">
        <v>10</v>
      </c>
      <c r="D884">
        <v>299</v>
      </c>
      <c r="E884" s="4">
        <f t="shared" si="26"/>
        <v>44535</v>
      </c>
      <c r="F884">
        <f t="shared" si="27"/>
        <v>494</v>
      </c>
    </row>
    <row r="885" spans="1:6" x14ac:dyDescent="0.55000000000000004">
      <c r="A885">
        <v>4.2434207068438789E+18</v>
      </c>
      <c r="B885" t="s">
        <v>647</v>
      </c>
      <c r="C885" t="s">
        <v>7</v>
      </c>
      <c r="D885">
        <v>472</v>
      </c>
      <c r="E885" s="4">
        <f t="shared" si="26"/>
        <v>44920</v>
      </c>
      <c r="F885">
        <f t="shared" si="27"/>
        <v>109</v>
      </c>
    </row>
    <row r="886" spans="1:6" x14ac:dyDescent="0.55000000000000004">
      <c r="A886">
        <v>1.3703114569611069E+19</v>
      </c>
      <c r="B886" t="s">
        <v>648</v>
      </c>
      <c r="C886" t="s">
        <v>13</v>
      </c>
      <c r="D886">
        <v>8086</v>
      </c>
      <c r="E886" s="4">
        <f t="shared" si="26"/>
        <v>43810</v>
      </c>
      <c r="F886">
        <f t="shared" si="27"/>
        <v>1219</v>
      </c>
    </row>
    <row r="887" spans="1:6" x14ac:dyDescent="0.55000000000000004">
      <c r="A887">
        <v>8.2988321104194744E+18</v>
      </c>
      <c r="B887" t="s">
        <v>649</v>
      </c>
      <c r="C887" t="s">
        <v>10</v>
      </c>
      <c r="D887">
        <v>4448</v>
      </c>
      <c r="E887" s="4">
        <f t="shared" si="26"/>
        <v>44391</v>
      </c>
      <c r="F887">
        <f t="shared" si="27"/>
        <v>638</v>
      </c>
    </row>
    <row r="888" spans="1:6" x14ac:dyDescent="0.55000000000000004">
      <c r="A888">
        <v>5.3973038049061745E+18</v>
      </c>
      <c r="B888" t="s">
        <v>144</v>
      </c>
      <c r="C888" t="s">
        <v>50</v>
      </c>
      <c r="D888">
        <v>11150.77</v>
      </c>
      <c r="E888" s="4">
        <f t="shared" si="26"/>
        <v>44636</v>
      </c>
      <c r="F888">
        <f t="shared" si="27"/>
        <v>393</v>
      </c>
    </row>
    <row r="889" spans="1:6" x14ac:dyDescent="0.55000000000000004">
      <c r="A889">
        <v>1.363557571381281E+19</v>
      </c>
      <c r="B889" t="s">
        <v>173</v>
      </c>
      <c r="C889" t="s">
        <v>13</v>
      </c>
      <c r="D889">
        <v>7358</v>
      </c>
      <c r="E889" s="4">
        <f t="shared" si="26"/>
        <v>44774</v>
      </c>
      <c r="F889">
        <f t="shared" si="27"/>
        <v>255</v>
      </c>
    </row>
    <row r="890" spans="1:6" x14ac:dyDescent="0.55000000000000004">
      <c r="A890">
        <v>1.323533584187331E+19</v>
      </c>
      <c r="B890" t="s">
        <v>447</v>
      </c>
      <c r="C890" t="s">
        <v>10</v>
      </c>
      <c r="D890">
        <v>398</v>
      </c>
      <c r="E890" s="4">
        <f t="shared" si="26"/>
        <v>44709</v>
      </c>
      <c r="F890">
        <f t="shared" si="27"/>
        <v>320</v>
      </c>
    </row>
    <row r="891" spans="1:6" x14ac:dyDescent="0.55000000000000004">
      <c r="A891">
        <v>1.31032362952053E+19</v>
      </c>
      <c r="B891" t="s">
        <v>212</v>
      </c>
      <c r="C891" t="s">
        <v>10</v>
      </c>
      <c r="D891">
        <v>588</v>
      </c>
      <c r="E891" s="4">
        <f t="shared" si="26"/>
        <v>43915</v>
      </c>
      <c r="F891">
        <f t="shared" si="27"/>
        <v>1114</v>
      </c>
    </row>
    <row r="892" spans="1:6" x14ac:dyDescent="0.55000000000000004">
      <c r="A892">
        <v>7.9496410067358515E+18</v>
      </c>
      <c r="B892" t="s">
        <v>85</v>
      </c>
      <c r="C892" t="s">
        <v>10</v>
      </c>
      <c r="D892">
        <v>1743</v>
      </c>
      <c r="E892" s="4">
        <f t="shared" si="26"/>
        <v>44851</v>
      </c>
      <c r="F892">
        <f t="shared" si="27"/>
        <v>178</v>
      </c>
    </row>
    <row r="893" spans="1:6" x14ac:dyDescent="0.55000000000000004">
      <c r="A893">
        <v>1.125281831084453E+17</v>
      </c>
      <c r="B893" t="s">
        <v>383</v>
      </c>
      <c r="C893" t="s">
        <v>7</v>
      </c>
      <c r="D893">
        <v>109</v>
      </c>
      <c r="E893" s="4">
        <f t="shared" si="26"/>
        <v>44087</v>
      </c>
      <c r="F893">
        <f t="shared" si="27"/>
        <v>942</v>
      </c>
    </row>
    <row r="894" spans="1:6" x14ac:dyDescent="0.55000000000000004">
      <c r="A894">
        <v>5.4414353538628083E+17</v>
      </c>
      <c r="B894" t="s">
        <v>650</v>
      </c>
      <c r="C894" t="s">
        <v>10</v>
      </c>
      <c r="D894">
        <v>11873</v>
      </c>
      <c r="E894" s="4">
        <f t="shared" si="26"/>
        <v>44799</v>
      </c>
      <c r="F894">
        <f t="shared" si="27"/>
        <v>230</v>
      </c>
    </row>
    <row r="895" spans="1:6" x14ac:dyDescent="0.55000000000000004">
      <c r="A895">
        <v>1.2121490274912891E+18</v>
      </c>
      <c r="B895" t="s">
        <v>651</v>
      </c>
      <c r="C895" t="s">
        <v>10</v>
      </c>
      <c r="D895">
        <v>5982</v>
      </c>
      <c r="E895" s="4">
        <f t="shared" si="26"/>
        <v>44921</v>
      </c>
      <c r="F895">
        <f t="shared" si="27"/>
        <v>108</v>
      </c>
    </row>
    <row r="896" spans="1:6" x14ac:dyDescent="0.55000000000000004">
      <c r="A896">
        <v>9.6345036687614505E+18</v>
      </c>
      <c r="B896" t="s">
        <v>652</v>
      </c>
      <c r="C896" t="s">
        <v>10</v>
      </c>
      <c r="D896">
        <v>867</v>
      </c>
      <c r="E896" s="4">
        <f t="shared" si="26"/>
        <v>44336</v>
      </c>
      <c r="F896">
        <f t="shared" si="27"/>
        <v>693</v>
      </c>
    </row>
    <row r="897" spans="1:6" x14ac:dyDescent="0.55000000000000004">
      <c r="A897">
        <v>5.3973038049061745E+18</v>
      </c>
      <c r="B897" t="s">
        <v>506</v>
      </c>
      <c r="C897" t="s">
        <v>7</v>
      </c>
      <c r="D897">
        <v>58198</v>
      </c>
      <c r="E897" s="4">
        <f t="shared" si="26"/>
        <v>44123</v>
      </c>
      <c r="F897">
        <f t="shared" si="27"/>
        <v>906</v>
      </c>
    </row>
    <row r="898" spans="1:6" x14ac:dyDescent="0.55000000000000004">
      <c r="A898">
        <v>2.5383376278167301E+18</v>
      </c>
      <c r="B898" t="s">
        <v>561</v>
      </c>
      <c r="C898" t="s">
        <v>10</v>
      </c>
      <c r="D898">
        <v>1320</v>
      </c>
      <c r="E898" s="4">
        <f t="shared" si="26"/>
        <v>44296</v>
      </c>
      <c r="F898">
        <f t="shared" si="27"/>
        <v>733</v>
      </c>
    </row>
    <row r="899" spans="1:6" x14ac:dyDescent="0.55000000000000004">
      <c r="A899">
        <v>6.7667673536150569E+18</v>
      </c>
      <c r="B899" t="s">
        <v>444</v>
      </c>
      <c r="C899" t="s">
        <v>10</v>
      </c>
      <c r="D899">
        <v>225</v>
      </c>
      <c r="E899" s="4">
        <f t="shared" ref="E899:E962" si="28">DATEVALUE(B899)</f>
        <v>44606</v>
      </c>
      <c r="F899">
        <f t="shared" ref="F899:F962" si="29">$H$1-E899</f>
        <v>423</v>
      </c>
    </row>
    <row r="900" spans="1:6" x14ac:dyDescent="0.55000000000000004">
      <c r="A900">
        <v>5.5103799152353352E+18</v>
      </c>
      <c r="B900" t="s">
        <v>414</v>
      </c>
      <c r="C900" t="s">
        <v>13</v>
      </c>
      <c r="D900">
        <v>5335</v>
      </c>
      <c r="E900" s="4">
        <f t="shared" si="28"/>
        <v>44554</v>
      </c>
      <c r="F900">
        <f t="shared" si="29"/>
        <v>475</v>
      </c>
    </row>
    <row r="901" spans="1:6" x14ac:dyDescent="0.55000000000000004">
      <c r="A901">
        <v>4.3920295187112781E+18</v>
      </c>
      <c r="B901" t="s">
        <v>85</v>
      </c>
      <c r="C901" t="s">
        <v>7</v>
      </c>
      <c r="D901">
        <v>1150</v>
      </c>
      <c r="E901" s="4">
        <f t="shared" si="28"/>
        <v>44851</v>
      </c>
      <c r="F901">
        <f t="shared" si="29"/>
        <v>178</v>
      </c>
    </row>
    <row r="902" spans="1:6" x14ac:dyDescent="0.55000000000000004">
      <c r="A902">
        <v>1.541616255913045E+19</v>
      </c>
      <c r="B902" t="s">
        <v>653</v>
      </c>
      <c r="C902" t="s">
        <v>10</v>
      </c>
      <c r="D902">
        <v>375</v>
      </c>
      <c r="E902" s="4">
        <f t="shared" si="28"/>
        <v>43846</v>
      </c>
      <c r="F902">
        <f t="shared" si="29"/>
        <v>1183</v>
      </c>
    </row>
    <row r="903" spans="1:6" x14ac:dyDescent="0.55000000000000004">
      <c r="A903">
        <v>8.0436897055711142E+17</v>
      </c>
      <c r="B903" t="s">
        <v>86</v>
      </c>
      <c r="C903" t="s">
        <v>13</v>
      </c>
      <c r="D903">
        <v>345</v>
      </c>
      <c r="E903" s="4">
        <f t="shared" si="28"/>
        <v>44263</v>
      </c>
      <c r="F903">
        <f t="shared" si="29"/>
        <v>766</v>
      </c>
    </row>
    <row r="904" spans="1:6" x14ac:dyDescent="0.55000000000000004">
      <c r="A904">
        <v>6.11687229500642E+18</v>
      </c>
      <c r="B904" t="s">
        <v>647</v>
      </c>
      <c r="C904" t="s">
        <v>10</v>
      </c>
      <c r="D904">
        <v>350</v>
      </c>
      <c r="E904" s="4">
        <f t="shared" si="28"/>
        <v>44920</v>
      </c>
      <c r="F904">
        <f t="shared" si="29"/>
        <v>109</v>
      </c>
    </row>
    <row r="905" spans="1:6" x14ac:dyDescent="0.55000000000000004">
      <c r="A905">
        <v>1.2135474904153309E+19</v>
      </c>
      <c r="B905" t="s">
        <v>67</v>
      </c>
      <c r="C905" t="s">
        <v>13</v>
      </c>
      <c r="D905">
        <v>2340</v>
      </c>
      <c r="E905" s="4">
        <f t="shared" si="28"/>
        <v>44987</v>
      </c>
      <c r="F905">
        <f t="shared" si="29"/>
        <v>42</v>
      </c>
    </row>
    <row r="906" spans="1:6" x14ac:dyDescent="0.55000000000000004">
      <c r="A906">
        <v>1.657858051704909E+19</v>
      </c>
      <c r="B906" t="s">
        <v>331</v>
      </c>
      <c r="C906" t="s">
        <v>10</v>
      </c>
      <c r="D906">
        <v>479</v>
      </c>
      <c r="E906" s="4">
        <f t="shared" si="28"/>
        <v>44443</v>
      </c>
      <c r="F906">
        <f t="shared" si="29"/>
        <v>586</v>
      </c>
    </row>
    <row r="907" spans="1:6" x14ac:dyDescent="0.55000000000000004">
      <c r="A907">
        <v>1.057129571162514E+19</v>
      </c>
      <c r="B907" t="s">
        <v>654</v>
      </c>
      <c r="C907" t="s">
        <v>10</v>
      </c>
      <c r="D907">
        <v>1947</v>
      </c>
      <c r="E907" s="4">
        <f t="shared" si="28"/>
        <v>44110</v>
      </c>
      <c r="F907">
        <f t="shared" si="29"/>
        <v>919</v>
      </c>
    </row>
    <row r="908" spans="1:6" x14ac:dyDescent="0.55000000000000004">
      <c r="A908">
        <v>5.0554200549703558E+17</v>
      </c>
      <c r="B908" t="s">
        <v>261</v>
      </c>
      <c r="C908" t="s">
        <v>7</v>
      </c>
      <c r="D908">
        <v>3270</v>
      </c>
      <c r="E908" s="4">
        <f t="shared" si="28"/>
        <v>44910</v>
      </c>
      <c r="F908">
        <f t="shared" si="29"/>
        <v>119</v>
      </c>
    </row>
    <row r="909" spans="1:6" x14ac:dyDescent="0.55000000000000004">
      <c r="A909">
        <v>2.8791522318330199E+18</v>
      </c>
      <c r="B909" t="s">
        <v>116</v>
      </c>
      <c r="C909" t="s">
        <v>13</v>
      </c>
      <c r="D909">
        <v>1067</v>
      </c>
      <c r="E909" s="4">
        <f t="shared" si="28"/>
        <v>44877</v>
      </c>
      <c r="F909">
        <f t="shared" si="29"/>
        <v>152</v>
      </c>
    </row>
    <row r="910" spans="1:6" x14ac:dyDescent="0.55000000000000004">
      <c r="A910">
        <v>1.4172466943649589E+19</v>
      </c>
      <c r="B910" t="s">
        <v>655</v>
      </c>
      <c r="C910" t="s">
        <v>13</v>
      </c>
      <c r="D910">
        <v>229</v>
      </c>
      <c r="E910" s="4">
        <f t="shared" si="28"/>
        <v>44029</v>
      </c>
      <c r="F910">
        <f t="shared" si="29"/>
        <v>1000</v>
      </c>
    </row>
    <row r="911" spans="1:6" x14ac:dyDescent="0.55000000000000004">
      <c r="A911">
        <v>9.8054516504646656E+18</v>
      </c>
      <c r="B911" t="s">
        <v>656</v>
      </c>
      <c r="C911" t="s">
        <v>10</v>
      </c>
      <c r="D911">
        <v>3399</v>
      </c>
      <c r="E911" s="4">
        <f t="shared" si="28"/>
        <v>44432</v>
      </c>
      <c r="F911">
        <f t="shared" si="29"/>
        <v>597</v>
      </c>
    </row>
    <row r="912" spans="1:6" x14ac:dyDescent="0.55000000000000004">
      <c r="A912">
        <v>1.448205111638603E+19</v>
      </c>
      <c r="B912" t="s">
        <v>120</v>
      </c>
      <c r="C912" t="s">
        <v>13</v>
      </c>
      <c r="D912">
        <v>2634</v>
      </c>
      <c r="E912" s="4">
        <f t="shared" si="28"/>
        <v>44386</v>
      </c>
      <c r="F912">
        <f t="shared" si="29"/>
        <v>643</v>
      </c>
    </row>
    <row r="913" spans="1:6" x14ac:dyDescent="0.55000000000000004">
      <c r="A913">
        <v>6.7389753197457009E+18</v>
      </c>
      <c r="B913" t="s">
        <v>478</v>
      </c>
      <c r="C913" t="s">
        <v>26</v>
      </c>
      <c r="D913">
        <v>380</v>
      </c>
      <c r="E913" s="4">
        <f t="shared" si="28"/>
        <v>44936</v>
      </c>
      <c r="F913">
        <f t="shared" si="29"/>
        <v>93</v>
      </c>
    </row>
    <row r="914" spans="1:6" x14ac:dyDescent="0.55000000000000004">
      <c r="A914">
        <v>1.218819727349224E+19</v>
      </c>
      <c r="B914" t="s">
        <v>353</v>
      </c>
      <c r="C914" t="s">
        <v>13</v>
      </c>
      <c r="D914">
        <v>337</v>
      </c>
      <c r="E914" s="4">
        <f t="shared" si="28"/>
        <v>44455</v>
      </c>
      <c r="F914">
        <f t="shared" si="29"/>
        <v>574</v>
      </c>
    </row>
    <row r="915" spans="1:6" x14ac:dyDescent="0.55000000000000004">
      <c r="A915">
        <v>6.2599499234929787E+18</v>
      </c>
      <c r="B915" t="s">
        <v>657</v>
      </c>
      <c r="C915" t="s">
        <v>10</v>
      </c>
      <c r="D915">
        <v>389</v>
      </c>
      <c r="E915" s="4">
        <f t="shared" si="28"/>
        <v>44592</v>
      </c>
      <c r="F915">
        <f t="shared" si="29"/>
        <v>437</v>
      </c>
    </row>
    <row r="916" spans="1:6" x14ac:dyDescent="0.55000000000000004">
      <c r="A916">
        <v>1.507061326898792E+19</v>
      </c>
      <c r="B916" t="s">
        <v>51</v>
      </c>
      <c r="C916" t="s">
        <v>10</v>
      </c>
      <c r="D916">
        <v>499</v>
      </c>
      <c r="E916" s="4">
        <f t="shared" si="28"/>
        <v>44310</v>
      </c>
      <c r="F916">
        <f t="shared" si="29"/>
        <v>719</v>
      </c>
    </row>
    <row r="917" spans="1:6" x14ac:dyDescent="0.55000000000000004">
      <c r="A917">
        <v>3.8213474236409672E+18</v>
      </c>
      <c r="B917" t="s">
        <v>415</v>
      </c>
      <c r="C917" t="s">
        <v>5</v>
      </c>
      <c r="D917">
        <v>8420</v>
      </c>
      <c r="E917" s="4">
        <f t="shared" si="28"/>
        <v>44218</v>
      </c>
      <c r="F917">
        <f t="shared" si="29"/>
        <v>811</v>
      </c>
    </row>
    <row r="918" spans="1:6" x14ac:dyDescent="0.55000000000000004">
      <c r="A918">
        <v>1.1084907403611501E+19</v>
      </c>
      <c r="B918" t="s">
        <v>658</v>
      </c>
      <c r="C918" t="s">
        <v>7</v>
      </c>
      <c r="D918">
        <v>438</v>
      </c>
      <c r="E918" s="4">
        <f t="shared" si="28"/>
        <v>44112</v>
      </c>
      <c r="F918">
        <f t="shared" si="29"/>
        <v>917</v>
      </c>
    </row>
    <row r="919" spans="1:6" x14ac:dyDescent="0.55000000000000004">
      <c r="A919">
        <v>4.9669611351398246E+18</v>
      </c>
      <c r="B919" t="s">
        <v>38</v>
      </c>
      <c r="C919" t="s">
        <v>10</v>
      </c>
      <c r="D919">
        <v>22.24</v>
      </c>
      <c r="E919" s="4">
        <f t="shared" si="28"/>
        <v>44541</v>
      </c>
      <c r="F919">
        <f t="shared" si="29"/>
        <v>488</v>
      </c>
    </row>
    <row r="920" spans="1:6" x14ac:dyDescent="0.55000000000000004">
      <c r="A920">
        <v>1.039255605560328E+19</v>
      </c>
      <c r="B920" t="s">
        <v>221</v>
      </c>
      <c r="C920" t="s">
        <v>13</v>
      </c>
      <c r="D920">
        <v>2272</v>
      </c>
      <c r="E920" s="4">
        <f t="shared" si="28"/>
        <v>44161</v>
      </c>
      <c r="F920">
        <f t="shared" si="29"/>
        <v>868</v>
      </c>
    </row>
    <row r="921" spans="1:6" x14ac:dyDescent="0.55000000000000004">
      <c r="A921">
        <v>1.7470780820454431E+19</v>
      </c>
      <c r="B921" t="s">
        <v>659</v>
      </c>
      <c r="C921" t="s">
        <v>13</v>
      </c>
      <c r="D921">
        <v>1521</v>
      </c>
      <c r="E921" s="4">
        <f t="shared" si="28"/>
        <v>44596</v>
      </c>
      <c r="F921">
        <f t="shared" si="29"/>
        <v>433</v>
      </c>
    </row>
    <row r="922" spans="1:6" x14ac:dyDescent="0.55000000000000004">
      <c r="A922">
        <v>2.5758306272859781E+18</v>
      </c>
      <c r="B922" t="s">
        <v>270</v>
      </c>
      <c r="C922" t="s">
        <v>26</v>
      </c>
      <c r="D922">
        <v>334</v>
      </c>
      <c r="E922" s="4">
        <f t="shared" si="28"/>
        <v>44983</v>
      </c>
      <c r="F922">
        <f t="shared" si="29"/>
        <v>46</v>
      </c>
    </row>
    <row r="923" spans="1:6" x14ac:dyDescent="0.55000000000000004">
      <c r="A923">
        <v>2.208368745871883E+18</v>
      </c>
      <c r="B923" t="s">
        <v>660</v>
      </c>
      <c r="C923" t="s">
        <v>13</v>
      </c>
      <c r="D923">
        <v>1162</v>
      </c>
      <c r="E923" s="4">
        <f t="shared" si="28"/>
        <v>43841</v>
      </c>
      <c r="F923">
        <f t="shared" si="29"/>
        <v>1188</v>
      </c>
    </row>
    <row r="924" spans="1:6" x14ac:dyDescent="0.55000000000000004">
      <c r="A924">
        <v>5.3973038049061745E+18</v>
      </c>
      <c r="B924" t="s">
        <v>661</v>
      </c>
      <c r="C924" t="s">
        <v>46</v>
      </c>
      <c r="D924">
        <v>13473</v>
      </c>
      <c r="E924" s="4">
        <f t="shared" si="28"/>
        <v>43888</v>
      </c>
      <c r="F924">
        <f t="shared" si="29"/>
        <v>1141</v>
      </c>
    </row>
    <row r="925" spans="1:6" x14ac:dyDescent="0.55000000000000004">
      <c r="A925">
        <v>1.270633193809956E+19</v>
      </c>
      <c r="B925" t="s">
        <v>662</v>
      </c>
      <c r="C925" t="s">
        <v>7</v>
      </c>
      <c r="D925">
        <v>11</v>
      </c>
      <c r="E925" s="4">
        <f t="shared" si="28"/>
        <v>44523</v>
      </c>
      <c r="F925">
        <f t="shared" si="29"/>
        <v>506</v>
      </c>
    </row>
    <row r="926" spans="1:6" x14ac:dyDescent="0.55000000000000004">
      <c r="A926">
        <v>1.006248546800275E+19</v>
      </c>
      <c r="B926" t="s">
        <v>663</v>
      </c>
      <c r="C926" t="s">
        <v>13</v>
      </c>
      <c r="D926">
        <v>1320</v>
      </c>
      <c r="E926" s="4">
        <f t="shared" si="28"/>
        <v>44254</v>
      </c>
      <c r="F926">
        <f t="shared" si="29"/>
        <v>775</v>
      </c>
    </row>
    <row r="927" spans="1:6" x14ac:dyDescent="0.55000000000000004">
      <c r="A927">
        <v>1.460620150996985E+19</v>
      </c>
      <c r="B927" t="s">
        <v>611</v>
      </c>
      <c r="C927" t="s">
        <v>10</v>
      </c>
      <c r="D927">
        <v>6027</v>
      </c>
      <c r="E927" s="4">
        <f t="shared" si="28"/>
        <v>44359</v>
      </c>
      <c r="F927">
        <f t="shared" si="29"/>
        <v>670</v>
      </c>
    </row>
    <row r="928" spans="1:6" x14ac:dyDescent="0.55000000000000004">
      <c r="A928">
        <v>1.0890539801545841E+19</v>
      </c>
      <c r="B928" t="s">
        <v>664</v>
      </c>
      <c r="C928" t="s">
        <v>10</v>
      </c>
      <c r="D928">
        <v>299</v>
      </c>
      <c r="E928" s="4">
        <f t="shared" si="28"/>
        <v>44367</v>
      </c>
      <c r="F928">
        <f t="shared" si="29"/>
        <v>662</v>
      </c>
    </row>
    <row r="929" spans="1:6" x14ac:dyDescent="0.55000000000000004">
      <c r="A929">
        <v>1.6892110945713719E+19</v>
      </c>
      <c r="B929" t="s">
        <v>577</v>
      </c>
      <c r="C929" t="s">
        <v>13</v>
      </c>
      <c r="D929">
        <v>1001</v>
      </c>
      <c r="E929" s="4">
        <f t="shared" si="28"/>
        <v>44977</v>
      </c>
      <c r="F929">
        <f t="shared" si="29"/>
        <v>52</v>
      </c>
    </row>
    <row r="930" spans="1:6" x14ac:dyDescent="0.55000000000000004">
      <c r="A930">
        <v>5.3973038049061745E+18</v>
      </c>
      <c r="B930" t="s">
        <v>427</v>
      </c>
      <c r="C930" t="s">
        <v>46</v>
      </c>
      <c r="D930">
        <v>16776.07</v>
      </c>
      <c r="E930" s="4">
        <f t="shared" si="28"/>
        <v>44543</v>
      </c>
      <c r="F930">
        <f t="shared" si="29"/>
        <v>486</v>
      </c>
    </row>
    <row r="931" spans="1:6" x14ac:dyDescent="0.55000000000000004">
      <c r="A931">
        <v>6.1368107832507228E+18</v>
      </c>
      <c r="B931" t="s">
        <v>642</v>
      </c>
      <c r="C931" t="s">
        <v>50</v>
      </c>
      <c r="D931">
        <v>89</v>
      </c>
      <c r="E931" s="4">
        <f t="shared" si="28"/>
        <v>44703</v>
      </c>
      <c r="F931">
        <f t="shared" si="29"/>
        <v>326</v>
      </c>
    </row>
    <row r="932" spans="1:6" x14ac:dyDescent="0.55000000000000004">
      <c r="A932">
        <v>6.1389040048259338E+18</v>
      </c>
      <c r="B932" t="s">
        <v>622</v>
      </c>
      <c r="C932" t="s">
        <v>10</v>
      </c>
      <c r="D932">
        <v>59</v>
      </c>
      <c r="E932" s="4">
        <f t="shared" si="28"/>
        <v>44420</v>
      </c>
      <c r="F932">
        <f t="shared" si="29"/>
        <v>609</v>
      </c>
    </row>
    <row r="933" spans="1:6" x14ac:dyDescent="0.55000000000000004">
      <c r="A933">
        <v>5.3973038049061745E+18</v>
      </c>
      <c r="B933" t="s">
        <v>665</v>
      </c>
      <c r="C933" t="s">
        <v>26</v>
      </c>
      <c r="D933">
        <v>6976</v>
      </c>
      <c r="E933" s="4">
        <f t="shared" si="28"/>
        <v>43997</v>
      </c>
      <c r="F933">
        <f t="shared" si="29"/>
        <v>1032</v>
      </c>
    </row>
    <row r="934" spans="1:6" x14ac:dyDescent="0.55000000000000004">
      <c r="A934">
        <v>1.665388646333131E+19</v>
      </c>
      <c r="B934" t="s">
        <v>190</v>
      </c>
      <c r="C934" t="s">
        <v>13</v>
      </c>
      <c r="D934">
        <v>2958</v>
      </c>
      <c r="E934" s="4">
        <f t="shared" si="28"/>
        <v>44818</v>
      </c>
      <c r="F934">
        <f t="shared" si="29"/>
        <v>211</v>
      </c>
    </row>
    <row r="935" spans="1:6" x14ac:dyDescent="0.55000000000000004">
      <c r="A935">
        <v>6.3481624462595748E+18</v>
      </c>
      <c r="B935" t="s">
        <v>666</v>
      </c>
      <c r="C935" t="s">
        <v>7</v>
      </c>
      <c r="D935">
        <v>436</v>
      </c>
      <c r="E935" s="4">
        <f t="shared" si="28"/>
        <v>44887</v>
      </c>
      <c r="F935">
        <f t="shared" si="29"/>
        <v>142</v>
      </c>
    </row>
    <row r="936" spans="1:6" x14ac:dyDescent="0.55000000000000004">
      <c r="A936">
        <v>5.3973038049061745E+18</v>
      </c>
      <c r="B936" t="s">
        <v>667</v>
      </c>
      <c r="C936" t="s">
        <v>5</v>
      </c>
      <c r="D936">
        <v>38889</v>
      </c>
      <c r="E936" s="4">
        <f t="shared" si="28"/>
        <v>43837</v>
      </c>
      <c r="F936">
        <f t="shared" si="29"/>
        <v>1192</v>
      </c>
    </row>
    <row r="937" spans="1:6" x14ac:dyDescent="0.55000000000000004">
      <c r="A937">
        <v>1.321291921617748E+19</v>
      </c>
      <c r="B937" t="s">
        <v>103</v>
      </c>
      <c r="C937" t="s">
        <v>13</v>
      </c>
      <c r="D937">
        <v>2538</v>
      </c>
      <c r="E937" s="4">
        <f t="shared" si="28"/>
        <v>44098</v>
      </c>
      <c r="F937">
        <f t="shared" si="29"/>
        <v>931</v>
      </c>
    </row>
    <row r="938" spans="1:6" x14ac:dyDescent="0.55000000000000004">
      <c r="A938">
        <v>5.3973038049061745E+18</v>
      </c>
      <c r="B938" t="s">
        <v>668</v>
      </c>
      <c r="C938" t="s">
        <v>7</v>
      </c>
      <c r="D938">
        <v>495068.6</v>
      </c>
      <c r="E938" s="4">
        <f t="shared" si="28"/>
        <v>43422</v>
      </c>
      <c r="F938">
        <f t="shared" si="29"/>
        <v>1607</v>
      </c>
    </row>
    <row r="939" spans="1:6" x14ac:dyDescent="0.55000000000000004">
      <c r="A939">
        <v>5.4480656603369421E+18</v>
      </c>
      <c r="B939" t="s">
        <v>669</v>
      </c>
      <c r="C939" t="s">
        <v>26</v>
      </c>
      <c r="D939">
        <v>149</v>
      </c>
      <c r="E939" s="4">
        <f t="shared" si="28"/>
        <v>44439</v>
      </c>
      <c r="F939">
        <f t="shared" si="29"/>
        <v>590</v>
      </c>
    </row>
    <row r="940" spans="1:6" x14ac:dyDescent="0.55000000000000004">
      <c r="A940">
        <v>5.0802846933944412E+18</v>
      </c>
      <c r="B940" t="s">
        <v>637</v>
      </c>
      <c r="C940" t="s">
        <v>7</v>
      </c>
      <c r="D940">
        <v>741</v>
      </c>
      <c r="E940" s="4">
        <f t="shared" si="28"/>
        <v>44872</v>
      </c>
      <c r="F940">
        <f t="shared" si="29"/>
        <v>157</v>
      </c>
    </row>
    <row r="941" spans="1:6" x14ac:dyDescent="0.55000000000000004">
      <c r="A941">
        <v>4.8769984664423875E+18</v>
      </c>
      <c r="B941" t="s">
        <v>598</v>
      </c>
      <c r="C941" t="s">
        <v>10</v>
      </c>
      <c r="D941">
        <v>13380</v>
      </c>
      <c r="E941" s="4">
        <f t="shared" si="28"/>
        <v>44931</v>
      </c>
      <c r="F941">
        <f t="shared" si="29"/>
        <v>98</v>
      </c>
    </row>
    <row r="942" spans="1:6" x14ac:dyDescent="0.55000000000000004">
      <c r="A942">
        <v>1.495837480485929E+19</v>
      </c>
      <c r="B942" t="s">
        <v>644</v>
      </c>
      <c r="C942" t="s">
        <v>13</v>
      </c>
      <c r="D942">
        <v>11388</v>
      </c>
      <c r="E942" s="4">
        <f t="shared" si="28"/>
        <v>44814</v>
      </c>
      <c r="F942">
        <f t="shared" si="29"/>
        <v>215</v>
      </c>
    </row>
    <row r="943" spans="1:6" x14ac:dyDescent="0.55000000000000004">
      <c r="A943">
        <v>1.552707870825926E+19</v>
      </c>
      <c r="B943" t="s">
        <v>670</v>
      </c>
      <c r="C943" t="s">
        <v>10</v>
      </c>
      <c r="D943">
        <v>8966</v>
      </c>
      <c r="E943" s="4">
        <f t="shared" si="28"/>
        <v>44211</v>
      </c>
      <c r="F943">
        <f t="shared" si="29"/>
        <v>818</v>
      </c>
    </row>
    <row r="944" spans="1:6" x14ac:dyDescent="0.55000000000000004">
      <c r="A944">
        <v>1.3703114569611069E+19</v>
      </c>
      <c r="B944" t="s">
        <v>625</v>
      </c>
      <c r="C944" t="s">
        <v>7</v>
      </c>
      <c r="D944">
        <v>159</v>
      </c>
      <c r="E944" s="4">
        <f t="shared" si="28"/>
        <v>44495</v>
      </c>
      <c r="F944">
        <f t="shared" si="29"/>
        <v>534</v>
      </c>
    </row>
    <row r="945" spans="1:6" x14ac:dyDescent="0.55000000000000004">
      <c r="A945">
        <v>6.8680169767252644E+18</v>
      </c>
      <c r="B945" t="s">
        <v>80</v>
      </c>
      <c r="C945" t="s">
        <v>7</v>
      </c>
      <c r="D945">
        <v>134</v>
      </c>
      <c r="E945" s="4">
        <f t="shared" si="28"/>
        <v>44621</v>
      </c>
      <c r="F945">
        <f t="shared" si="29"/>
        <v>408</v>
      </c>
    </row>
    <row r="946" spans="1:6" x14ac:dyDescent="0.55000000000000004">
      <c r="A946">
        <v>1.0464603795510839E+19</v>
      </c>
      <c r="B946" t="s">
        <v>671</v>
      </c>
      <c r="C946" t="s">
        <v>13</v>
      </c>
      <c r="D946">
        <v>702</v>
      </c>
      <c r="E946" s="4">
        <f t="shared" si="28"/>
        <v>44719</v>
      </c>
      <c r="F946">
        <f t="shared" si="29"/>
        <v>310</v>
      </c>
    </row>
    <row r="947" spans="1:6" x14ac:dyDescent="0.55000000000000004">
      <c r="A947">
        <v>2.0004746253358771E+18</v>
      </c>
      <c r="B947" t="s">
        <v>672</v>
      </c>
      <c r="C947" t="s">
        <v>10</v>
      </c>
      <c r="D947">
        <v>74</v>
      </c>
      <c r="E947" s="4">
        <f t="shared" si="28"/>
        <v>43897</v>
      </c>
      <c r="F947">
        <f t="shared" si="29"/>
        <v>1132</v>
      </c>
    </row>
    <row r="948" spans="1:6" x14ac:dyDescent="0.55000000000000004">
      <c r="A948">
        <v>1.16581003153309E+19</v>
      </c>
      <c r="B948" t="s">
        <v>673</v>
      </c>
      <c r="C948" t="s">
        <v>10</v>
      </c>
      <c r="D948">
        <v>2325</v>
      </c>
      <c r="E948" s="4">
        <f t="shared" si="28"/>
        <v>44141</v>
      </c>
      <c r="F948">
        <f t="shared" si="29"/>
        <v>888</v>
      </c>
    </row>
    <row r="949" spans="1:6" x14ac:dyDescent="0.55000000000000004">
      <c r="A949">
        <v>6.8623891938470922E+18</v>
      </c>
      <c r="B949" t="s">
        <v>401</v>
      </c>
      <c r="C949" t="s">
        <v>26</v>
      </c>
      <c r="D949">
        <v>169</v>
      </c>
      <c r="E949" s="4">
        <f t="shared" si="28"/>
        <v>44691</v>
      </c>
      <c r="F949">
        <f t="shared" si="29"/>
        <v>338</v>
      </c>
    </row>
    <row r="950" spans="1:6" x14ac:dyDescent="0.55000000000000004">
      <c r="A950">
        <v>3.8213474236409672E+18</v>
      </c>
      <c r="B950" t="s">
        <v>104</v>
      </c>
      <c r="C950" t="s">
        <v>7</v>
      </c>
      <c r="D950">
        <v>1773</v>
      </c>
      <c r="E950" s="4">
        <f t="shared" si="28"/>
        <v>44304</v>
      </c>
      <c r="F950">
        <f t="shared" si="29"/>
        <v>725</v>
      </c>
    </row>
    <row r="951" spans="1:6" x14ac:dyDescent="0.55000000000000004">
      <c r="A951">
        <v>3.8822343132996511E+18</v>
      </c>
      <c r="B951" t="s">
        <v>103</v>
      </c>
      <c r="C951" t="s">
        <v>13</v>
      </c>
      <c r="D951">
        <v>2493</v>
      </c>
      <c r="E951" s="4">
        <f t="shared" si="28"/>
        <v>44098</v>
      </c>
      <c r="F951">
        <f t="shared" si="29"/>
        <v>931</v>
      </c>
    </row>
    <row r="952" spans="1:6" x14ac:dyDescent="0.55000000000000004">
      <c r="A952">
        <v>4.8679583041495921E+18</v>
      </c>
      <c r="B952" t="s">
        <v>477</v>
      </c>
      <c r="C952" t="s">
        <v>7</v>
      </c>
      <c r="D952">
        <v>780</v>
      </c>
      <c r="E952" s="4">
        <f t="shared" si="28"/>
        <v>44680</v>
      </c>
      <c r="F952">
        <f t="shared" si="29"/>
        <v>349</v>
      </c>
    </row>
    <row r="953" spans="1:6" x14ac:dyDescent="0.55000000000000004">
      <c r="A953">
        <v>6.7868190596382003E+18</v>
      </c>
      <c r="B953" t="s">
        <v>651</v>
      </c>
      <c r="C953" t="s">
        <v>5</v>
      </c>
      <c r="D953">
        <v>2150</v>
      </c>
      <c r="E953" s="4">
        <f t="shared" si="28"/>
        <v>44921</v>
      </c>
      <c r="F953">
        <f t="shared" si="29"/>
        <v>108</v>
      </c>
    </row>
    <row r="954" spans="1:6" x14ac:dyDescent="0.55000000000000004">
      <c r="A954">
        <v>6.0699786435620608E+18</v>
      </c>
      <c r="B954" t="s">
        <v>674</v>
      </c>
      <c r="C954" t="s">
        <v>10</v>
      </c>
      <c r="D954">
        <v>550</v>
      </c>
      <c r="E954" s="4">
        <f t="shared" si="28"/>
        <v>44050</v>
      </c>
      <c r="F954">
        <f t="shared" si="29"/>
        <v>979</v>
      </c>
    </row>
    <row r="955" spans="1:6" x14ac:dyDescent="0.55000000000000004">
      <c r="A955">
        <v>1.017263899543826E+19</v>
      </c>
      <c r="B955" t="s">
        <v>340</v>
      </c>
      <c r="C955" t="s">
        <v>13</v>
      </c>
      <c r="D955">
        <v>1152</v>
      </c>
      <c r="E955" s="4">
        <f t="shared" si="28"/>
        <v>45002</v>
      </c>
      <c r="F955">
        <f t="shared" si="29"/>
        <v>27</v>
      </c>
    </row>
    <row r="956" spans="1:6" x14ac:dyDescent="0.55000000000000004">
      <c r="A956">
        <v>6.9147518516432422E+17</v>
      </c>
      <c r="B956" t="s">
        <v>675</v>
      </c>
      <c r="C956" t="s">
        <v>10</v>
      </c>
      <c r="D956">
        <v>1174</v>
      </c>
      <c r="E956" s="4">
        <f t="shared" si="28"/>
        <v>44033</v>
      </c>
      <c r="F956">
        <f t="shared" si="29"/>
        <v>996</v>
      </c>
    </row>
    <row r="957" spans="1:6" x14ac:dyDescent="0.55000000000000004">
      <c r="A957">
        <v>3.5856296985564948E+18</v>
      </c>
      <c r="B957" t="s">
        <v>144</v>
      </c>
      <c r="C957" t="s">
        <v>7</v>
      </c>
      <c r="D957">
        <v>15660</v>
      </c>
      <c r="E957" s="4">
        <f t="shared" si="28"/>
        <v>44636</v>
      </c>
      <c r="F957">
        <f t="shared" si="29"/>
        <v>393</v>
      </c>
    </row>
    <row r="958" spans="1:6" x14ac:dyDescent="0.55000000000000004">
      <c r="A958">
        <v>1.76949978522245E+19</v>
      </c>
      <c r="B958" t="s">
        <v>676</v>
      </c>
      <c r="C958" t="s">
        <v>26</v>
      </c>
      <c r="D958">
        <v>144</v>
      </c>
      <c r="E958" s="4">
        <f t="shared" si="28"/>
        <v>44996</v>
      </c>
      <c r="F958">
        <f t="shared" si="29"/>
        <v>33</v>
      </c>
    </row>
    <row r="959" spans="1:6" x14ac:dyDescent="0.55000000000000004">
      <c r="A959">
        <v>4.5250344827868918E+18</v>
      </c>
      <c r="B959" t="s">
        <v>677</v>
      </c>
      <c r="C959" t="s">
        <v>5</v>
      </c>
      <c r="D959">
        <v>2136</v>
      </c>
      <c r="E959" s="4">
        <f t="shared" si="28"/>
        <v>44959</v>
      </c>
      <c r="F959">
        <f t="shared" si="29"/>
        <v>70</v>
      </c>
    </row>
    <row r="960" spans="1:6" x14ac:dyDescent="0.55000000000000004">
      <c r="A960">
        <v>1.145588362923189E+19</v>
      </c>
      <c r="B960" t="s">
        <v>79</v>
      </c>
      <c r="C960" t="s">
        <v>7</v>
      </c>
      <c r="D960">
        <v>1560</v>
      </c>
      <c r="E960" s="4">
        <f t="shared" si="28"/>
        <v>44249</v>
      </c>
      <c r="F960">
        <f t="shared" si="29"/>
        <v>780</v>
      </c>
    </row>
    <row r="961" spans="1:6" x14ac:dyDescent="0.55000000000000004">
      <c r="A961">
        <v>1.1493028239600341E+19</v>
      </c>
      <c r="B961" t="s">
        <v>239</v>
      </c>
      <c r="C961" t="s">
        <v>13</v>
      </c>
      <c r="D961">
        <v>1750</v>
      </c>
      <c r="E961" s="4">
        <f t="shared" si="28"/>
        <v>44449</v>
      </c>
      <c r="F961">
        <f t="shared" si="29"/>
        <v>580</v>
      </c>
    </row>
    <row r="962" spans="1:6" x14ac:dyDescent="0.55000000000000004">
      <c r="A962">
        <v>9.5406745447199293E+18</v>
      </c>
      <c r="B962" t="s">
        <v>632</v>
      </c>
      <c r="C962" t="s">
        <v>5</v>
      </c>
      <c r="D962">
        <v>4639</v>
      </c>
      <c r="E962" s="4">
        <f t="shared" si="28"/>
        <v>44589</v>
      </c>
      <c r="F962">
        <f t="shared" si="29"/>
        <v>440</v>
      </c>
    </row>
    <row r="963" spans="1:6" x14ac:dyDescent="0.55000000000000004">
      <c r="A963">
        <v>1.695130641619191E+18</v>
      </c>
      <c r="B963" t="s">
        <v>395</v>
      </c>
      <c r="C963" t="s">
        <v>10</v>
      </c>
      <c r="D963">
        <v>8926</v>
      </c>
      <c r="E963" s="4">
        <f t="shared" ref="E963:E1026" si="30">DATEVALUE(B963)</f>
        <v>44942</v>
      </c>
      <c r="F963">
        <f t="shared" ref="F963:F1026" si="31">$H$1-E963</f>
        <v>87</v>
      </c>
    </row>
    <row r="964" spans="1:6" x14ac:dyDescent="0.55000000000000004">
      <c r="A964">
        <v>5.8046519740638956E+18</v>
      </c>
      <c r="B964" t="s">
        <v>190</v>
      </c>
      <c r="C964" t="s">
        <v>13</v>
      </c>
      <c r="D964">
        <v>386</v>
      </c>
      <c r="E964" s="4">
        <f t="shared" si="30"/>
        <v>44818</v>
      </c>
      <c r="F964">
        <f t="shared" si="31"/>
        <v>211</v>
      </c>
    </row>
    <row r="965" spans="1:6" x14ac:dyDescent="0.55000000000000004">
      <c r="A965">
        <v>1.755281943127748E+19</v>
      </c>
      <c r="B965" t="s">
        <v>58</v>
      </c>
      <c r="C965" t="s">
        <v>13</v>
      </c>
      <c r="D965">
        <v>9660</v>
      </c>
      <c r="E965" s="4">
        <f t="shared" si="30"/>
        <v>44381</v>
      </c>
      <c r="F965">
        <f t="shared" si="31"/>
        <v>648</v>
      </c>
    </row>
    <row r="966" spans="1:6" x14ac:dyDescent="0.55000000000000004">
      <c r="A966">
        <v>1.723221723891175E+19</v>
      </c>
      <c r="B966" t="s">
        <v>678</v>
      </c>
      <c r="C966" t="s">
        <v>13</v>
      </c>
      <c r="D966">
        <v>1055</v>
      </c>
      <c r="E966" s="4">
        <f t="shared" si="30"/>
        <v>44731</v>
      </c>
      <c r="F966">
        <f t="shared" si="31"/>
        <v>298</v>
      </c>
    </row>
    <row r="967" spans="1:6" x14ac:dyDescent="0.55000000000000004">
      <c r="A967">
        <v>5.4249199035225917E+18</v>
      </c>
      <c r="B967" t="s">
        <v>679</v>
      </c>
      <c r="C967" t="s">
        <v>50</v>
      </c>
      <c r="D967">
        <v>114</v>
      </c>
      <c r="E967" s="4">
        <f t="shared" si="30"/>
        <v>43738</v>
      </c>
      <c r="F967">
        <f t="shared" si="31"/>
        <v>1291</v>
      </c>
    </row>
    <row r="968" spans="1:6" x14ac:dyDescent="0.55000000000000004">
      <c r="A968">
        <v>1.175758375020364E+19</v>
      </c>
      <c r="B968" t="s">
        <v>680</v>
      </c>
      <c r="C968" t="s">
        <v>10</v>
      </c>
      <c r="D968">
        <v>229</v>
      </c>
      <c r="E968" s="4">
        <f t="shared" si="30"/>
        <v>44392</v>
      </c>
      <c r="F968">
        <f t="shared" si="31"/>
        <v>637</v>
      </c>
    </row>
    <row r="969" spans="1:6" x14ac:dyDescent="0.55000000000000004">
      <c r="A969">
        <v>5.3973038049061745E+18</v>
      </c>
      <c r="B969" t="s">
        <v>681</v>
      </c>
      <c r="C969" t="s">
        <v>7</v>
      </c>
      <c r="D969">
        <v>13595</v>
      </c>
      <c r="E969" s="4">
        <f t="shared" si="30"/>
        <v>43966</v>
      </c>
      <c r="F969">
        <f t="shared" si="31"/>
        <v>1063</v>
      </c>
    </row>
    <row r="970" spans="1:6" x14ac:dyDescent="0.55000000000000004">
      <c r="A970">
        <v>1.740972210083438E+19</v>
      </c>
      <c r="B970" t="s">
        <v>682</v>
      </c>
      <c r="C970" t="s">
        <v>10</v>
      </c>
      <c r="D970">
        <v>557</v>
      </c>
      <c r="E970" s="4">
        <f t="shared" si="30"/>
        <v>43750</v>
      </c>
      <c r="F970">
        <f t="shared" si="31"/>
        <v>1279</v>
      </c>
    </row>
    <row r="971" spans="1:6" x14ac:dyDescent="0.55000000000000004">
      <c r="A971">
        <v>1.7751398782340669E+19</v>
      </c>
      <c r="B971" t="s">
        <v>558</v>
      </c>
      <c r="C971" t="s">
        <v>10</v>
      </c>
      <c r="D971">
        <v>489</v>
      </c>
      <c r="E971" s="4">
        <f t="shared" si="30"/>
        <v>44284</v>
      </c>
      <c r="F971">
        <f t="shared" si="31"/>
        <v>745</v>
      </c>
    </row>
    <row r="972" spans="1:6" x14ac:dyDescent="0.55000000000000004">
      <c r="A972">
        <v>7.7522488485274096E+16</v>
      </c>
      <c r="B972" t="s">
        <v>683</v>
      </c>
      <c r="C972" t="s">
        <v>10</v>
      </c>
      <c r="D972">
        <v>414</v>
      </c>
      <c r="E972" s="4">
        <f t="shared" si="30"/>
        <v>44652</v>
      </c>
      <c r="F972">
        <f t="shared" si="31"/>
        <v>377</v>
      </c>
    </row>
    <row r="973" spans="1:6" x14ac:dyDescent="0.55000000000000004">
      <c r="A973">
        <v>9.6222725376012984E+18</v>
      </c>
      <c r="B973" t="s">
        <v>247</v>
      </c>
      <c r="C973" t="s">
        <v>13</v>
      </c>
      <c r="D973">
        <v>2380</v>
      </c>
      <c r="E973" s="4">
        <f t="shared" si="30"/>
        <v>44947</v>
      </c>
      <c r="F973">
        <f t="shared" si="31"/>
        <v>82</v>
      </c>
    </row>
    <row r="974" spans="1:6" x14ac:dyDescent="0.55000000000000004">
      <c r="A974">
        <v>1.7515581725118851E+18</v>
      </c>
      <c r="B974" t="s">
        <v>684</v>
      </c>
      <c r="C974" t="s">
        <v>13</v>
      </c>
      <c r="D974">
        <v>459</v>
      </c>
      <c r="E974" s="4">
        <f t="shared" si="30"/>
        <v>44585</v>
      </c>
      <c r="F974">
        <f t="shared" si="31"/>
        <v>444</v>
      </c>
    </row>
    <row r="975" spans="1:6" x14ac:dyDescent="0.55000000000000004">
      <c r="A975">
        <v>1.050741933674392E+19</v>
      </c>
      <c r="B975" t="s">
        <v>30</v>
      </c>
      <c r="C975" t="s">
        <v>10</v>
      </c>
      <c r="D975">
        <v>180</v>
      </c>
      <c r="E975" s="4">
        <f t="shared" si="30"/>
        <v>44954</v>
      </c>
      <c r="F975">
        <f t="shared" si="31"/>
        <v>75</v>
      </c>
    </row>
    <row r="976" spans="1:6" x14ac:dyDescent="0.55000000000000004">
      <c r="A976">
        <v>8.9188782512294784E+17</v>
      </c>
      <c r="B976" t="s">
        <v>104</v>
      </c>
      <c r="C976" t="s">
        <v>10</v>
      </c>
      <c r="D976">
        <v>657</v>
      </c>
      <c r="E976" s="4">
        <f t="shared" si="30"/>
        <v>44304</v>
      </c>
      <c r="F976">
        <f t="shared" si="31"/>
        <v>725</v>
      </c>
    </row>
    <row r="977" spans="1:6" x14ac:dyDescent="0.55000000000000004">
      <c r="A977">
        <v>7.7311230077990822E+17</v>
      </c>
      <c r="B977" t="s">
        <v>252</v>
      </c>
      <c r="C977" t="s">
        <v>7</v>
      </c>
      <c r="D977">
        <v>690</v>
      </c>
      <c r="E977" s="4">
        <f t="shared" si="30"/>
        <v>44389</v>
      </c>
      <c r="F977">
        <f t="shared" si="31"/>
        <v>640</v>
      </c>
    </row>
    <row r="978" spans="1:6" x14ac:dyDescent="0.55000000000000004">
      <c r="A978">
        <v>4.7695004862084803E+18</v>
      </c>
      <c r="B978" t="s">
        <v>677</v>
      </c>
      <c r="C978" t="s">
        <v>13</v>
      </c>
      <c r="D978">
        <v>275</v>
      </c>
      <c r="E978" s="4">
        <f t="shared" si="30"/>
        <v>44959</v>
      </c>
      <c r="F978">
        <f t="shared" si="31"/>
        <v>70</v>
      </c>
    </row>
    <row r="979" spans="1:6" x14ac:dyDescent="0.55000000000000004">
      <c r="A979">
        <v>1.0208256641071489E+19</v>
      </c>
      <c r="B979" t="s">
        <v>537</v>
      </c>
      <c r="C979" t="s">
        <v>13</v>
      </c>
      <c r="D979">
        <v>449</v>
      </c>
      <c r="E979" s="4">
        <f t="shared" si="30"/>
        <v>44617</v>
      </c>
      <c r="F979">
        <f t="shared" si="31"/>
        <v>412</v>
      </c>
    </row>
    <row r="980" spans="1:6" x14ac:dyDescent="0.55000000000000004">
      <c r="A980">
        <v>3.1814770390967332E+18</v>
      </c>
      <c r="B980" t="s">
        <v>449</v>
      </c>
      <c r="C980" t="s">
        <v>5</v>
      </c>
      <c r="D980">
        <v>890</v>
      </c>
      <c r="E980" s="4">
        <f t="shared" si="30"/>
        <v>44608</v>
      </c>
      <c r="F980">
        <f t="shared" si="31"/>
        <v>421</v>
      </c>
    </row>
    <row r="981" spans="1:6" x14ac:dyDescent="0.55000000000000004">
      <c r="A981">
        <v>3.496079894106553E+17</v>
      </c>
      <c r="B981" t="s">
        <v>685</v>
      </c>
      <c r="C981" t="s">
        <v>13</v>
      </c>
      <c r="D981">
        <v>918</v>
      </c>
      <c r="E981" s="4">
        <f t="shared" si="30"/>
        <v>44200</v>
      </c>
      <c r="F981">
        <f t="shared" si="31"/>
        <v>829</v>
      </c>
    </row>
    <row r="982" spans="1:6" x14ac:dyDescent="0.55000000000000004">
      <c r="A982">
        <v>9.1642390959083305E+18</v>
      </c>
      <c r="B982" t="s">
        <v>568</v>
      </c>
      <c r="C982" t="s">
        <v>10</v>
      </c>
      <c r="D982">
        <v>5978</v>
      </c>
      <c r="E982" s="4">
        <f t="shared" si="30"/>
        <v>44474</v>
      </c>
      <c r="F982">
        <f t="shared" si="31"/>
        <v>555</v>
      </c>
    </row>
    <row r="983" spans="1:6" x14ac:dyDescent="0.55000000000000004">
      <c r="A983">
        <v>7.30518996156783E+18</v>
      </c>
      <c r="B983" t="s">
        <v>686</v>
      </c>
      <c r="C983" t="s">
        <v>13</v>
      </c>
      <c r="D983">
        <v>4062</v>
      </c>
      <c r="E983" s="4">
        <f t="shared" si="30"/>
        <v>44402</v>
      </c>
      <c r="F983">
        <f t="shared" si="31"/>
        <v>627</v>
      </c>
    </row>
    <row r="984" spans="1:6" x14ac:dyDescent="0.55000000000000004">
      <c r="A984">
        <v>1.2738442788213809E+19</v>
      </c>
      <c r="B984" t="s">
        <v>687</v>
      </c>
      <c r="C984" t="s">
        <v>26</v>
      </c>
      <c r="D984">
        <v>774</v>
      </c>
      <c r="E984" s="4">
        <f t="shared" si="30"/>
        <v>43708</v>
      </c>
      <c r="F984">
        <f t="shared" si="31"/>
        <v>1321</v>
      </c>
    </row>
    <row r="985" spans="1:6" x14ac:dyDescent="0.55000000000000004">
      <c r="A985">
        <v>1.165017654819591E+19</v>
      </c>
      <c r="B985" t="s">
        <v>310</v>
      </c>
      <c r="C985" t="s">
        <v>13</v>
      </c>
      <c r="D985">
        <v>209</v>
      </c>
      <c r="E985" s="4">
        <f t="shared" si="30"/>
        <v>44427</v>
      </c>
      <c r="F985">
        <f t="shared" si="31"/>
        <v>602</v>
      </c>
    </row>
    <row r="986" spans="1:6" x14ac:dyDescent="0.55000000000000004">
      <c r="A986">
        <v>5.3973038049061745E+18</v>
      </c>
      <c r="B986" t="s">
        <v>58</v>
      </c>
      <c r="C986" t="s">
        <v>46</v>
      </c>
      <c r="D986">
        <v>36474</v>
      </c>
      <c r="E986" s="4">
        <f t="shared" si="30"/>
        <v>44381</v>
      </c>
      <c r="F986">
        <f t="shared" si="31"/>
        <v>648</v>
      </c>
    </row>
    <row r="987" spans="1:6" x14ac:dyDescent="0.55000000000000004">
      <c r="A987">
        <v>5.9528414625950733E+17</v>
      </c>
      <c r="B987" t="s">
        <v>688</v>
      </c>
      <c r="C987" t="s">
        <v>10</v>
      </c>
      <c r="D987">
        <v>2250</v>
      </c>
      <c r="E987" s="4">
        <f t="shared" si="30"/>
        <v>44434</v>
      </c>
      <c r="F987">
        <f t="shared" si="31"/>
        <v>595</v>
      </c>
    </row>
    <row r="988" spans="1:6" x14ac:dyDescent="0.55000000000000004">
      <c r="A988">
        <v>5.3973038049061745E+18</v>
      </c>
      <c r="B988" t="s">
        <v>689</v>
      </c>
      <c r="C988" t="s">
        <v>46</v>
      </c>
      <c r="D988">
        <v>115747.02</v>
      </c>
      <c r="E988" s="4">
        <f t="shared" si="30"/>
        <v>42506</v>
      </c>
      <c r="F988">
        <f t="shared" si="31"/>
        <v>2523</v>
      </c>
    </row>
    <row r="989" spans="1:6" x14ac:dyDescent="0.55000000000000004">
      <c r="A989">
        <v>1.758266025071504E+19</v>
      </c>
      <c r="B989" t="s">
        <v>227</v>
      </c>
      <c r="C989" t="s">
        <v>13</v>
      </c>
      <c r="D989">
        <v>1336</v>
      </c>
      <c r="E989" s="4">
        <f t="shared" si="30"/>
        <v>45007</v>
      </c>
      <c r="F989">
        <f t="shared" si="31"/>
        <v>22</v>
      </c>
    </row>
    <row r="990" spans="1:6" x14ac:dyDescent="0.55000000000000004">
      <c r="A990">
        <v>1.2278171695575269E+19</v>
      </c>
      <c r="B990" t="s">
        <v>539</v>
      </c>
      <c r="C990" t="s">
        <v>7</v>
      </c>
      <c r="D990">
        <v>722</v>
      </c>
      <c r="E990" s="4">
        <f t="shared" si="30"/>
        <v>44305</v>
      </c>
      <c r="F990">
        <f t="shared" si="31"/>
        <v>724</v>
      </c>
    </row>
    <row r="991" spans="1:6" x14ac:dyDescent="0.55000000000000004">
      <c r="A991">
        <v>1.5129134836081629E+17</v>
      </c>
      <c r="B991" t="s">
        <v>31</v>
      </c>
      <c r="C991" t="s">
        <v>10</v>
      </c>
      <c r="D991">
        <v>340</v>
      </c>
      <c r="E991" s="4">
        <f t="shared" si="30"/>
        <v>43814</v>
      </c>
      <c r="F991">
        <f t="shared" si="31"/>
        <v>1215</v>
      </c>
    </row>
    <row r="992" spans="1:6" x14ac:dyDescent="0.55000000000000004">
      <c r="A992">
        <v>4.0511141420952192E+18</v>
      </c>
      <c r="B992" t="s">
        <v>544</v>
      </c>
      <c r="C992" t="s">
        <v>10</v>
      </c>
      <c r="D992">
        <v>534</v>
      </c>
      <c r="E992" s="4">
        <f t="shared" si="30"/>
        <v>44217</v>
      </c>
      <c r="F992">
        <f t="shared" si="31"/>
        <v>812</v>
      </c>
    </row>
    <row r="993" spans="1:6" x14ac:dyDescent="0.55000000000000004">
      <c r="A993">
        <v>1.1864184727117269E+19</v>
      </c>
      <c r="B993" t="s">
        <v>296</v>
      </c>
      <c r="C993" t="s">
        <v>13</v>
      </c>
      <c r="D993">
        <v>588</v>
      </c>
      <c r="E993" s="4">
        <f t="shared" si="30"/>
        <v>44945</v>
      </c>
      <c r="F993">
        <f t="shared" si="31"/>
        <v>84</v>
      </c>
    </row>
    <row r="994" spans="1:6" x14ac:dyDescent="0.55000000000000004">
      <c r="A994">
        <v>2.9959445171180252E+18</v>
      </c>
      <c r="B994" t="s">
        <v>690</v>
      </c>
      <c r="C994" t="s">
        <v>10</v>
      </c>
      <c r="D994">
        <v>98</v>
      </c>
      <c r="E994" s="4">
        <f t="shared" si="30"/>
        <v>43838</v>
      </c>
      <c r="F994">
        <f t="shared" si="31"/>
        <v>1191</v>
      </c>
    </row>
    <row r="995" spans="1:6" x14ac:dyDescent="0.55000000000000004">
      <c r="A995">
        <v>9.5853742423765955E+18</v>
      </c>
      <c r="B995" t="s">
        <v>120</v>
      </c>
      <c r="C995" t="s">
        <v>50</v>
      </c>
      <c r="D995">
        <v>312</v>
      </c>
      <c r="E995" s="4">
        <f t="shared" si="30"/>
        <v>44386</v>
      </c>
      <c r="F995">
        <f t="shared" si="31"/>
        <v>643</v>
      </c>
    </row>
    <row r="996" spans="1:6" x14ac:dyDescent="0.55000000000000004">
      <c r="A996">
        <v>1.010084852275994E+19</v>
      </c>
      <c r="B996" t="s">
        <v>691</v>
      </c>
      <c r="C996" t="s">
        <v>10</v>
      </c>
      <c r="D996">
        <v>218</v>
      </c>
      <c r="E996" s="4">
        <f t="shared" si="30"/>
        <v>43620</v>
      </c>
      <c r="F996">
        <f t="shared" si="31"/>
        <v>1409</v>
      </c>
    </row>
    <row r="997" spans="1:6" x14ac:dyDescent="0.55000000000000004">
      <c r="A997">
        <v>1.0762135343377629E+19</v>
      </c>
      <c r="B997" t="s">
        <v>692</v>
      </c>
      <c r="C997" t="s">
        <v>46</v>
      </c>
      <c r="D997">
        <v>129</v>
      </c>
      <c r="E997" s="4">
        <f t="shared" si="30"/>
        <v>44322</v>
      </c>
      <c r="F997">
        <f t="shared" si="31"/>
        <v>707</v>
      </c>
    </row>
    <row r="998" spans="1:6" x14ac:dyDescent="0.55000000000000004">
      <c r="A998">
        <v>5.6825257000827535E+18</v>
      </c>
      <c r="B998" t="s">
        <v>693</v>
      </c>
      <c r="C998" t="s">
        <v>13</v>
      </c>
      <c r="D998">
        <v>3772</v>
      </c>
      <c r="E998" s="4">
        <f t="shared" si="30"/>
        <v>44629</v>
      </c>
      <c r="F998">
        <f t="shared" si="31"/>
        <v>400</v>
      </c>
    </row>
    <row r="999" spans="1:6" x14ac:dyDescent="0.55000000000000004">
      <c r="A999">
        <v>5.0702927783924183E+18</v>
      </c>
      <c r="B999" t="s">
        <v>602</v>
      </c>
      <c r="C999" t="s">
        <v>10</v>
      </c>
      <c r="D999">
        <v>1419</v>
      </c>
      <c r="E999" s="4">
        <f t="shared" si="30"/>
        <v>44193</v>
      </c>
      <c r="F999">
        <f t="shared" si="31"/>
        <v>836</v>
      </c>
    </row>
    <row r="1000" spans="1:6" x14ac:dyDescent="0.55000000000000004">
      <c r="A1000">
        <v>7.1727134401660109E+18</v>
      </c>
      <c r="B1000" t="s">
        <v>694</v>
      </c>
      <c r="C1000" t="s">
        <v>13</v>
      </c>
      <c r="D1000">
        <v>240</v>
      </c>
      <c r="E1000" s="4">
        <f t="shared" si="30"/>
        <v>43813</v>
      </c>
      <c r="F1000">
        <f t="shared" si="31"/>
        <v>1216</v>
      </c>
    </row>
    <row r="1001" spans="1:6" x14ac:dyDescent="0.55000000000000004">
      <c r="A1001">
        <v>1.748010131203328E+19</v>
      </c>
      <c r="B1001" t="s">
        <v>281</v>
      </c>
      <c r="C1001" t="s">
        <v>10</v>
      </c>
      <c r="D1001">
        <v>3782</v>
      </c>
      <c r="E1001" s="4">
        <f t="shared" si="30"/>
        <v>44833</v>
      </c>
      <c r="F1001">
        <f t="shared" si="31"/>
        <v>196</v>
      </c>
    </row>
    <row r="1002" spans="1:6" x14ac:dyDescent="0.55000000000000004">
      <c r="A1002">
        <v>8.9323290244367526E+17</v>
      </c>
      <c r="B1002" t="s">
        <v>695</v>
      </c>
      <c r="C1002" t="s">
        <v>10</v>
      </c>
      <c r="D1002">
        <v>648</v>
      </c>
      <c r="E1002" s="4">
        <f t="shared" si="30"/>
        <v>44493</v>
      </c>
      <c r="F1002">
        <f t="shared" si="31"/>
        <v>536</v>
      </c>
    </row>
    <row r="1003" spans="1:6" x14ac:dyDescent="0.55000000000000004">
      <c r="A1003">
        <v>1.388435877609139E+19</v>
      </c>
      <c r="B1003" t="s">
        <v>635</v>
      </c>
      <c r="C1003" t="s">
        <v>13</v>
      </c>
      <c r="D1003">
        <v>3000</v>
      </c>
      <c r="E1003" s="4">
        <f t="shared" si="30"/>
        <v>45020</v>
      </c>
      <c r="F1003">
        <f t="shared" si="31"/>
        <v>9</v>
      </c>
    </row>
    <row r="1004" spans="1:6" x14ac:dyDescent="0.55000000000000004">
      <c r="A1004">
        <v>1.7849563115073061E+19</v>
      </c>
      <c r="B1004" t="s">
        <v>316</v>
      </c>
      <c r="C1004" t="s">
        <v>7</v>
      </c>
      <c r="D1004">
        <v>518</v>
      </c>
      <c r="E1004" s="4">
        <f t="shared" si="30"/>
        <v>43946</v>
      </c>
      <c r="F1004">
        <f t="shared" si="31"/>
        <v>1083</v>
      </c>
    </row>
    <row r="1005" spans="1:6" x14ac:dyDescent="0.55000000000000004">
      <c r="A1005">
        <v>1.602625952599124E+19</v>
      </c>
      <c r="B1005" t="s">
        <v>696</v>
      </c>
      <c r="C1005" t="s">
        <v>5</v>
      </c>
      <c r="D1005">
        <v>561</v>
      </c>
      <c r="E1005" s="4">
        <f t="shared" si="30"/>
        <v>44129</v>
      </c>
      <c r="F1005">
        <f t="shared" si="31"/>
        <v>900</v>
      </c>
    </row>
    <row r="1006" spans="1:6" x14ac:dyDescent="0.55000000000000004">
      <c r="A1006">
        <v>1.787517190708941E+19</v>
      </c>
      <c r="B1006" t="s">
        <v>697</v>
      </c>
      <c r="C1006" t="s">
        <v>13</v>
      </c>
      <c r="D1006">
        <v>419</v>
      </c>
      <c r="E1006" s="4">
        <f t="shared" si="30"/>
        <v>44584</v>
      </c>
      <c r="F1006">
        <f t="shared" si="31"/>
        <v>445</v>
      </c>
    </row>
    <row r="1007" spans="1:6" x14ac:dyDescent="0.55000000000000004">
      <c r="A1007">
        <v>1.1982221732938629E+19</v>
      </c>
      <c r="B1007" t="s">
        <v>698</v>
      </c>
      <c r="C1007" t="s">
        <v>10</v>
      </c>
      <c r="D1007">
        <v>7250</v>
      </c>
      <c r="E1007" s="4">
        <f t="shared" si="30"/>
        <v>44538</v>
      </c>
      <c r="F1007">
        <f t="shared" si="31"/>
        <v>491</v>
      </c>
    </row>
    <row r="1008" spans="1:6" x14ac:dyDescent="0.55000000000000004">
      <c r="A1008">
        <v>4.9767555645308058E+18</v>
      </c>
      <c r="B1008" t="s">
        <v>699</v>
      </c>
      <c r="C1008" t="s">
        <v>10</v>
      </c>
      <c r="D1008">
        <v>1555</v>
      </c>
      <c r="E1008" s="4">
        <f t="shared" si="30"/>
        <v>44171</v>
      </c>
      <c r="F1008">
        <f t="shared" si="31"/>
        <v>858</v>
      </c>
    </row>
    <row r="1009" spans="1:6" x14ac:dyDescent="0.55000000000000004">
      <c r="A1009">
        <v>1.510285871969826E+19</v>
      </c>
      <c r="B1009" t="s">
        <v>700</v>
      </c>
      <c r="C1009" t="s">
        <v>7</v>
      </c>
      <c r="D1009">
        <v>198</v>
      </c>
      <c r="E1009" s="4">
        <f t="shared" si="30"/>
        <v>44683</v>
      </c>
      <c r="F1009">
        <f t="shared" si="31"/>
        <v>346</v>
      </c>
    </row>
    <row r="1010" spans="1:6" x14ac:dyDescent="0.55000000000000004">
      <c r="A1010">
        <v>1.753170147042397E+19</v>
      </c>
      <c r="B1010" t="s">
        <v>609</v>
      </c>
      <c r="C1010" t="s">
        <v>26</v>
      </c>
      <c r="D1010">
        <v>119</v>
      </c>
      <c r="E1010" s="4">
        <f t="shared" si="30"/>
        <v>44429</v>
      </c>
      <c r="F1010">
        <f t="shared" si="31"/>
        <v>600</v>
      </c>
    </row>
    <row r="1011" spans="1:6" x14ac:dyDescent="0.55000000000000004">
      <c r="A1011">
        <v>2.0274978980772051E+17</v>
      </c>
      <c r="B1011" t="s">
        <v>629</v>
      </c>
      <c r="C1011" t="s">
        <v>46</v>
      </c>
      <c r="D1011">
        <v>564</v>
      </c>
      <c r="E1011" s="4">
        <f t="shared" si="30"/>
        <v>44829</v>
      </c>
      <c r="F1011">
        <f t="shared" si="31"/>
        <v>200</v>
      </c>
    </row>
    <row r="1012" spans="1:6" x14ac:dyDescent="0.55000000000000004">
      <c r="A1012">
        <v>3.0220258818479959E+18</v>
      </c>
      <c r="B1012" t="s">
        <v>465</v>
      </c>
      <c r="C1012" t="s">
        <v>7</v>
      </c>
      <c r="D1012">
        <v>6012</v>
      </c>
      <c r="E1012" s="4">
        <f t="shared" si="30"/>
        <v>44917</v>
      </c>
      <c r="F1012">
        <f t="shared" si="31"/>
        <v>112</v>
      </c>
    </row>
    <row r="1013" spans="1:6" x14ac:dyDescent="0.55000000000000004">
      <c r="A1013">
        <v>4.197425612844927E+18</v>
      </c>
      <c r="B1013" t="s">
        <v>701</v>
      </c>
      <c r="C1013" t="s">
        <v>13</v>
      </c>
      <c r="D1013">
        <v>6740</v>
      </c>
      <c r="E1013" s="4">
        <f t="shared" si="30"/>
        <v>44747</v>
      </c>
      <c r="F1013">
        <f t="shared" si="31"/>
        <v>282</v>
      </c>
    </row>
    <row r="1014" spans="1:6" x14ac:dyDescent="0.55000000000000004">
      <c r="A1014">
        <v>1.1267827626651091E+19</v>
      </c>
      <c r="B1014" t="s">
        <v>621</v>
      </c>
      <c r="C1014" t="s">
        <v>13</v>
      </c>
      <c r="D1014">
        <v>1323</v>
      </c>
      <c r="E1014" s="4">
        <f t="shared" si="30"/>
        <v>44888</v>
      </c>
      <c r="F1014">
        <f t="shared" si="31"/>
        <v>141</v>
      </c>
    </row>
    <row r="1015" spans="1:6" x14ac:dyDescent="0.55000000000000004">
      <c r="A1015">
        <v>2.1009748977262459E+18</v>
      </c>
      <c r="B1015" t="s">
        <v>693</v>
      </c>
      <c r="C1015" t="s">
        <v>13</v>
      </c>
      <c r="D1015">
        <v>11324</v>
      </c>
      <c r="E1015" s="4">
        <f t="shared" si="30"/>
        <v>44629</v>
      </c>
      <c r="F1015">
        <f t="shared" si="31"/>
        <v>400</v>
      </c>
    </row>
    <row r="1016" spans="1:6" x14ac:dyDescent="0.55000000000000004">
      <c r="A1016">
        <v>1.4979851670315909E+19</v>
      </c>
      <c r="B1016" t="s">
        <v>702</v>
      </c>
      <c r="C1016" t="s">
        <v>46</v>
      </c>
      <c r="D1016">
        <v>229</v>
      </c>
      <c r="E1016" s="4">
        <f t="shared" si="30"/>
        <v>44721</v>
      </c>
      <c r="F1016">
        <f t="shared" si="31"/>
        <v>308</v>
      </c>
    </row>
    <row r="1017" spans="1:6" x14ac:dyDescent="0.55000000000000004">
      <c r="A1017">
        <v>5.6099104682635295E+18</v>
      </c>
      <c r="B1017" t="s">
        <v>579</v>
      </c>
      <c r="C1017" t="s">
        <v>7</v>
      </c>
      <c r="D1017">
        <v>479</v>
      </c>
      <c r="E1017" s="4">
        <f t="shared" si="30"/>
        <v>43791</v>
      </c>
      <c r="F1017">
        <f t="shared" si="31"/>
        <v>1238</v>
      </c>
    </row>
    <row r="1018" spans="1:6" x14ac:dyDescent="0.55000000000000004">
      <c r="A1018">
        <v>5.8245192961811661E+18</v>
      </c>
      <c r="B1018" t="s">
        <v>703</v>
      </c>
      <c r="C1018" t="s">
        <v>7</v>
      </c>
      <c r="D1018">
        <v>4680</v>
      </c>
      <c r="E1018" s="4">
        <f t="shared" si="30"/>
        <v>44930</v>
      </c>
      <c r="F1018">
        <f t="shared" si="31"/>
        <v>99</v>
      </c>
    </row>
    <row r="1019" spans="1:6" x14ac:dyDescent="0.55000000000000004">
      <c r="A1019">
        <v>4.0215809108254679E+18</v>
      </c>
      <c r="B1019" t="s">
        <v>132</v>
      </c>
      <c r="C1019" t="s">
        <v>13</v>
      </c>
      <c r="D1019">
        <v>954</v>
      </c>
      <c r="E1019" s="4">
        <f t="shared" si="30"/>
        <v>44345</v>
      </c>
      <c r="F1019">
        <f t="shared" si="31"/>
        <v>684</v>
      </c>
    </row>
    <row r="1020" spans="1:6" x14ac:dyDescent="0.55000000000000004">
      <c r="A1020">
        <v>4.6570495975165635E+18</v>
      </c>
      <c r="B1020" t="s">
        <v>704</v>
      </c>
      <c r="C1020" t="s">
        <v>26</v>
      </c>
      <c r="D1020">
        <v>612</v>
      </c>
      <c r="E1020" s="4">
        <f t="shared" si="30"/>
        <v>43848</v>
      </c>
      <c r="F1020">
        <f t="shared" si="31"/>
        <v>1181</v>
      </c>
    </row>
    <row r="1021" spans="1:6" x14ac:dyDescent="0.55000000000000004">
      <c r="A1021">
        <v>8.1026168591445023E+18</v>
      </c>
      <c r="B1021" t="s">
        <v>705</v>
      </c>
      <c r="C1021" t="s">
        <v>50</v>
      </c>
      <c r="D1021">
        <v>84</v>
      </c>
      <c r="E1021" s="4">
        <f t="shared" si="30"/>
        <v>44971</v>
      </c>
      <c r="F1021">
        <f t="shared" si="31"/>
        <v>58</v>
      </c>
    </row>
    <row r="1022" spans="1:6" x14ac:dyDescent="0.55000000000000004">
      <c r="A1022">
        <v>1.854419958740415E+18</v>
      </c>
      <c r="B1022" t="s">
        <v>706</v>
      </c>
      <c r="C1022" t="s">
        <v>5</v>
      </c>
      <c r="D1022">
        <v>2376</v>
      </c>
      <c r="E1022" s="4">
        <f t="shared" si="30"/>
        <v>44646</v>
      </c>
      <c r="F1022">
        <f t="shared" si="31"/>
        <v>383</v>
      </c>
    </row>
    <row r="1023" spans="1:6" x14ac:dyDescent="0.55000000000000004">
      <c r="A1023">
        <v>2.9901190696250619E+18</v>
      </c>
      <c r="B1023" t="s">
        <v>206</v>
      </c>
      <c r="C1023" t="s">
        <v>10</v>
      </c>
      <c r="D1023">
        <v>2691</v>
      </c>
      <c r="E1023" s="4">
        <f t="shared" si="30"/>
        <v>44970</v>
      </c>
      <c r="F1023">
        <f t="shared" si="31"/>
        <v>59</v>
      </c>
    </row>
    <row r="1024" spans="1:6" x14ac:dyDescent="0.55000000000000004">
      <c r="A1024">
        <v>1.3124075437308191E+19</v>
      </c>
      <c r="B1024" t="s">
        <v>707</v>
      </c>
      <c r="C1024" t="s">
        <v>13</v>
      </c>
      <c r="D1024">
        <v>548</v>
      </c>
      <c r="E1024" s="4">
        <f t="shared" si="30"/>
        <v>44265</v>
      </c>
      <c r="F1024">
        <f t="shared" si="31"/>
        <v>764</v>
      </c>
    </row>
    <row r="1025" spans="1:6" x14ac:dyDescent="0.55000000000000004">
      <c r="A1025">
        <v>1.8290896633043259E+19</v>
      </c>
      <c r="B1025" t="s">
        <v>386</v>
      </c>
      <c r="C1025" t="s">
        <v>7</v>
      </c>
      <c r="D1025">
        <v>1071</v>
      </c>
      <c r="E1025" s="4">
        <f t="shared" si="30"/>
        <v>44329</v>
      </c>
      <c r="F1025">
        <f t="shared" si="31"/>
        <v>700</v>
      </c>
    </row>
    <row r="1026" spans="1:6" x14ac:dyDescent="0.55000000000000004">
      <c r="A1026">
        <v>1.1864184727117269E+19</v>
      </c>
      <c r="B1026" t="s">
        <v>708</v>
      </c>
      <c r="C1026" t="s">
        <v>10</v>
      </c>
      <c r="D1026">
        <v>940</v>
      </c>
      <c r="E1026" s="4">
        <f t="shared" si="30"/>
        <v>44822</v>
      </c>
      <c r="F1026">
        <f t="shared" si="31"/>
        <v>207</v>
      </c>
    </row>
    <row r="1027" spans="1:6" x14ac:dyDescent="0.55000000000000004">
      <c r="A1027">
        <v>1.676357141237368E+19</v>
      </c>
      <c r="B1027" t="s">
        <v>709</v>
      </c>
      <c r="C1027" t="s">
        <v>26</v>
      </c>
      <c r="D1027">
        <v>98</v>
      </c>
      <c r="E1027" s="4">
        <f t="shared" ref="E1027:E1090" si="32">DATEVALUE(B1027)</f>
        <v>43986</v>
      </c>
      <c r="F1027">
        <f t="shared" ref="F1027:F1090" si="33">$H$1-E1027</f>
        <v>1043</v>
      </c>
    </row>
    <row r="1028" spans="1:6" x14ac:dyDescent="0.55000000000000004">
      <c r="A1028">
        <v>7.658255809365472E+16</v>
      </c>
      <c r="B1028" t="s">
        <v>710</v>
      </c>
      <c r="C1028" t="s">
        <v>13</v>
      </c>
      <c r="D1028">
        <v>526</v>
      </c>
      <c r="E1028" s="4">
        <f t="shared" si="32"/>
        <v>44198</v>
      </c>
      <c r="F1028">
        <f t="shared" si="33"/>
        <v>831</v>
      </c>
    </row>
    <row r="1029" spans="1:6" x14ac:dyDescent="0.55000000000000004">
      <c r="A1029">
        <v>1.158674241786845E+19</v>
      </c>
      <c r="B1029" t="s">
        <v>711</v>
      </c>
      <c r="C1029" t="s">
        <v>50</v>
      </c>
      <c r="D1029">
        <v>513</v>
      </c>
      <c r="E1029" s="4">
        <f t="shared" si="32"/>
        <v>44498</v>
      </c>
      <c r="F1029">
        <f t="shared" si="33"/>
        <v>531</v>
      </c>
    </row>
    <row r="1030" spans="1:6" x14ac:dyDescent="0.55000000000000004">
      <c r="A1030">
        <v>9.3674319387431567E+18</v>
      </c>
      <c r="B1030" t="s">
        <v>712</v>
      </c>
      <c r="C1030" t="s">
        <v>7</v>
      </c>
      <c r="D1030">
        <v>69</v>
      </c>
      <c r="E1030" s="4">
        <f t="shared" si="32"/>
        <v>44470</v>
      </c>
      <c r="F1030">
        <f t="shared" si="33"/>
        <v>559</v>
      </c>
    </row>
    <row r="1031" spans="1:6" x14ac:dyDescent="0.55000000000000004">
      <c r="A1031">
        <v>9.7780975587307356E+18</v>
      </c>
      <c r="B1031" t="s">
        <v>589</v>
      </c>
      <c r="C1031" t="s">
        <v>13</v>
      </c>
      <c r="D1031">
        <v>2216</v>
      </c>
      <c r="E1031" s="4">
        <f t="shared" si="32"/>
        <v>44105</v>
      </c>
      <c r="F1031">
        <f t="shared" si="33"/>
        <v>924</v>
      </c>
    </row>
    <row r="1032" spans="1:6" x14ac:dyDescent="0.55000000000000004">
      <c r="A1032">
        <v>1.5103322672922581E+19</v>
      </c>
      <c r="B1032" t="s">
        <v>138</v>
      </c>
      <c r="C1032" t="s">
        <v>13</v>
      </c>
      <c r="D1032">
        <v>349</v>
      </c>
      <c r="E1032" s="4">
        <f t="shared" si="32"/>
        <v>44320</v>
      </c>
      <c r="F1032">
        <f t="shared" si="33"/>
        <v>709</v>
      </c>
    </row>
    <row r="1033" spans="1:6" x14ac:dyDescent="0.55000000000000004">
      <c r="A1033">
        <v>1.262209318827511E+19</v>
      </c>
      <c r="B1033" t="s">
        <v>405</v>
      </c>
      <c r="C1033" t="s">
        <v>13</v>
      </c>
      <c r="D1033">
        <v>2068</v>
      </c>
      <c r="E1033" s="4">
        <f t="shared" si="32"/>
        <v>43988</v>
      </c>
      <c r="F1033">
        <f t="shared" si="33"/>
        <v>1041</v>
      </c>
    </row>
    <row r="1034" spans="1:6" x14ac:dyDescent="0.55000000000000004">
      <c r="A1034">
        <v>4.3270255639258972E+18</v>
      </c>
      <c r="B1034" t="s">
        <v>713</v>
      </c>
      <c r="C1034" t="s">
        <v>13</v>
      </c>
      <c r="D1034">
        <v>3149</v>
      </c>
      <c r="E1034" s="4">
        <f t="shared" si="32"/>
        <v>44246</v>
      </c>
      <c r="F1034">
        <f t="shared" si="33"/>
        <v>783</v>
      </c>
    </row>
    <row r="1035" spans="1:6" x14ac:dyDescent="0.55000000000000004">
      <c r="A1035">
        <v>8.3774731282470246E+18</v>
      </c>
      <c r="B1035" t="s">
        <v>366</v>
      </c>
      <c r="C1035" t="s">
        <v>10</v>
      </c>
      <c r="D1035">
        <v>499</v>
      </c>
      <c r="E1035" s="4">
        <f t="shared" si="32"/>
        <v>44746</v>
      </c>
      <c r="F1035">
        <f t="shared" si="33"/>
        <v>283</v>
      </c>
    </row>
    <row r="1036" spans="1:6" x14ac:dyDescent="0.55000000000000004">
      <c r="A1036">
        <v>5.497031036325631E+18</v>
      </c>
      <c r="B1036" t="s">
        <v>293</v>
      </c>
      <c r="C1036" t="s">
        <v>10</v>
      </c>
      <c r="D1036">
        <v>2244</v>
      </c>
      <c r="E1036" s="4">
        <f t="shared" si="32"/>
        <v>44598</v>
      </c>
      <c r="F1036">
        <f t="shared" si="33"/>
        <v>431</v>
      </c>
    </row>
    <row r="1037" spans="1:6" x14ac:dyDescent="0.55000000000000004">
      <c r="A1037">
        <v>1.4358514523277611E+19</v>
      </c>
      <c r="B1037" t="s">
        <v>525</v>
      </c>
      <c r="C1037" t="s">
        <v>10</v>
      </c>
      <c r="D1037">
        <v>504</v>
      </c>
      <c r="E1037" s="4">
        <f t="shared" si="32"/>
        <v>44475</v>
      </c>
      <c r="F1037">
        <f t="shared" si="33"/>
        <v>554</v>
      </c>
    </row>
    <row r="1038" spans="1:6" x14ac:dyDescent="0.55000000000000004">
      <c r="A1038">
        <v>1.496928590559763E+19</v>
      </c>
      <c r="B1038" t="s">
        <v>39</v>
      </c>
      <c r="C1038" t="s">
        <v>7</v>
      </c>
      <c r="D1038">
        <v>490</v>
      </c>
      <c r="E1038" s="4">
        <f t="shared" si="32"/>
        <v>44285</v>
      </c>
      <c r="F1038">
        <f t="shared" si="33"/>
        <v>744</v>
      </c>
    </row>
    <row r="1039" spans="1:6" x14ac:dyDescent="0.55000000000000004">
      <c r="A1039">
        <v>4.0074036940112302E+18</v>
      </c>
      <c r="B1039" t="s">
        <v>714</v>
      </c>
      <c r="C1039" t="s">
        <v>13</v>
      </c>
      <c r="D1039">
        <v>2104</v>
      </c>
      <c r="E1039" s="4">
        <f t="shared" si="32"/>
        <v>44935</v>
      </c>
      <c r="F1039">
        <f t="shared" si="33"/>
        <v>94</v>
      </c>
    </row>
    <row r="1040" spans="1:6" x14ac:dyDescent="0.55000000000000004">
      <c r="A1040">
        <v>1.5436359272742521E+19</v>
      </c>
      <c r="B1040" t="s">
        <v>715</v>
      </c>
      <c r="C1040" t="s">
        <v>13</v>
      </c>
      <c r="D1040">
        <v>380</v>
      </c>
      <c r="E1040" s="4">
        <f t="shared" si="32"/>
        <v>43826</v>
      </c>
      <c r="F1040">
        <f t="shared" si="33"/>
        <v>1203</v>
      </c>
    </row>
    <row r="1041" spans="1:6" x14ac:dyDescent="0.55000000000000004">
      <c r="A1041">
        <v>5.7659891873700403E+18</v>
      </c>
      <c r="B1041" t="s">
        <v>707</v>
      </c>
      <c r="C1041" t="s">
        <v>13</v>
      </c>
      <c r="D1041">
        <v>867</v>
      </c>
      <c r="E1041" s="4">
        <f t="shared" si="32"/>
        <v>44265</v>
      </c>
      <c r="F1041">
        <f t="shared" si="33"/>
        <v>764</v>
      </c>
    </row>
    <row r="1042" spans="1:6" x14ac:dyDescent="0.55000000000000004">
      <c r="A1042">
        <v>1.345861267394763E+19</v>
      </c>
      <c r="B1042" t="s">
        <v>716</v>
      </c>
      <c r="C1042" t="s">
        <v>5</v>
      </c>
      <c r="D1042">
        <v>2667</v>
      </c>
      <c r="E1042" s="4">
        <f t="shared" si="32"/>
        <v>45009</v>
      </c>
      <c r="F1042">
        <f t="shared" si="33"/>
        <v>20</v>
      </c>
    </row>
    <row r="1043" spans="1:6" x14ac:dyDescent="0.55000000000000004">
      <c r="A1043">
        <v>4.9000438688418744E+18</v>
      </c>
      <c r="B1043" t="s">
        <v>717</v>
      </c>
      <c r="C1043" t="s">
        <v>13</v>
      </c>
      <c r="D1043">
        <v>1120</v>
      </c>
      <c r="E1043" s="4">
        <f t="shared" si="32"/>
        <v>44787</v>
      </c>
      <c r="F1043">
        <f t="shared" si="33"/>
        <v>242</v>
      </c>
    </row>
    <row r="1044" spans="1:6" x14ac:dyDescent="0.55000000000000004">
      <c r="A1044">
        <v>1.2539100529691179E+19</v>
      </c>
      <c r="B1044" t="s">
        <v>31</v>
      </c>
      <c r="C1044" t="s">
        <v>26</v>
      </c>
      <c r="D1044">
        <v>443</v>
      </c>
      <c r="E1044" s="4">
        <f t="shared" si="32"/>
        <v>43814</v>
      </c>
      <c r="F1044">
        <f t="shared" si="33"/>
        <v>1215</v>
      </c>
    </row>
    <row r="1045" spans="1:6" x14ac:dyDescent="0.55000000000000004">
      <c r="A1045">
        <v>1.5301579014397999E+19</v>
      </c>
      <c r="B1045" t="s">
        <v>718</v>
      </c>
      <c r="C1045" t="s">
        <v>13</v>
      </c>
      <c r="D1045">
        <v>1478</v>
      </c>
      <c r="E1045" s="4">
        <f t="shared" si="32"/>
        <v>44201</v>
      </c>
      <c r="F1045">
        <f t="shared" si="33"/>
        <v>828</v>
      </c>
    </row>
    <row r="1046" spans="1:6" x14ac:dyDescent="0.55000000000000004">
      <c r="A1046">
        <v>1.1528292962030739E+19</v>
      </c>
      <c r="B1046" t="s">
        <v>719</v>
      </c>
      <c r="C1046" t="s">
        <v>46</v>
      </c>
      <c r="D1046">
        <v>1053</v>
      </c>
      <c r="E1046" s="4">
        <f t="shared" si="32"/>
        <v>44045</v>
      </c>
      <c r="F1046">
        <f t="shared" si="33"/>
        <v>984</v>
      </c>
    </row>
    <row r="1047" spans="1:6" x14ac:dyDescent="0.55000000000000004">
      <c r="A1047">
        <v>1.6915568040098779E+19</v>
      </c>
      <c r="B1047" t="s">
        <v>720</v>
      </c>
      <c r="C1047" t="s">
        <v>13</v>
      </c>
      <c r="D1047">
        <v>3000</v>
      </c>
      <c r="E1047" s="4">
        <f t="shared" si="32"/>
        <v>44471</v>
      </c>
      <c r="F1047">
        <f t="shared" si="33"/>
        <v>558</v>
      </c>
    </row>
    <row r="1048" spans="1:6" x14ac:dyDescent="0.55000000000000004">
      <c r="A1048">
        <v>9.4799035867052339E+18</v>
      </c>
      <c r="B1048" t="s">
        <v>212</v>
      </c>
      <c r="C1048" t="s">
        <v>13</v>
      </c>
      <c r="D1048">
        <v>635</v>
      </c>
      <c r="E1048" s="4">
        <f t="shared" si="32"/>
        <v>43915</v>
      </c>
      <c r="F1048">
        <f t="shared" si="33"/>
        <v>1114</v>
      </c>
    </row>
    <row r="1049" spans="1:6" x14ac:dyDescent="0.55000000000000004">
      <c r="A1049">
        <v>5.7314394643560571E+18</v>
      </c>
      <c r="B1049" t="s">
        <v>176</v>
      </c>
      <c r="C1049" t="s">
        <v>5</v>
      </c>
      <c r="D1049">
        <v>8377</v>
      </c>
      <c r="E1049" s="4">
        <f t="shared" si="32"/>
        <v>44773</v>
      </c>
      <c r="F1049">
        <f t="shared" si="33"/>
        <v>256</v>
      </c>
    </row>
    <row r="1050" spans="1:6" x14ac:dyDescent="0.55000000000000004">
      <c r="A1050">
        <v>1.302438137576739E+19</v>
      </c>
      <c r="B1050" t="s">
        <v>721</v>
      </c>
      <c r="C1050" t="s">
        <v>7</v>
      </c>
      <c r="D1050">
        <v>485</v>
      </c>
      <c r="E1050" s="4">
        <f t="shared" si="32"/>
        <v>44876</v>
      </c>
      <c r="F1050">
        <f t="shared" si="33"/>
        <v>153</v>
      </c>
    </row>
    <row r="1051" spans="1:6" x14ac:dyDescent="0.55000000000000004">
      <c r="A1051">
        <v>1.742902964721654E+19</v>
      </c>
      <c r="B1051" t="s">
        <v>225</v>
      </c>
      <c r="C1051" t="s">
        <v>7</v>
      </c>
      <c r="D1051">
        <v>50</v>
      </c>
      <c r="E1051" s="4">
        <f t="shared" si="32"/>
        <v>43830</v>
      </c>
      <c r="F1051">
        <f t="shared" si="33"/>
        <v>1199</v>
      </c>
    </row>
    <row r="1052" spans="1:6" x14ac:dyDescent="0.55000000000000004">
      <c r="A1052">
        <v>5.3973038049061745E+18</v>
      </c>
      <c r="B1052" t="s">
        <v>722</v>
      </c>
      <c r="C1052" t="s">
        <v>50</v>
      </c>
      <c r="D1052">
        <v>62760</v>
      </c>
      <c r="E1052" s="4">
        <f t="shared" si="32"/>
        <v>42501</v>
      </c>
      <c r="F1052">
        <f t="shared" si="33"/>
        <v>2528</v>
      </c>
    </row>
    <row r="1053" spans="1:6" x14ac:dyDescent="0.55000000000000004">
      <c r="A1053">
        <v>5.3060560523915049E+18</v>
      </c>
      <c r="B1053" t="s">
        <v>415</v>
      </c>
      <c r="C1053" t="s">
        <v>26</v>
      </c>
      <c r="D1053">
        <v>1990</v>
      </c>
      <c r="E1053" s="4">
        <f t="shared" si="32"/>
        <v>44218</v>
      </c>
      <c r="F1053">
        <f t="shared" si="33"/>
        <v>811</v>
      </c>
    </row>
    <row r="1054" spans="1:6" x14ac:dyDescent="0.55000000000000004">
      <c r="A1054">
        <v>5.4207611659423212E+18</v>
      </c>
      <c r="B1054" t="s">
        <v>362</v>
      </c>
      <c r="C1054" t="s">
        <v>50</v>
      </c>
      <c r="D1054">
        <v>249</v>
      </c>
      <c r="E1054" s="4">
        <f t="shared" si="32"/>
        <v>44164</v>
      </c>
      <c r="F1054">
        <f t="shared" si="33"/>
        <v>865</v>
      </c>
    </row>
    <row r="1055" spans="1:6" x14ac:dyDescent="0.55000000000000004">
      <c r="A1055">
        <v>1.207683323886489E+19</v>
      </c>
      <c r="B1055" t="s">
        <v>723</v>
      </c>
      <c r="C1055" t="s">
        <v>10</v>
      </c>
      <c r="D1055">
        <v>2510</v>
      </c>
      <c r="E1055" s="4">
        <f t="shared" si="32"/>
        <v>44463</v>
      </c>
      <c r="F1055">
        <f t="shared" si="33"/>
        <v>566</v>
      </c>
    </row>
    <row r="1056" spans="1:6" x14ac:dyDescent="0.55000000000000004">
      <c r="A1056">
        <v>9.0657906959959194E+18</v>
      </c>
      <c r="B1056" t="s">
        <v>142</v>
      </c>
      <c r="C1056" t="s">
        <v>10</v>
      </c>
      <c r="D1056">
        <v>366</v>
      </c>
      <c r="E1056" s="4">
        <f t="shared" si="32"/>
        <v>44272</v>
      </c>
      <c r="F1056">
        <f t="shared" si="33"/>
        <v>757</v>
      </c>
    </row>
    <row r="1057" spans="1:6" x14ac:dyDescent="0.55000000000000004">
      <c r="A1057">
        <v>9.3618116621725962E+18</v>
      </c>
      <c r="B1057" t="s">
        <v>414</v>
      </c>
      <c r="C1057" t="s">
        <v>13</v>
      </c>
      <c r="D1057">
        <v>162</v>
      </c>
      <c r="E1057" s="4">
        <f t="shared" si="32"/>
        <v>44554</v>
      </c>
      <c r="F1057">
        <f t="shared" si="33"/>
        <v>475</v>
      </c>
    </row>
    <row r="1058" spans="1:6" x14ac:dyDescent="0.55000000000000004">
      <c r="A1058">
        <v>5.3973038049061745E+18</v>
      </c>
      <c r="B1058" t="s">
        <v>724</v>
      </c>
      <c r="C1058" t="s">
        <v>26</v>
      </c>
      <c r="D1058">
        <v>225093.6</v>
      </c>
      <c r="E1058" s="4">
        <f t="shared" si="32"/>
        <v>43403</v>
      </c>
      <c r="F1058">
        <f t="shared" si="33"/>
        <v>1626</v>
      </c>
    </row>
    <row r="1059" spans="1:6" x14ac:dyDescent="0.55000000000000004">
      <c r="A1059">
        <v>9.7528196234259067E+18</v>
      </c>
      <c r="B1059" t="s">
        <v>725</v>
      </c>
      <c r="C1059" t="s">
        <v>10</v>
      </c>
      <c r="D1059">
        <v>390</v>
      </c>
      <c r="E1059" s="4">
        <f t="shared" si="32"/>
        <v>44582</v>
      </c>
      <c r="F1059">
        <f t="shared" si="33"/>
        <v>447</v>
      </c>
    </row>
    <row r="1060" spans="1:6" x14ac:dyDescent="0.55000000000000004">
      <c r="A1060">
        <v>7.9836248139405363E+18</v>
      </c>
      <c r="B1060" t="s">
        <v>201</v>
      </c>
      <c r="C1060" t="s">
        <v>46</v>
      </c>
      <c r="D1060">
        <v>532</v>
      </c>
      <c r="E1060" s="4">
        <f t="shared" si="32"/>
        <v>44715</v>
      </c>
      <c r="F1060">
        <f t="shared" si="33"/>
        <v>314</v>
      </c>
    </row>
    <row r="1061" spans="1:6" x14ac:dyDescent="0.55000000000000004">
      <c r="A1061">
        <v>1.640554827617833E+19</v>
      </c>
      <c r="B1061" t="s">
        <v>207</v>
      </c>
      <c r="C1061" t="s">
        <v>26</v>
      </c>
      <c r="D1061">
        <v>546</v>
      </c>
      <c r="E1061" s="4">
        <f t="shared" si="32"/>
        <v>43773</v>
      </c>
      <c r="F1061">
        <f t="shared" si="33"/>
        <v>1256</v>
      </c>
    </row>
    <row r="1062" spans="1:6" x14ac:dyDescent="0.55000000000000004">
      <c r="A1062">
        <v>1.2889165404705249E+19</v>
      </c>
      <c r="B1062" t="s">
        <v>726</v>
      </c>
      <c r="C1062" t="s">
        <v>10</v>
      </c>
      <c r="D1062">
        <v>1563</v>
      </c>
      <c r="E1062" s="4">
        <f t="shared" si="32"/>
        <v>45011</v>
      </c>
      <c r="F1062">
        <f t="shared" si="33"/>
        <v>18</v>
      </c>
    </row>
    <row r="1063" spans="1:6" x14ac:dyDescent="0.55000000000000004">
      <c r="A1063">
        <v>1.1925262759840299E+19</v>
      </c>
      <c r="B1063" t="s">
        <v>662</v>
      </c>
      <c r="C1063" t="s">
        <v>50</v>
      </c>
      <c r="D1063">
        <v>78</v>
      </c>
      <c r="E1063" s="4">
        <f t="shared" si="32"/>
        <v>44523</v>
      </c>
      <c r="F1063">
        <f t="shared" si="33"/>
        <v>506</v>
      </c>
    </row>
    <row r="1064" spans="1:6" x14ac:dyDescent="0.55000000000000004">
      <c r="A1064">
        <v>1.496262353610864E+19</v>
      </c>
      <c r="B1064" t="s">
        <v>727</v>
      </c>
      <c r="C1064" t="s">
        <v>10</v>
      </c>
      <c r="D1064">
        <v>870</v>
      </c>
      <c r="E1064" s="4">
        <f t="shared" si="32"/>
        <v>43707</v>
      </c>
      <c r="F1064">
        <f t="shared" si="33"/>
        <v>1322</v>
      </c>
    </row>
    <row r="1065" spans="1:6" x14ac:dyDescent="0.55000000000000004">
      <c r="A1065">
        <v>5.3973038049061745E+18</v>
      </c>
      <c r="B1065" t="s">
        <v>728</v>
      </c>
      <c r="C1065" t="s">
        <v>13</v>
      </c>
      <c r="D1065">
        <v>1860077.97</v>
      </c>
      <c r="E1065" s="4">
        <f t="shared" si="32"/>
        <v>43255</v>
      </c>
      <c r="F1065">
        <f t="shared" si="33"/>
        <v>1774</v>
      </c>
    </row>
    <row r="1066" spans="1:6" x14ac:dyDescent="0.55000000000000004">
      <c r="A1066">
        <v>3.0310206824360947E+17</v>
      </c>
      <c r="B1066" t="s">
        <v>165</v>
      </c>
      <c r="C1066" t="s">
        <v>50</v>
      </c>
      <c r="D1066">
        <v>98</v>
      </c>
      <c r="E1066" s="4">
        <f t="shared" si="32"/>
        <v>44513</v>
      </c>
      <c r="F1066">
        <f t="shared" si="33"/>
        <v>516</v>
      </c>
    </row>
    <row r="1067" spans="1:6" x14ac:dyDescent="0.55000000000000004">
      <c r="A1067">
        <v>1.6500053159019121E+19</v>
      </c>
      <c r="B1067" t="s">
        <v>299</v>
      </c>
      <c r="C1067" t="s">
        <v>5</v>
      </c>
      <c r="D1067">
        <v>185</v>
      </c>
      <c r="E1067" s="4">
        <f t="shared" si="32"/>
        <v>43938</v>
      </c>
      <c r="F1067">
        <f t="shared" si="33"/>
        <v>1091</v>
      </c>
    </row>
    <row r="1068" spans="1:6" x14ac:dyDescent="0.55000000000000004">
      <c r="A1068">
        <v>7.5917125380343245E+18</v>
      </c>
      <c r="B1068" t="s">
        <v>729</v>
      </c>
      <c r="C1068" t="s">
        <v>10</v>
      </c>
      <c r="D1068">
        <v>5067</v>
      </c>
      <c r="E1068" s="4">
        <f t="shared" si="32"/>
        <v>44228</v>
      </c>
      <c r="F1068">
        <f t="shared" si="33"/>
        <v>801</v>
      </c>
    </row>
    <row r="1069" spans="1:6" x14ac:dyDescent="0.55000000000000004">
      <c r="A1069">
        <v>2.2861909734112389E+18</v>
      </c>
      <c r="B1069" t="s">
        <v>116</v>
      </c>
      <c r="C1069" t="s">
        <v>13</v>
      </c>
      <c r="D1069">
        <v>9144</v>
      </c>
      <c r="E1069" s="4">
        <f t="shared" si="32"/>
        <v>44877</v>
      </c>
      <c r="F1069">
        <f t="shared" si="33"/>
        <v>152</v>
      </c>
    </row>
    <row r="1070" spans="1:6" x14ac:dyDescent="0.55000000000000004">
      <c r="A1070">
        <v>1.6915568040098779E+19</v>
      </c>
      <c r="B1070" t="s">
        <v>730</v>
      </c>
      <c r="C1070" t="s">
        <v>13</v>
      </c>
      <c r="D1070">
        <v>1580</v>
      </c>
      <c r="E1070" s="4">
        <f t="shared" si="32"/>
        <v>44647</v>
      </c>
      <c r="F1070">
        <f t="shared" si="33"/>
        <v>382</v>
      </c>
    </row>
    <row r="1071" spans="1:6" x14ac:dyDescent="0.55000000000000004">
      <c r="A1071">
        <v>1.1459300322875841E+19</v>
      </c>
      <c r="B1071" t="s">
        <v>24</v>
      </c>
      <c r="C1071" t="s">
        <v>10</v>
      </c>
      <c r="D1071">
        <v>2187</v>
      </c>
      <c r="E1071" s="4">
        <f t="shared" si="32"/>
        <v>44527</v>
      </c>
      <c r="F1071">
        <f t="shared" si="33"/>
        <v>502</v>
      </c>
    </row>
    <row r="1072" spans="1:6" x14ac:dyDescent="0.55000000000000004">
      <c r="A1072">
        <v>4.2232134497167789E+17</v>
      </c>
      <c r="B1072" t="s">
        <v>731</v>
      </c>
      <c r="C1072" t="s">
        <v>13</v>
      </c>
      <c r="D1072">
        <v>795</v>
      </c>
      <c r="E1072" s="4">
        <f t="shared" si="32"/>
        <v>44300</v>
      </c>
      <c r="F1072">
        <f t="shared" si="33"/>
        <v>729</v>
      </c>
    </row>
    <row r="1073" spans="1:6" x14ac:dyDescent="0.55000000000000004">
      <c r="A1073">
        <v>1.559033532799505E+19</v>
      </c>
      <c r="B1073" t="s">
        <v>732</v>
      </c>
      <c r="C1073" t="s">
        <v>50</v>
      </c>
      <c r="D1073">
        <v>175</v>
      </c>
      <c r="E1073" s="4">
        <f t="shared" si="32"/>
        <v>44136</v>
      </c>
      <c r="F1073">
        <f t="shared" si="33"/>
        <v>893</v>
      </c>
    </row>
    <row r="1074" spans="1:6" x14ac:dyDescent="0.55000000000000004">
      <c r="A1074">
        <v>1.488874848366293E+19</v>
      </c>
      <c r="B1074" t="s">
        <v>96</v>
      </c>
      <c r="C1074" t="s">
        <v>13</v>
      </c>
      <c r="D1074">
        <v>349</v>
      </c>
      <c r="E1074" s="4">
        <f t="shared" si="32"/>
        <v>44532</v>
      </c>
      <c r="F1074">
        <f t="shared" si="33"/>
        <v>497</v>
      </c>
    </row>
    <row r="1075" spans="1:6" x14ac:dyDescent="0.55000000000000004">
      <c r="A1075">
        <v>1.530112927941096E+19</v>
      </c>
      <c r="B1075" t="s">
        <v>733</v>
      </c>
      <c r="C1075" t="s">
        <v>13</v>
      </c>
      <c r="D1075">
        <v>2166</v>
      </c>
      <c r="E1075" s="4">
        <f t="shared" si="32"/>
        <v>44138</v>
      </c>
      <c r="F1075">
        <f t="shared" si="33"/>
        <v>891</v>
      </c>
    </row>
    <row r="1076" spans="1:6" x14ac:dyDescent="0.55000000000000004">
      <c r="A1076">
        <v>1.799160600154973E+19</v>
      </c>
      <c r="B1076" t="s">
        <v>211</v>
      </c>
      <c r="C1076" t="s">
        <v>10</v>
      </c>
      <c r="D1076">
        <v>469</v>
      </c>
      <c r="E1076" s="4">
        <f t="shared" si="32"/>
        <v>44519</v>
      </c>
      <c r="F1076">
        <f t="shared" si="33"/>
        <v>510</v>
      </c>
    </row>
    <row r="1077" spans="1:6" x14ac:dyDescent="0.55000000000000004">
      <c r="A1077">
        <v>1.0219666372856611E+19</v>
      </c>
      <c r="B1077" t="s">
        <v>734</v>
      </c>
      <c r="C1077" t="s">
        <v>5</v>
      </c>
      <c r="D1077">
        <v>338</v>
      </c>
      <c r="E1077" s="4">
        <f t="shared" si="32"/>
        <v>44565</v>
      </c>
      <c r="F1077">
        <f t="shared" si="33"/>
        <v>464</v>
      </c>
    </row>
    <row r="1078" spans="1:6" x14ac:dyDescent="0.55000000000000004">
      <c r="A1078">
        <v>4.444326172685058E+18</v>
      </c>
      <c r="B1078" t="s">
        <v>735</v>
      </c>
      <c r="C1078" t="s">
        <v>13</v>
      </c>
      <c r="D1078">
        <v>1790</v>
      </c>
      <c r="E1078" s="4">
        <f t="shared" si="32"/>
        <v>44707</v>
      </c>
      <c r="F1078">
        <f t="shared" si="33"/>
        <v>322</v>
      </c>
    </row>
    <row r="1079" spans="1:6" x14ac:dyDescent="0.55000000000000004">
      <c r="A1079">
        <v>9.3042969550292296E+18</v>
      </c>
      <c r="B1079" t="s">
        <v>736</v>
      </c>
      <c r="C1079" t="s">
        <v>13</v>
      </c>
      <c r="D1079">
        <v>2712</v>
      </c>
      <c r="E1079" s="4">
        <f t="shared" si="32"/>
        <v>44702</v>
      </c>
      <c r="F1079">
        <f t="shared" si="33"/>
        <v>327</v>
      </c>
    </row>
    <row r="1080" spans="1:6" x14ac:dyDescent="0.55000000000000004">
      <c r="A1080">
        <v>1.1360906724565379E+19</v>
      </c>
      <c r="B1080" t="s">
        <v>302</v>
      </c>
      <c r="C1080" t="s">
        <v>13</v>
      </c>
      <c r="D1080">
        <v>2940</v>
      </c>
      <c r="E1080" s="4">
        <f t="shared" si="32"/>
        <v>44997</v>
      </c>
      <c r="F1080">
        <f t="shared" si="33"/>
        <v>32</v>
      </c>
    </row>
    <row r="1081" spans="1:6" x14ac:dyDescent="0.55000000000000004">
      <c r="A1081">
        <v>6.9147518516432422E+17</v>
      </c>
      <c r="B1081" t="s">
        <v>705</v>
      </c>
      <c r="C1081" t="s">
        <v>10</v>
      </c>
      <c r="D1081">
        <v>5463</v>
      </c>
      <c r="E1081" s="4">
        <f t="shared" si="32"/>
        <v>44971</v>
      </c>
      <c r="F1081">
        <f t="shared" si="33"/>
        <v>58</v>
      </c>
    </row>
    <row r="1082" spans="1:6" x14ac:dyDescent="0.55000000000000004">
      <c r="A1082">
        <v>1.579376496402424E+19</v>
      </c>
      <c r="B1082" t="s">
        <v>737</v>
      </c>
      <c r="C1082" t="s">
        <v>10</v>
      </c>
      <c r="D1082">
        <v>2248</v>
      </c>
      <c r="E1082" s="4">
        <f t="shared" si="32"/>
        <v>44742</v>
      </c>
      <c r="F1082">
        <f t="shared" si="33"/>
        <v>287</v>
      </c>
    </row>
    <row r="1083" spans="1:6" x14ac:dyDescent="0.55000000000000004">
      <c r="A1083">
        <v>1.742464998586878E+19</v>
      </c>
      <c r="B1083" t="s">
        <v>738</v>
      </c>
      <c r="C1083" t="s">
        <v>10</v>
      </c>
      <c r="D1083">
        <v>61</v>
      </c>
      <c r="E1083" s="4">
        <f t="shared" si="32"/>
        <v>44390</v>
      </c>
      <c r="F1083">
        <f t="shared" si="33"/>
        <v>639</v>
      </c>
    </row>
    <row r="1084" spans="1:6" x14ac:dyDescent="0.55000000000000004">
      <c r="A1084">
        <v>1.457219832459044E+19</v>
      </c>
      <c r="B1084" t="s">
        <v>739</v>
      </c>
      <c r="C1084" t="s">
        <v>13</v>
      </c>
      <c r="D1084">
        <v>399</v>
      </c>
      <c r="E1084" s="4">
        <f t="shared" si="32"/>
        <v>44395</v>
      </c>
      <c r="F1084">
        <f t="shared" si="33"/>
        <v>634</v>
      </c>
    </row>
    <row r="1085" spans="1:6" x14ac:dyDescent="0.55000000000000004">
      <c r="A1085">
        <v>1.784571887939184E+19</v>
      </c>
      <c r="B1085" t="s">
        <v>740</v>
      </c>
      <c r="C1085" t="s">
        <v>7</v>
      </c>
      <c r="D1085">
        <v>428</v>
      </c>
      <c r="E1085" s="4">
        <f t="shared" si="32"/>
        <v>43779</v>
      </c>
      <c r="F1085">
        <f t="shared" si="33"/>
        <v>1250</v>
      </c>
    </row>
    <row r="1086" spans="1:6" x14ac:dyDescent="0.55000000000000004">
      <c r="A1086">
        <v>9.2989653906341827E+18</v>
      </c>
      <c r="B1086" t="s">
        <v>741</v>
      </c>
      <c r="C1086" t="s">
        <v>10</v>
      </c>
      <c r="D1086">
        <v>1185</v>
      </c>
      <c r="E1086" s="4">
        <f t="shared" si="32"/>
        <v>44046</v>
      </c>
      <c r="F1086">
        <f t="shared" si="33"/>
        <v>983</v>
      </c>
    </row>
    <row r="1087" spans="1:6" x14ac:dyDescent="0.55000000000000004">
      <c r="A1087">
        <v>1.4961346208182901E+19</v>
      </c>
      <c r="B1087" t="s">
        <v>155</v>
      </c>
      <c r="C1087" t="s">
        <v>10</v>
      </c>
      <c r="D1087">
        <v>985</v>
      </c>
      <c r="E1087" s="4">
        <f t="shared" si="32"/>
        <v>44081</v>
      </c>
      <c r="F1087">
        <f t="shared" si="33"/>
        <v>948</v>
      </c>
    </row>
    <row r="1088" spans="1:6" x14ac:dyDescent="0.55000000000000004">
      <c r="A1088">
        <v>2.392089550787735E+18</v>
      </c>
      <c r="B1088" t="s">
        <v>477</v>
      </c>
      <c r="C1088" t="s">
        <v>13</v>
      </c>
      <c r="D1088">
        <v>916</v>
      </c>
      <c r="E1088" s="4">
        <f t="shared" si="32"/>
        <v>44680</v>
      </c>
      <c r="F1088">
        <f t="shared" si="33"/>
        <v>349</v>
      </c>
    </row>
    <row r="1089" spans="1:6" x14ac:dyDescent="0.55000000000000004">
      <c r="A1089">
        <v>1.2650068257878211E+19</v>
      </c>
      <c r="B1089" t="s">
        <v>742</v>
      </c>
      <c r="C1089" t="s">
        <v>10</v>
      </c>
      <c r="D1089">
        <v>498</v>
      </c>
      <c r="E1089" s="4">
        <f t="shared" si="32"/>
        <v>44737</v>
      </c>
      <c r="F1089">
        <f t="shared" si="33"/>
        <v>292</v>
      </c>
    </row>
    <row r="1090" spans="1:6" x14ac:dyDescent="0.55000000000000004">
      <c r="A1090">
        <v>9.7040377157444792E+18</v>
      </c>
      <c r="B1090" t="s">
        <v>407</v>
      </c>
      <c r="C1090" t="s">
        <v>10</v>
      </c>
      <c r="D1090">
        <v>1839</v>
      </c>
      <c r="E1090" s="4">
        <f t="shared" si="32"/>
        <v>44692</v>
      </c>
      <c r="F1090">
        <f t="shared" si="33"/>
        <v>337</v>
      </c>
    </row>
    <row r="1091" spans="1:6" x14ac:dyDescent="0.55000000000000004">
      <c r="A1091">
        <v>1.367570441445676E+19</v>
      </c>
      <c r="B1091" t="s">
        <v>137</v>
      </c>
      <c r="C1091" t="s">
        <v>13</v>
      </c>
      <c r="D1091">
        <v>181</v>
      </c>
      <c r="E1091" s="4">
        <f t="shared" ref="E1091:E1154" si="34">DATEVALUE(B1091)</f>
        <v>44294</v>
      </c>
      <c r="F1091">
        <f t="shared" ref="F1091:F1154" si="35">$H$1-E1091</f>
        <v>735</v>
      </c>
    </row>
    <row r="1092" spans="1:6" x14ac:dyDescent="0.55000000000000004">
      <c r="A1092">
        <v>4.1901479744037089E+18</v>
      </c>
      <c r="B1092" t="s">
        <v>743</v>
      </c>
      <c r="C1092" t="s">
        <v>7</v>
      </c>
      <c r="D1092">
        <v>3660</v>
      </c>
      <c r="E1092" s="4">
        <f t="shared" si="34"/>
        <v>44771</v>
      </c>
      <c r="F1092">
        <f t="shared" si="35"/>
        <v>258</v>
      </c>
    </row>
    <row r="1093" spans="1:6" x14ac:dyDescent="0.55000000000000004">
      <c r="A1093">
        <v>5.1902422601240381E+18</v>
      </c>
      <c r="B1093" t="s">
        <v>744</v>
      </c>
      <c r="C1093" t="s">
        <v>10</v>
      </c>
      <c r="D1093">
        <v>4148</v>
      </c>
      <c r="E1093" s="4">
        <f t="shared" si="34"/>
        <v>44978</v>
      </c>
      <c r="F1093">
        <f t="shared" si="35"/>
        <v>51</v>
      </c>
    </row>
    <row r="1094" spans="1:6" x14ac:dyDescent="0.55000000000000004">
      <c r="A1094">
        <v>1.402318776737922E+19</v>
      </c>
      <c r="B1094" t="s">
        <v>745</v>
      </c>
      <c r="C1094" t="s">
        <v>13</v>
      </c>
      <c r="D1094">
        <v>5040</v>
      </c>
      <c r="E1094" s="4">
        <f t="shared" si="34"/>
        <v>44074</v>
      </c>
      <c r="F1094">
        <f t="shared" si="35"/>
        <v>955</v>
      </c>
    </row>
    <row r="1095" spans="1:6" x14ac:dyDescent="0.55000000000000004">
      <c r="A1095">
        <v>1.8443997980654549E+19</v>
      </c>
      <c r="B1095" t="s">
        <v>746</v>
      </c>
      <c r="C1095" t="s">
        <v>10</v>
      </c>
      <c r="D1095">
        <v>3760</v>
      </c>
      <c r="E1095" s="4">
        <f t="shared" si="34"/>
        <v>44711</v>
      </c>
      <c r="F1095">
        <f t="shared" si="35"/>
        <v>318</v>
      </c>
    </row>
    <row r="1096" spans="1:6" x14ac:dyDescent="0.55000000000000004">
      <c r="A1096">
        <v>3.2887384232777748E+18</v>
      </c>
      <c r="B1096" t="s">
        <v>41</v>
      </c>
      <c r="C1096" t="s">
        <v>10</v>
      </c>
      <c r="D1096">
        <v>7833</v>
      </c>
      <c r="E1096" s="4">
        <f t="shared" si="34"/>
        <v>44346</v>
      </c>
      <c r="F1096">
        <f t="shared" si="35"/>
        <v>683</v>
      </c>
    </row>
    <row r="1097" spans="1:6" x14ac:dyDescent="0.55000000000000004">
      <c r="A1097">
        <v>7.2685606215086868E+18</v>
      </c>
      <c r="B1097" t="s">
        <v>747</v>
      </c>
      <c r="C1097" t="s">
        <v>7</v>
      </c>
      <c r="D1097">
        <v>391</v>
      </c>
      <c r="E1097" s="4">
        <f t="shared" si="34"/>
        <v>44206</v>
      </c>
      <c r="F1097">
        <f t="shared" si="35"/>
        <v>823</v>
      </c>
    </row>
    <row r="1098" spans="1:6" x14ac:dyDescent="0.55000000000000004">
      <c r="A1098">
        <v>1.753490343112645E+19</v>
      </c>
      <c r="B1098" t="s">
        <v>748</v>
      </c>
      <c r="C1098" t="s">
        <v>10</v>
      </c>
      <c r="D1098">
        <v>1137</v>
      </c>
      <c r="E1098" s="4">
        <f t="shared" si="34"/>
        <v>44462</v>
      </c>
      <c r="F1098">
        <f t="shared" si="35"/>
        <v>567</v>
      </c>
    </row>
    <row r="1099" spans="1:6" x14ac:dyDescent="0.55000000000000004">
      <c r="A1099">
        <v>1.0929560473596459E+19</v>
      </c>
      <c r="B1099" t="s">
        <v>522</v>
      </c>
      <c r="C1099" t="s">
        <v>13</v>
      </c>
      <c r="D1099">
        <v>1448</v>
      </c>
      <c r="E1099" s="4">
        <f t="shared" si="34"/>
        <v>44815</v>
      </c>
      <c r="F1099">
        <f t="shared" si="35"/>
        <v>214</v>
      </c>
    </row>
    <row r="1100" spans="1:6" x14ac:dyDescent="0.55000000000000004">
      <c r="A1100">
        <v>4.1178339371491098E+18</v>
      </c>
      <c r="B1100" t="s">
        <v>262</v>
      </c>
      <c r="C1100" t="s">
        <v>13</v>
      </c>
      <c r="D1100">
        <v>483</v>
      </c>
      <c r="E1100" s="4">
        <f t="shared" si="34"/>
        <v>44343</v>
      </c>
      <c r="F1100">
        <f t="shared" si="35"/>
        <v>686</v>
      </c>
    </row>
    <row r="1101" spans="1:6" x14ac:dyDescent="0.55000000000000004">
      <c r="A1101">
        <v>1.3397401790747869E+19</v>
      </c>
      <c r="B1101" t="s">
        <v>160</v>
      </c>
      <c r="C1101" t="s">
        <v>10</v>
      </c>
      <c r="D1101">
        <v>1898</v>
      </c>
      <c r="E1101" s="4">
        <f t="shared" si="34"/>
        <v>44723</v>
      </c>
      <c r="F1101">
        <f t="shared" si="35"/>
        <v>306</v>
      </c>
    </row>
    <row r="1102" spans="1:6" x14ac:dyDescent="0.55000000000000004">
      <c r="A1102">
        <v>6.4168281896961137E+18</v>
      </c>
      <c r="B1102" t="s">
        <v>749</v>
      </c>
      <c r="C1102" t="s">
        <v>50</v>
      </c>
      <c r="D1102">
        <v>23</v>
      </c>
      <c r="E1102" s="4">
        <f t="shared" si="34"/>
        <v>44504</v>
      </c>
      <c r="F1102">
        <f t="shared" si="35"/>
        <v>525</v>
      </c>
    </row>
    <row r="1103" spans="1:6" x14ac:dyDescent="0.55000000000000004">
      <c r="A1103">
        <v>1.6322377794537411E+19</v>
      </c>
      <c r="B1103" t="s">
        <v>354</v>
      </c>
      <c r="C1103" t="s">
        <v>10</v>
      </c>
      <c r="D1103">
        <v>875</v>
      </c>
      <c r="E1103" s="4">
        <f t="shared" si="34"/>
        <v>44925</v>
      </c>
      <c r="F1103">
        <f t="shared" si="35"/>
        <v>104</v>
      </c>
    </row>
    <row r="1104" spans="1:6" x14ac:dyDescent="0.55000000000000004">
      <c r="A1104">
        <v>6.7083114319589734E+18</v>
      </c>
      <c r="B1104" t="s">
        <v>307</v>
      </c>
      <c r="C1104" t="s">
        <v>7</v>
      </c>
      <c r="D1104">
        <v>190</v>
      </c>
      <c r="E1104" s="4">
        <f t="shared" si="34"/>
        <v>44616</v>
      </c>
      <c r="F1104">
        <f t="shared" si="35"/>
        <v>413</v>
      </c>
    </row>
    <row r="1105" spans="1:6" x14ac:dyDescent="0.55000000000000004">
      <c r="A1105">
        <v>3.2861226853835218E+18</v>
      </c>
      <c r="B1105" t="s">
        <v>750</v>
      </c>
      <c r="C1105" t="s">
        <v>7</v>
      </c>
      <c r="D1105">
        <v>31</v>
      </c>
      <c r="E1105" s="4">
        <f t="shared" si="34"/>
        <v>44321</v>
      </c>
      <c r="F1105">
        <f t="shared" si="35"/>
        <v>708</v>
      </c>
    </row>
    <row r="1106" spans="1:6" x14ac:dyDescent="0.55000000000000004">
      <c r="A1106">
        <v>3.2447675441447608E+18</v>
      </c>
      <c r="B1106" t="s">
        <v>572</v>
      </c>
      <c r="C1106" t="s">
        <v>13</v>
      </c>
      <c r="D1106">
        <v>3703</v>
      </c>
      <c r="E1106" s="4">
        <f t="shared" si="34"/>
        <v>44479</v>
      </c>
      <c r="F1106">
        <f t="shared" si="35"/>
        <v>550</v>
      </c>
    </row>
    <row r="1107" spans="1:6" x14ac:dyDescent="0.55000000000000004">
      <c r="A1107">
        <v>5.5473400348587612E+18</v>
      </c>
      <c r="B1107" t="s">
        <v>107</v>
      </c>
      <c r="C1107" t="s">
        <v>13</v>
      </c>
      <c r="D1107">
        <v>1578</v>
      </c>
      <c r="E1107" s="4">
        <f t="shared" si="34"/>
        <v>45019</v>
      </c>
      <c r="F1107">
        <f t="shared" si="35"/>
        <v>10</v>
      </c>
    </row>
    <row r="1108" spans="1:6" x14ac:dyDescent="0.55000000000000004">
      <c r="A1108">
        <v>3.3916304403181389E+18</v>
      </c>
      <c r="B1108" t="s">
        <v>751</v>
      </c>
      <c r="C1108" t="s">
        <v>7</v>
      </c>
      <c r="D1108">
        <v>49</v>
      </c>
      <c r="E1108" s="4">
        <f t="shared" si="34"/>
        <v>43995</v>
      </c>
      <c r="F1108">
        <f t="shared" si="35"/>
        <v>1034</v>
      </c>
    </row>
    <row r="1109" spans="1:6" x14ac:dyDescent="0.55000000000000004">
      <c r="A1109">
        <v>3.1432583679414472E+18</v>
      </c>
      <c r="B1109" t="s">
        <v>627</v>
      </c>
      <c r="C1109" t="s">
        <v>26</v>
      </c>
      <c r="D1109">
        <v>580</v>
      </c>
      <c r="E1109" s="4">
        <f t="shared" si="34"/>
        <v>44810</v>
      </c>
      <c r="F1109">
        <f t="shared" si="35"/>
        <v>219</v>
      </c>
    </row>
    <row r="1110" spans="1:6" x14ac:dyDescent="0.55000000000000004">
      <c r="A1110">
        <v>1.5868202505216691E+18</v>
      </c>
      <c r="B1110" t="s">
        <v>752</v>
      </c>
      <c r="C1110" t="s">
        <v>10</v>
      </c>
      <c r="D1110">
        <v>335</v>
      </c>
      <c r="E1110" s="4">
        <f t="shared" si="34"/>
        <v>44631</v>
      </c>
      <c r="F1110">
        <f t="shared" si="35"/>
        <v>398</v>
      </c>
    </row>
    <row r="1111" spans="1:6" x14ac:dyDescent="0.55000000000000004">
      <c r="A1111">
        <v>9.8164444941960991E+18</v>
      </c>
      <c r="B1111" t="s">
        <v>97</v>
      </c>
      <c r="C1111" t="s">
        <v>10</v>
      </c>
      <c r="D1111">
        <v>299</v>
      </c>
      <c r="E1111" s="4">
        <f t="shared" si="34"/>
        <v>44444</v>
      </c>
      <c r="F1111">
        <f t="shared" si="35"/>
        <v>585</v>
      </c>
    </row>
    <row r="1112" spans="1:6" x14ac:dyDescent="0.55000000000000004">
      <c r="A1112">
        <v>1.9730730410505751E+18</v>
      </c>
      <c r="B1112" t="s">
        <v>753</v>
      </c>
      <c r="C1112" t="s">
        <v>13</v>
      </c>
      <c r="D1112">
        <v>1810</v>
      </c>
      <c r="E1112" s="4">
        <f t="shared" si="34"/>
        <v>43847</v>
      </c>
      <c r="F1112">
        <f t="shared" si="35"/>
        <v>1182</v>
      </c>
    </row>
    <row r="1113" spans="1:6" x14ac:dyDescent="0.55000000000000004">
      <c r="A1113">
        <v>1.5480586309256509E+19</v>
      </c>
      <c r="B1113" t="s">
        <v>754</v>
      </c>
      <c r="C1113" t="s">
        <v>46</v>
      </c>
      <c r="D1113">
        <v>45</v>
      </c>
      <c r="E1113" s="4">
        <f t="shared" si="34"/>
        <v>44079</v>
      </c>
      <c r="F1113">
        <f t="shared" si="35"/>
        <v>950</v>
      </c>
    </row>
    <row r="1114" spans="1:6" x14ac:dyDescent="0.55000000000000004">
      <c r="A1114">
        <v>2.2296974027298849E+18</v>
      </c>
      <c r="B1114" t="s">
        <v>91</v>
      </c>
      <c r="C1114" t="s">
        <v>13</v>
      </c>
      <c r="D1114">
        <v>3535</v>
      </c>
      <c r="E1114" s="4">
        <f t="shared" si="34"/>
        <v>44831</v>
      </c>
      <c r="F1114">
        <f t="shared" si="35"/>
        <v>198</v>
      </c>
    </row>
    <row r="1115" spans="1:6" x14ac:dyDescent="0.55000000000000004">
      <c r="A1115">
        <v>1.743565250362839E+19</v>
      </c>
      <c r="B1115" t="s">
        <v>462</v>
      </c>
      <c r="C1115" t="s">
        <v>7</v>
      </c>
      <c r="D1115">
        <v>25</v>
      </c>
      <c r="E1115" s="4">
        <f t="shared" si="34"/>
        <v>44534</v>
      </c>
      <c r="F1115">
        <f t="shared" si="35"/>
        <v>495</v>
      </c>
    </row>
    <row r="1116" spans="1:6" x14ac:dyDescent="0.55000000000000004">
      <c r="A1116">
        <v>1.1186317702052059E+19</v>
      </c>
      <c r="B1116" t="s">
        <v>755</v>
      </c>
      <c r="C1116" t="s">
        <v>7</v>
      </c>
      <c r="D1116">
        <v>258</v>
      </c>
      <c r="E1116" s="4">
        <f t="shared" si="34"/>
        <v>44701</v>
      </c>
      <c r="F1116">
        <f t="shared" si="35"/>
        <v>328</v>
      </c>
    </row>
    <row r="1117" spans="1:6" x14ac:dyDescent="0.55000000000000004">
      <c r="A1117">
        <v>5.1788856754276485E+18</v>
      </c>
      <c r="B1117" t="s">
        <v>709</v>
      </c>
      <c r="C1117" t="s">
        <v>10</v>
      </c>
      <c r="D1117">
        <v>1077</v>
      </c>
      <c r="E1117" s="4">
        <f t="shared" si="34"/>
        <v>43986</v>
      </c>
      <c r="F1117">
        <f t="shared" si="35"/>
        <v>1043</v>
      </c>
    </row>
    <row r="1118" spans="1:6" x14ac:dyDescent="0.55000000000000004">
      <c r="A1118">
        <v>5.2340527379084902E+18</v>
      </c>
      <c r="B1118" t="s">
        <v>505</v>
      </c>
      <c r="C1118" t="s">
        <v>7</v>
      </c>
      <c r="D1118">
        <v>558</v>
      </c>
      <c r="E1118" s="4">
        <f t="shared" si="34"/>
        <v>44548</v>
      </c>
      <c r="F1118">
        <f t="shared" si="35"/>
        <v>481</v>
      </c>
    </row>
    <row r="1119" spans="1:6" x14ac:dyDescent="0.55000000000000004">
      <c r="A1119">
        <v>1.4121072702750349E+19</v>
      </c>
      <c r="B1119" t="s">
        <v>756</v>
      </c>
      <c r="C1119" t="s">
        <v>10</v>
      </c>
      <c r="D1119">
        <v>888</v>
      </c>
      <c r="E1119" s="4">
        <f t="shared" si="34"/>
        <v>44151</v>
      </c>
      <c r="F1119">
        <f t="shared" si="35"/>
        <v>878</v>
      </c>
    </row>
    <row r="1120" spans="1:6" x14ac:dyDescent="0.55000000000000004">
      <c r="A1120">
        <v>7.7153040180102728E+18</v>
      </c>
      <c r="B1120" t="s">
        <v>757</v>
      </c>
      <c r="C1120" t="s">
        <v>13</v>
      </c>
      <c r="D1120">
        <v>290</v>
      </c>
      <c r="E1120" s="4">
        <f t="shared" si="34"/>
        <v>44677</v>
      </c>
      <c r="F1120">
        <f t="shared" si="35"/>
        <v>352</v>
      </c>
    </row>
    <row r="1121" spans="1:6" x14ac:dyDescent="0.55000000000000004">
      <c r="A1121">
        <v>9.6234067619688038E+18</v>
      </c>
      <c r="B1121" t="s">
        <v>447</v>
      </c>
      <c r="C1121" t="s">
        <v>10</v>
      </c>
      <c r="D1121">
        <v>1096</v>
      </c>
      <c r="E1121" s="4">
        <f t="shared" si="34"/>
        <v>44709</v>
      </c>
      <c r="F1121">
        <f t="shared" si="35"/>
        <v>320</v>
      </c>
    </row>
    <row r="1122" spans="1:6" x14ac:dyDescent="0.55000000000000004">
      <c r="A1122">
        <v>5.4651937541551749E+18</v>
      </c>
      <c r="B1122" t="s">
        <v>550</v>
      </c>
      <c r="C1122" t="s">
        <v>13</v>
      </c>
      <c r="D1122">
        <v>179</v>
      </c>
      <c r="E1122" s="4">
        <f t="shared" si="34"/>
        <v>44760</v>
      </c>
      <c r="F1122">
        <f t="shared" si="35"/>
        <v>269</v>
      </c>
    </row>
    <row r="1123" spans="1:6" x14ac:dyDescent="0.55000000000000004">
      <c r="A1123">
        <v>1.0394272471463299E+19</v>
      </c>
      <c r="B1123" t="s">
        <v>758</v>
      </c>
      <c r="C1123" t="s">
        <v>10</v>
      </c>
      <c r="D1123">
        <v>9045</v>
      </c>
      <c r="E1123" s="4">
        <f t="shared" si="34"/>
        <v>44803</v>
      </c>
      <c r="F1123">
        <f t="shared" si="35"/>
        <v>226</v>
      </c>
    </row>
    <row r="1124" spans="1:6" x14ac:dyDescent="0.55000000000000004">
      <c r="A1124">
        <v>3.02857581497137E+18</v>
      </c>
      <c r="B1124" t="s">
        <v>759</v>
      </c>
      <c r="C1124" t="s">
        <v>13</v>
      </c>
      <c r="D1124">
        <v>1000</v>
      </c>
      <c r="E1124" s="4">
        <f t="shared" si="34"/>
        <v>44547</v>
      </c>
      <c r="F1124">
        <f t="shared" si="35"/>
        <v>482</v>
      </c>
    </row>
    <row r="1125" spans="1:6" x14ac:dyDescent="0.55000000000000004">
      <c r="A1125">
        <v>4.2232134497167789E+17</v>
      </c>
      <c r="B1125" t="s">
        <v>760</v>
      </c>
      <c r="C1125" t="s">
        <v>5</v>
      </c>
      <c r="D1125">
        <v>1704</v>
      </c>
      <c r="E1125" s="4">
        <f t="shared" si="34"/>
        <v>43829</v>
      </c>
      <c r="F1125">
        <f t="shared" si="35"/>
        <v>1200</v>
      </c>
    </row>
    <row r="1126" spans="1:6" x14ac:dyDescent="0.55000000000000004">
      <c r="A1126">
        <v>7.1070444737870602E+18</v>
      </c>
      <c r="B1126" t="s">
        <v>186</v>
      </c>
      <c r="C1126" t="s">
        <v>10</v>
      </c>
      <c r="D1126">
        <v>4457</v>
      </c>
      <c r="E1126" s="4">
        <f t="shared" si="34"/>
        <v>44605</v>
      </c>
      <c r="F1126">
        <f t="shared" si="35"/>
        <v>424</v>
      </c>
    </row>
    <row r="1127" spans="1:6" x14ac:dyDescent="0.55000000000000004">
      <c r="A1127">
        <v>2.558736456745999E+17</v>
      </c>
      <c r="B1127" t="s">
        <v>47</v>
      </c>
      <c r="C1127" t="s">
        <v>13</v>
      </c>
      <c r="D1127">
        <v>349</v>
      </c>
      <c r="E1127" s="4">
        <f t="shared" si="34"/>
        <v>44588</v>
      </c>
      <c r="F1127">
        <f t="shared" si="35"/>
        <v>441</v>
      </c>
    </row>
    <row r="1128" spans="1:6" x14ac:dyDescent="0.55000000000000004">
      <c r="A1128">
        <v>1.211089913460737E+19</v>
      </c>
      <c r="B1128" t="s">
        <v>211</v>
      </c>
      <c r="C1128" t="s">
        <v>10</v>
      </c>
      <c r="D1128">
        <v>248</v>
      </c>
      <c r="E1128" s="4">
        <f t="shared" si="34"/>
        <v>44519</v>
      </c>
      <c r="F1128">
        <f t="shared" si="35"/>
        <v>510</v>
      </c>
    </row>
    <row r="1129" spans="1:6" x14ac:dyDescent="0.55000000000000004">
      <c r="A1129">
        <v>6.2338335694389146E+18</v>
      </c>
      <c r="B1129" t="s">
        <v>324</v>
      </c>
      <c r="C1129" t="s">
        <v>7</v>
      </c>
      <c r="D1129">
        <v>690</v>
      </c>
      <c r="E1129" s="4">
        <f t="shared" si="34"/>
        <v>44421</v>
      </c>
      <c r="F1129">
        <f t="shared" si="35"/>
        <v>608</v>
      </c>
    </row>
    <row r="1130" spans="1:6" x14ac:dyDescent="0.55000000000000004">
      <c r="A1130">
        <v>1.843320053906817E+19</v>
      </c>
      <c r="B1130" t="s">
        <v>761</v>
      </c>
      <c r="C1130" t="s">
        <v>13</v>
      </c>
      <c r="D1130">
        <v>3290</v>
      </c>
      <c r="E1130" s="4">
        <f t="shared" si="34"/>
        <v>43999</v>
      </c>
      <c r="F1130">
        <f t="shared" si="35"/>
        <v>1030</v>
      </c>
    </row>
    <row r="1131" spans="1:6" x14ac:dyDescent="0.55000000000000004">
      <c r="A1131">
        <v>8.9832999901843036E+18</v>
      </c>
      <c r="B1131" t="s">
        <v>762</v>
      </c>
      <c r="C1131" t="s">
        <v>10</v>
      </c>
      <c r="D1131">
        <v>5496</v>
      </c>
      <c r="E1131" s="4">
        <f t="shared" si="34"/>
        <v>44385</v>
      </c>
      <c r="F1131">
        <f t="shared" si="35"/>
        <v>644</v>
      </c>
    </row>
    <row r="1132" spans="1:6" x14ac:dyDescent="0.55000000000000004">
      <c r="A1132">
        <v>3.501801518888918E+18</v>
      </c>
      <c r="B1132" t="s">
        <v>763</v>
      </c>
      <c r="C1132" t="s">
        <v>7</v>
      </c>
      <c r="D1132">
        <v>929</v>
      </c>
      <c r="E1132" s="4">
        <f t="shared" si="34"/>
        <v>44741</v>
      </c>
      <c r="F1132">
        <f t="shared" si="35"/>
        <v>288</v>
      </c>
    </row>
    <row r="1133" spans="1:6" x14ac:dyDescent="0.55000000000000004">
      <c r="A1133">
        <v>1.4605535743231601E+19</v>
      </c>
      <c r="B1133" t="s">
        <v>764</v>
      </c>
      <c r="C1133" t="s">
        <v>10</v>
      </c>
      <c r="D1133">
        <v>312</v>
      </c>
      <c r="E1133" s="4">
        <f t="shared" si="34"/>
        <v>43821</v>
      </c>
      <c r="F1133">
        <f t="shared" si="35"/>
        <v>1208</v>
      </c>
    </row>
    <row r="1134" spans="1:6" x14ac:dyDescent="0.55000000000000004">
      <c r="A1134">
        <v>1.168101444233914E+19</v>
      </c>
      <c r="B1134" t="s">
        <v>494</v>
      </c>
      <c r="C1134" t="s">
        <v>46</v>
      </c>
      <c r="D1134">
        <v>200</v>
      </c>
      <c r="E1134" s="4">
        <f t="shared" si="34"/>
        <v>44891</v>
      </c>
      <c r="F1134">
        <f t="shared" si="35"/>
        <v>138</v>
      </c>
    </row>
    <row r="1135" spans="1:6" x14ac:dyDescent="0.55000000000000004">
      <c r="A1135">
        <v>1.276599846166323E+19</v>
      </c>
      <c r="B1135" t="s">
        <v>765</v>
      </c>
      <c r="C1135" t="s">
        <v>10</v>
      </c>
      <c r="D1135">
        <v>6732</v>
      </c>
      <c r="E1135" s="4">
        <f t="shared" si="34"/>
        <v>44473</v>
      </c>
      <c r="F1135">
        <f t="shared" si="35"/>
        <v>556</v>
      </c>
    </row>
    <row r="1136" spans="1:6" x14ac:dyDescent="0.55000000000000004">
      <c r="A1136">
        <v>1.522627431602169E+19</v>
      </c>
      <c r="B1136" t="s">
        <v>766</v>
      </c>
      <c r="C1136" t="s">
        <v>10</v>
      </c>
      <c r="D1136">
        <v>1950</v>
      </c>
      <c r="E1136" s="4">
        <f t="shared" si="34"/>
        <v>44953</v>
      </c>
      <c r="F1136">
        <f t="shared" si="35"/>
        <v>76</v>
      </c>
    </row>
    <row r="1137" spans="1:6" x14ac:dyDescent="0.55000000000000004">
      <c r="A1137">
        <v>7.6017591493459118E+18</v>
      </c>
      <c r="B1137" t="s">
        <v>37</v>
      </c>
      <c r="C1137" t="s">
        <v>7</v>
      </c>
      <c r="D1137">
        <v>525</v>
      </c>
      <c r="E1137" s="4">
        <f t="shared" si="34"/>
        <v>44663</v>
      </c>
      <c r="F1137">
        <f t="shared" si="35"/>
        <v>366</v>
      </c>
    </row>
    <row r="1138" spans="1:6" x14ac:dyDescent="0.55000000000000004">
      <c r="A1138">
        <v>5.3973038049061745E+18</v>
      </c>
      <c r="B1138" t="s">
        <v>767</v>
      </c>
      <c r="C1138" t="s">
        <v>46</v>
      </c>
      <c r="D1138">
        <v>4432</v>
      </c>
      <c r="E1138" s="4">
        <f t="shared" si="34"/>
        <v>43962</v>
      </c>
      <c r="F1138">
        <f t="shared" si="35"/>
        <v>1067</v>
      </c>
    </row>
    <row r="1139" spans="1:6" x14ac:dyDescent="0.55000000000000004">
      <c r="A1139">
        <v>1.19876887863512E+19</v>
      </c>
      <c r="B1139" t="s">
        <v>572</v>
      </c>
      <c r="C1139" t="s">
        <v>10</v>
      </c>
      <c r="D1139">
        <v>987</v>
      </c>
      <c r="E1139" s="4">
        <f t="shared" si="34"/>
        <v>44479</v>
      </c>
      <c r="F1139">
        <f t="shared" si="35"/>
        <v>550</v>
      </c>
    </row>
    <row r="1140" spans="1:6" x14ac:dyDescent="0.55000000000000004">
      <c r="A1140">
        <v>1.262989142060767E+19</v>
      </c>
      <c r="B1140" t="s">
        <v>768</v>
      </c>
      <c r="C1140" t="s">
        <v>26</v>
      </c>
      <c r="D1140">
        <v>1026</v>
      </c>
      <c r="E1140" s="4">
        <f t="shared" si="34"/>
        <v>44477</v>
      </c>
      <c r="F1140">
        <f t="shared" si="35"/>
        <v>552</v>
      </c>
    </row>
    <row r="1141" spans="1:6" x14ac:dyDescent="0.55000000000000004">
      <c r="A1141">
        <v>6.5433186383751281E+18</v>
      </c>
      <c r="B1141" t="s">
        <v>239</v>
      </c>
      <c r="C1141" t="s">
        <v>10</v>
      </c>
      <c r="D1141">
        <v>479</v>
      </c>
      <c r="E1141" s="4">
        <f t="shared" si="34"/>
        <v>44449</v>
      </c>
      <c r="F1141">
        <f t="shared" si="35"/>
        <v>580</v>
      </c>
    </row>
    <row r="1142" spans="1:6" x14ac:dyDescent="0.55000000000000004">
      <c r="A1142">
        <v>1.345861267394763E+19</v>
      </c>
      <c r="B1142" t="s">
        <v>769</v>
      </c>
      <c r="C1142" t="s">
        <v>13</v>
      </c>
      <c r="D1142">
        <v>119</v>
      </c>
      <c r="E1142" s="4">
        <f t="shared" si="34"/>
        <v>44510</v>
      </c>
      <c r="F1142">
        <f t="shared" si="35"/>
        <v>519</v>
      </c>
    </row>
    <row r="1143" spans="1:6" x14ac:dyDescent="0.55000000000000004">
      <c r="A1143">
        <v>8.0382032923282616E+18</v>
      </c>
      <c r="B1143" t="s">
        <v>304</v>
      </c>
      <c r="C1143" t="s">
        <v>10</v>
      </c>
      <c r="D1143">
        <v>1990</v>
      </c>
      <c r="E1143" s="4">
        <f t="shared" si="34"/>
        <v>44174</v>
      </c>
      <c r="F1143">
        <f t="shared" si="35"/>
        <v>855</v>
      </c>
    </row>
    <row r="1144" spans="1:6" x14ac:dyDescent="0.55000000000000004">
      <c r="A1144">
        <v>1.8095816446598441E+19</v>
      </c>
      <c r="B1144" t="s">
        <v>540</v>
      </c>
      <c r="C1144" t="s">
        <v>7</v>
      </c>
      <c r="D1144">
        <v>1950</v>
      </c>
      <c r="E1144" s="4">
        <f t="shared" si="34"/>
        <v>44436</v>
      </c>
      <c r="F1144">
        <f t="shared" si="35"/>
        <v>593</v>
      </c>
    </row>
    <row r="1145" spans="1:6" x14ac:dyDescent="0.55000000000000004">
      <c r="A1145">
        <v>1.669079002947565E+19</v>
      </c>
      <c r="B1145" t="s">
        <v>770</v>
      </c>
      <c r="C1145" t="s">
        <v>7</v>
      </c>
      <c r="D1145">
        <v>1650</v>
      </c>
      <c r="E1145" s="4">
        <f t="shared" si="34"/>
        <v>43987</v>
      </c>
      <c r="F1145">
        <f t="shared" si="35"/>
        <v>1042</v>
      </c>
    </row>
    <row r="1146" spans="1:6" x14ac:dyDescent="0.55000000000000004">
      <c r="A1146">
        <v>1.0442949896467859E+19</v>
      </c>
      <c r="B1146" t="s">
        <v>698</v>
      </c>
      <c r="C1146" t="s">
        <v>13</v>
      </c>
      <c r="D1146">
        <v>910</v>
      </c>
      <c r="E1146" s="4">
        <f t="shared" si="34"/>
        <v>44538</v>
      </c>
      <c r="F1146">
        <f t="shared" si="35"/>
        <v>491</v>
      </c>
    </row>
    <row r="1147" spans="1:6" x14ac:dyDescent="0.55000000000000004">
      <c r="A1147">
        <v>4.7105125673545073E+18</v>
      </c>
      <c r="B1147" t="s">
        <v>239</v>
      </c>
      <c r="C1147" t="s">
        <v>10</v>
      </c>
      <c r="D1147">
        <v>12720</v>
      </c>
      <c r="E1147" s="4">
        <f t="shared" si="34"/>
        <v>44449</v>
      </c>
      <c r="F1147">
        <f t="shared" si="35"/>
        <v>580</v>
      </c>
    </row>
    <row r="1148" spans="1:6" x14ac:dyDescent="0.55000000000000004">
      <c r="A1148">
        <v>5.6822075481277911E+18</v>
      </c>
      <c r="B1148" t="s">
        <v>227</v>
      </c>
      <c r="C1148" t="s">
        <v>10</v>
      </c>
      <c r="D1148">
        <v>886</v>
      </c>
      <c r="E1148" s="4">
        <f t="shared" si="34"/>
        <v>45007</v>
      </c>
      <c r="F1148">
        <f t="shared" si="35"/>
        <v>22</v>
      </c>
    </row>
    <row r="1149" spans="1:6" x14ac:dyDescent="0.55000000000000004">
      <c r="A1149">
        <v>2.5432399269405757E+18</v>
      </c>
      <c r="B1149" t="s">
        <v>33</v>
      </c>
      <c r="C1149" t="s">
        <v>10</v>
      </c>
      <c r="D1149">
        <v>317</v>
      </c>
      <c r="E1149" s="4">
        <f t="shared" si="34"/>
        <v>44013</v>
      </c>
      <c r="F1149">
        <f t="shared" si="35"/>
        <v>1016</v>
      </c>
    </row>
    <row r="1150" spans="1:6" x14ac:dyDescent="0.55000000000000004">
      <c r="A1150">
        <v>1.370179270940867E+19</v>
      </c>
      <c r="B1150" t="s">
        <v>297</v>
      </c>
      <c r="C1150" t="s">
        <v>10</v>
      </c>
      <c r="D1150">
        <v>278</v>
      </c>
      <c r="E1150" s="4">
        <f t="shared" si="34"/>
        <v>44743</v>
      </c>
      <c r="F1150">
        <f t="shared" si="35"/>
        <v>286</v>
      </c>
    </row>
    <row r="1151" spans="1:6" x14ac:dyDescent="0.55000000000000004">
      <c r="A1151">
        <v>9.3141173803419034E+18</v>
      </c>
      <c r="B1151" t="s">
        <v>771</v>
      </c>
      <c r="C1151" t="s">
        <v>10</v>
      </c>
      <c r="D1151">
        <v>211</v>
      </c>
      <c r="E1151" s="4">
        <f t="shared" si="34"/>
        <v>44767</v>
      </c>
      <c r="F1151">
        <f t="shared" si="35"/>
        <v>262</v>
      </c>
    </row>
    <row r="1152" spans="1:6" x14ac:dyDescent="0.55000000000000004">
      <c r="A1152">
        <v>1.721946926227517E+19</v>
      </c>
      <c r="B1152" t="s">
        <v>250</v>
      </c>
      <c r="C1152" t="s">
        <v>10</v>
      </c>
      <c r="D1152">
        <v>2246</v>
      </c>
      <c r="E1152" s="4">
        <f t="shared" si="34"/>
        <v>44772</v>
      </c>
      <c r="F1152">
        <f t="shared" si="35"/>
        <v>257</v>
      </c>
    </row>
    <row r="1153" spans="1:6" x14ac:dyDescent="0.55000000000000004">
      <c r="A1153">
        <v>2.1735131626376141E+18</v>
      </c>
      <c r="B1153" t="s">
        <v>772</v>
      </c>
      <c r="C1153" t="s">
        <v>10</v>
      </c>
      <c r="D1153">
        <v>126</v>
      </c>
      <c r="E1153" s="4">
        <f t="shared" si="34"/>
        <v>43877</v>
      </c>
      <c r="F1153">
        <f t="shared" si="35"/>
        <v>1152</v>
      </c>
    </row>
    <row r="1154" spans="1:6" x14ac:dyDescent="0.55000000000000004">
      <c r="A1154">
        <v>1.196782103337771E+18</v>
      </c>
      <c r="B1154" t="s">
        <v>773</v>
      </c>
      <c r="C1154" t="s">
        <v>10</v>
      </c>
      <c r="D1154">
        <v>841</v>
      </c>
      <c r="E1154" s="4">
        <f t="shared" si="34"/>
        <v>43889</v>
      </c>
      <c r="F1154">
        <f t="shared" si="35"/>
        <v>1140</v>
      </c>
    </row>
    <row r="1155" spans="1:6" x14ac:dyDescent="0.55000000000000004">
      <c r="A1155">
        <v>1.830235197192389E+19</v>
      </c>
      <c r="B1155" t="s">
        <v>492</v>
      </c>
      <c r="C1155" t="s">
        <v>7</v>
      </c>
      <c r="D1155">
        <v>390</v>
      </c>
      <c r="E1155" s="4">
        <f t="shared" ref="E1155:E1218" si="36">DATEVALUE(B1155)</f>
        <v>44710</v>
      </c>
      <c r="F1155">
        <f t="shared" ref="F1155:F1218" si="37">$H$1-E1155</f>
        <v>319</v>
      </c>
    </row>
    <row r="1156" spans="1:6" x14ac:dyDescent="0.55000000000000004">
      <c r="A1156">
        <v>1.256053743708636E+19</v>
      </c>
      <c r="B1156" t="s">
        <v>774</v>
      </c>
      <c r="C1156" t="s">
        <v>13</v>
      </c>
      <c r="D1156">
        <v>7099</v>
      </c>
      <c r="E1156" s="4">
        <f t="shared" si="36"/>
        <v>44514</v>
      </c>
      <c r="F1156">
        <f t="shared" si="37"/>
        <v>515</v>
      </c>
    </row>
    <row r="1157" spans="1:6" x14ac:dyDescent="0.55000000000000004">
      <c r="A1157">
        <v>1.735436323830385E+19</v>
      </c>
      <c r="B1157" t="s">
        <v>174</v>
      </c>
      <c r="C1157" t="s">
        <v>50</v>
      </c>
      <c r="D1157">
        <v>93</v>
      </c>
      <c r="E1157" s="4">
        <f t="shared" si="36"/>
        <v>44008</v>
      </c>
      <c r="F1157">
        <f t="shared" si="37"/>
        <v>1021</v>
      </c>
    </row>
    <row r="1158" spans="1:6" x14ac:dyDescent="0.55000000000000004">
      <c r="A1158">
        <v>1.577062822882959E+19</v>
      </c>
      <c r="B1158" t="s">
        <v>775</v>
      </c>
      <c r="C1158" t="s">
        <v>10</v>
      </c>
      <c r="D1158">
        <v>728</v>
      </c>
      <c r="E1158" s="4">
        <f t="shared" si="36"/>
        <v>44374</v>
      </c>
      <c r="F1158">
        <f t="shared" si="37"/>
        <v>655</v>
      </c>
    </row>
    <row r="1159" spans="1:6" x14ac:dyDescent="0.55000000000000004">
      <c r="A1159">
        <v>1.5094994883823071E+18</v>
      </c>
      <c r="B1159" t="s">
        <v>776</v>
      </c>
      <c r="C1159" t="s">
        <v>13</v>
      </c>
      <c r="D1159">
        <v>687</v>
      </c>
      <c r="E1159" s="4">
        <f t="shared" si="36"/>
        <v>44077</v>
      </c>
      <c r="F1159">
        <f t="shared" si="37"/>
        <v>952</v>
      </c>
    </row>
    <row r="1160" spans="1:6" x14ac:dyDescent="0.55000000000000004">
      <c r="A1160">
        <v>1.709462589206537E+19</v>
      </c>
      <c r="B1160" t="s">
        <v>152</v>
      </c>
      <c r="C1160" t="s">
        <v>10</v>
      </c>
      <c r="D1160">
        <v>176</v>
      </c>
      <c r="E1160" s="4">
        <f t="shared" si="36"/>
        <v>44256</v>
      </c>
      <c r="F1160">
        <f t="shared" si="37"/>
        <v>773</v>
      </c>
    </row>
    <row r="1161" spans="1:6" x14ac:dyDescent="0.55000000000000004">
      <c r="A1161">
        <v>1.786116080626841E+19</v>
      </c>
      <c r="B1161" t="s">
        <v>777</v>
      </c>
      <c r="C1161" t="s">
        <v>13</v>
      </c>
      <c r="D1161">
        <v>8208</v>
      </c>
      <c r="E1161" s="4">
        <f t="shared" si="36"/>
        <v>43828</v>
      </c>
      <c r="F1161">
        <f t="shared" si="37"/>
        <v>1201</v>
      </c>
    </row>
    <row r="1162" spans="1:6" x14ac:dyDescent="0.55000000000000004">
      <c r="A1162">
        <v>8.2940122123659622E+18</v>
      </c>
      <c r="B1162" t="s">
        <v>778</v>
      </c>
      <c r="C1162" t="s">
        <v>13</v>
      </c>
      <c r="D1162">
        <v>9660</v>
      </c>
      <c r="E1162" s="4">
        <f t="shared" si="36"/>
        <v>44413</v>
      </c>
      <c r="F1162">
        <f t="shared" si="37"/>
        <v>616</v>
      </c>
    </row>
    <row r="1163" spans="1:6" x14ac:dyDescent="0.55000000000000004">
      <c r="A1163">
        <v>1.6629909964198941E+19</v>
      </c>
      <c r="B1163" t="s">
        <v>779</v>
      </c>
      <c r="C1163" t="s">
        <v>13</v>
      </c>
      <c r="D1163">
        <v>305</v>
      </c>
      <c r="E1163" s="4">
        <f t="shared" si="36"/>
        <v>43896</v>
      </c>
      <c r="F1163">
        <f t="shared" si="37"/>
        <v>1133</v>
      </c>
    </row>
    <row r="1164" spans="1:6" x14ac:dyDescent="0.55000000000000004">
      <c r="A1164">
        <v>1.2852288836830581E+19</v>
      </c>
      <c r="B1164" t="s">
        <v>780</v>
      </c>
      <c r="C1164" t="s">
        <v>5</v>
      </c>
      <c r="D1164">
        <v>3382</v>
      </c>
      <c r="E1164" s="4">
        <f t="shared" si="36"/>
        <v>44650</v>
      </c>
      <c r="F1164">
        <f t="shared" si="37"/>
        <v>379</v>
      </c>
    </row>
    <row r="1165" spans="1:6" x14ac:dyDescent="0.55000000000000004">
      <c r="A1165">
        <v>2.0667225567736151E+18</v>
      </c>
      <c r="B1165" t="s">
        <v>781</v>
      </c>
      <c r="C1165" t="s">
        <v>7</v>
      </c>
      <c r="D1165">
        <v>4020</v>
      </c>
      <c r="E1165" s="4">
        <f t="shared" si="36"/>
        <v>44342</v>
      </c>
      <c r="F1165">
        <f t="shared" si="37"/>
        <v>687</v>
      </c>
    </row>
    <row r="1166" spans="1:6" x14ac:dyDescent="0.55000000000000004">
      <c r="A1166">
        <v>1.08985227499706E+19</v>
      </c>
      <c r="B1166" t="s">
        <v>36</v>
      </c>
      <c r="C1166" t="s">
        <v>13</v>
      </c>
      <c r="D1166">
        <v>3340</v>
      </c>
      <c r="E1166" s="4">
        <f t="shared" si="36"/>
        <v>44808</v>
      </c>
      <c r="F1166">
        <f t="shared" si="37"/>
        <v>221</v>
      </c>
    </row>
    <row r="1167" spans="1:6" x14ac:dyDescent="0.55000000000000004">
      <c r="A1167">
        <v>1.825626145972831E+19</v>
      </c>
      <c r="B1167" t="s">
        <v>202</v>
      </c>
      <c r="C1167" t="s">
        <v>13</v>
      </c>
      <c r="D1167">
        <v>2886</v>
      </c>
      <c r="E1167" s="4">
        <f t="shared" si="36"/>
        <v>44520</v>
      </c>
      <c r="F1167">
        <f t="shared" si="37"/>
        <v>509</v>
      </c>
    </row>
    <row r="1168" spans="1:6" x14ac:dyDescent="0.55000000000000004">
      <c r="A1168">
        <v>7.3046268671747768E+18</v>
      </c>
      <c r="B1168" t="s">
        <v>782</v>
      </c>
      <c r="C1168" t="s">
        <v>13</v>
      </c>
      <c r="D1168">
        <v>1140</v>
      </c>
      <c r="E1168" s="4">
        <f t="shared" si="36"/>
        <v>44266</v>
      </c>
      <c r="F1168">
        <f t="shared" si="37"/>
        <v>763</v>
      </c>
    </row>
    <row r="1169" spans="1:6" x14ac:dyDescent="0.55000000000000004">
      <c r="A1169">
        <v>5.6919244987251599E+18</v>
      </c>
      <c r="B1169" t="s">
        <v>110</v>
      </c>
      <c r="C1169" t="s">
        <v>10</v>
      </c>
      <c r="D1169">
        <v>1053</v>
      </c>
      <c r="E1169" s="4">
        <f t="shared" si="36"/>
        <v>44210</v>
      </c>
      <c r="F1169">
        <f t="shared" si="37"/>
        <v>819</v>
      </c>
    </row>
    <row r="1170" spans="1:6" x14ac:dyDescent="0.55000000000000004">
      <c r="A1170">
        <v>1.002818524851295E+19</v>
      </c>
      <c r="B1170" t="s">
        <v>783</v>
      </c>
      <c r="C1170" t="s">
        <v>13</v>
      </c>
      <c r="D1170">
        <v>13757</v>
      </c>
      <c r="E1170" s="4">
        <f t="shared" si="36"/>
        <v>44986</v>
      </c>
      <c r="F1170">
        <f t="shared" si="37"/>
        <v>43</v>
      </c>
    </row>
    <row r="1171" spans="1:6" x14ac:dyDescent="0.55000000000000004">
      <c r="A1171">
        <v>5.1788856754276485E+18</v>
      </c>
      <c r="B1171" t="s">
        <v>670</v>
      </c>
      <c r="C1171" t="s">
        <v>7</v>
      </c>
      <c r="D1171">
        <v>183</v>
      </c>
      <c r="E1171" s="4">
        <f t="shared" si="36"/>
        <v>44211</v>
      </c>
      <c r="F1171">
        <f t="shared" si="37"/>
        <v>818</v>
      </c>
    </row>
    <row r="1172" spans="1:6" x14ac:dyDescent="0.55000000000000004">
      <c r="A1172">
        <v>1.2730106014305079E+19</v>
      </c>
      <c r="B1172" t="s">
        <v>449</v>
      </c>
      <c r="C1172" t="s">
        <v>10</v>
      </c>
      <c r="D1172">
        <v>295</v>
      </c>
      <c r="E1172" s="4">
        <f t="shared" si="36"/>
        <v>44608</v>
      </c>
      <c r="F1172">
        <f t="shared" si="37"/>
        <v>421</v>
      </c>
    </row>
    <row r="1173" spans="1:6" x14ac:dyDescent="0.55000000000000004">
      <c r="A1173">
        <v>1.010356609631957E+19</v>
      </c>
      <c r="B1173" t="s">
        <v>202</v>
      </c>
      <c r="C1173" t="s">
        <v>13</v>
      </c>
      <c r="D1173">
        <v>219</v>
      </c>
      <c r="E1173" s="4">
        <f t="shared" si="36"/>
        <v>44520</v>
      </c>
      <c r="F1173">
        <f t="shared" si="37"/>
        <v>509</v>
      </c>
    </row>
    <row r="1174" spans="1:6" x14ac:dyDescent="0.55000000000000004">
      <c r="A1174">
        <v>1.674723087147988E+18</v>
      </c>
      <c r="B1174" t="s">
        <v>194</v>
      </c>
      <c r="C1174" t="s">
        <v>10</v>
      </c>
      <c r="D1174">
        <v>2261</v>
      </c>
      <c r="E1174" s="4">
        <f t="shared" si="36"/>
        <v>44988</v>
      </c>
      <c r="F1174">
        <f t="shared" si="37"/>
        <v>41</v>
      </c>
    </row>
    <row r="1175" spans="1:6" x14ac:dyDescent="0.55000000000000004">
      <c r="A1175">
        <v>2.8029851890586148E+18</v>
      </c>
      <c r="B1175" t="s">
        <v>559</v>
      </c>
      <c r="C1175" t="s">
        <v>10</v>
      </c>
      <c r="D1175">
        <v>807</v>
      </c>
      <c r="E1175" s="4">
        <f t="shared" si="36"/>
        <v>44133</v>
      </c>
      <c r="F1175">
        <f t="shared" si="37"/>
        <v>896</v>
      </c>
    </row>
    <row r="1176" spans="1:6" x14ac:dyDescent="0.55000000000000004">
      <c r="A1176">
        <v>1.7714807636284101E+19</v>
      </c>
      <c r="B1176" t="s">
        <v>382</v>
      </c>
      <c r="C1176" t="s">
        <v>7</v>
      </c>
      <c r="D1176">
        <v>99</v>
      </c>
      <c r="E1176" s="4">
        <f t="shared" si="36"/>
        <v>44749</v>
      </c>
      <c r="F1176">
        <f t="shared" si="37"/>
        <v>280</v>
      </c>
    </row>
    <row r="1177" spans="1:6" x14ac:dyDescent="0.55000000000000004">
      <c r="A1177">
        <v>1.207683323886489E+19</v>
      </c>
      <c r="B1177" t="s">
        <v>784</v>
      </c>
      <c r="C1177" t="s">
        <v>7</v>
      </c>
      <c r="D1177">
        <v>447</v>
      </c>
      <c r="E1177" s="4">
        <f t="shared" si="36"/>
        <v>45017</v>
      </c>
      <c r="F1177">
        <f t="shared" si="37"/>
        <v>12</v>
      </c>
    </row>
    <row r="1178" spans="1:6" x14ac:dyDescent="0.55000000000000004">
      <c r="A1178">
        <v>9.1212184918702653E+18</v>
      </c>
      <c r="B1178" t="s">
        <v>785</v>
      </c>
      <c r="C1178" t="s">
        <v>10</v>
      </c>
      <c r="D1178">
        <v>1680</v>
      </c>
      <c r="E1178" s="4">
        <f t="shared" si="36"/>
        <v>44974</v>
      </c>
      <c r="F1178">
        <f t="shared" si="37"/>
        <v>55</v>
      </c>
    </row>
    <row r="1179" spans="1:6" x14ac:dyDescent="0.55000000000000004">
      <c r="A1179">
        <v>1.5658292155628571E+19</v>
      </c>
      <c r="B1179" t="s">
        <v>786</v>
      </c>
      <c r="C1179" t="s">
        <v>7</v>
      </c>
      <c r="D1179">
        <v>1677</v>
      </c>
      <c r="E1179" s="4">
        <f t="shared" si="36"/>
        <v>44485</v>
      </c>
      <c r="F1179">
        <f t="shared" si="37"/>
        <v>544</v>
      </c>
    </row>
    <row r="1180" spans="1:6" x14ac:dyDescent="0.55000000000000004">
      <c r="A1180">
        <v>1.22809657059362E+19</v>
      </c>
      <c r="B1180" t="s">
        <v>787</v>
      </c>
      <c r="C1180" t="s">
        <v>13</v>
      </c>
      <c r="D1180">
        <v>1730</v>
      </c>
      <c r="E1180" s="4">
        <f t="shared" si="36"/>
        <v>44594</v>
      </c>
      <c r="F1180">
        <f t="shared" si="37"/>
        <v>435</v>
      </c>
    </row>
    <row r="1181" spans="1:6" x14ac:dyDescent="0.55000000000000004">
      <c r="A1181">
        <v>5.3973038049061745E+18</v>
      </c>
      <c r="B1181" t="s">
        <v>788</v>
      </c>
      <c r="C1181" t="s">
        <v>26</v>
      </c>
      <c r="D1181">
        <v>244311.6</v>
      </c>
      <c r="E1181" s="4">
        <f t="shared" si="36"/>
        <v>43264</v>
      </c>
      <c r="F1181">
        <f t="shared" si="37"/>
        <v>1765</v>
      </c>
    </row>
    <row r="1182" spans="1:6" x14ac:dyDescent="0.55000000000000004">
      <c r="A1182">
        <v>8.9467332712201267E+18</v>
      </c>
      <c r="B1182" t="s">
        <v>789</v>
      </c>
      <c r="C1182" t="s">
        <v>13</v>
      </c>
      <c r="D1182">
        <v>399</v>
      </c>
      <c r="E1182" s="4">
        <f t="shared" si="36"/>
        <v>44366</v>
      </c>
      <c r="F1182">
        <f t="shared" si="37"/>
        <v>663</v>
      </c>
    </row>
    <row r="1183" spans="1:6" x14ac:dyDescent="0.55000000000000004">
      <c r="A1183">
        <v>1.403440687456196E+19</v>
      </c>
      <c r="B1183" t="s">
        <v>790</v>
      </c>
      <c r="C1183" t="s">
        <v>10</v>
      </c>
      <c r="D1183">
        <v>2677</v>
      </c>
      <c r="E1183" s="4">
        <f t="shared" si="36"/>
        <v>43909</v>
      </c>
      <c r="F1183">
        <f t="shared" si="37"/>
        <v>1120</v>
      </c>
    </row>
    <row r="1184" spans="1:6" x14ac:dyDescent="0.55000000000000004">
      <c r="A1184">
        <v>5.497031036325631E+18</v>
      </c>
      <c r="B1184" t="s">
        <v>791</v>
      </c>
      <c r="C1184" t="s">
        <v>13</v>
      </c>
      <c r="D1184">
        <v>490</v>
      </c>
      <c r="E1184" s="4">
        <f t="shared" si="36"/>
        <v>45015</v>
      </c>
      <c r="F1184">
        <f t="shared" si="37"/>
        <v>14</v>
      </c>
    </row>
    <row r="1185" spans="1:6" x14ac:dyDescent="0.55000000000000004">
      <c r="A1185">
        <v>4.9356075865298401E+18</v>
      </c>
      <c r="B1185" t="s">
        <v>194</v>
      </c>
      <c r="C1185" t="s">
        <v>13</v>
      </c>
      <c r="D1185">
        <v>4035</v>
      </c>
      <c r="E1185" s="4">
        <f t="shared" si="36"/>
        <v>44988</v>
      </c>
      <c r="F1185">
        <f t="shared" si="37"/>
        <v>41</v>
      </c>
    </row>
    <row r="1186" spans="1:6" x14ac:dyDescent="0.55000000000000004">
      <c r="A1186">
        <v>1.082616171172949E+19</v>
      </c>
      <c r="B1186" t="s">
        <v>792</v>
      </c>
      <c r="C1186" t="s">
        <v>5</v>
      </c>
      <c r="D1186">
        <v>890</v>
      </c>
      <c r="E1186" s="4">
        <f t="shared" si="36"/>
        <v>44325</v>
      </c>
      <c r="F1186">
        <f t="shared" si="37"/>
        <v>704</v>
      </c>
    </row>
    <row r="1187" spans="1:6" x14ac:dyDescent="0.55000000000000004">
      <c r="A1187">
        <v>1.004436856264552E+19</v>
      </c>
      <c r="B1187" t="s">
        <v>793</v>
      </c>
      <c r="C1187" t="s">
        <v>10</v>
      </c>
      <c r="D1187">
        <v>398</v>
      </c>
      <c r="E1187" s="4">
        <f t="shared" si="36"/>
        <v>44115</v>
      </c>
      <c r="F1187">
        <f t="shared" si="37"/>
        <v>914</v>
      </c>
    </row>
    <row r="1188" spans="1:6" x14ac:dyDescent="0.55000000000000004">
      <c r="A1188">
        <v>1.287657497340611E+19</v>
      </c>
      <c r="B1188" t="s">
        <v>213</v>
      </c>
      <c r="C1188" t="s">
        <v>13</v>
      </c>
      <c r="D1188">
        <v>687</v>
      </c>
      <c r="E1188" s="4">
        <f t="shared" si="36"/>
        <v>44800</v>
      </c>
      <c r="F1188">
        <f t="shared" si="37"/>
        <v>229</v>
      </c>
    </row>
    <row r="1189" spans="1:6" x14ac:dyDescent="0.55000000000000004">
      <c r="A1189">
        <v>1.307591437459559E+19</v>
      </c>
      <c r="B1189" t="s">
        <v>645</v>
      </c>
      <c r="C1189" t="s">
        <v>13</v>
      </c>
      <c r="D1189">
        <v>1368</v>
      </c>
      <c r="E1189" s="4">
        <f t="shared" si="36"/>
        <v>44897</v>
      </c>
      <c r="F1189">
        <f t="shared" si="37"/>
        <v>132</v>
      </c>
    </row>
    <row r="1190" spans="1:6" x14ac:dyDescent="0.55000000000000004">
      <c r="A1190">
        <v>8.6886831850354483E+18</v>
      </c>
      <c r="B1190" t="s">
        <v>107</v>
      </c>
      <c r="C1190" t="s">
        <v>13</v>
      </c>
      <c r="D1190">
        <v>504</v>
      </c>
      <c r="E1190" s="4">
        <f t="shared" si="36"/>
        <v>45019</v>
      </c>
      <c r="F1190">
        <f t="shared" si="37"/>
        <v>10</v>
      </c>
    </row>
    <row r="1191" spans="1:6" x14ac:dyDescent="0.55000000000000004">
      <c r="A1191">
        <v>5.8649699749280215E+18</v>
      </c>
      <c r="B1191" t="s">
        <v>794</v>
      </c>
      <c r="C1191" t="s">
        <v>10</v>
      </c>
      <c r="D1191">
        <v>1504</v>
      </c>
      <c r="E1191" s="4">
        <f t="shared" si="36"/>
        <v>44926</v>
      </c>
      <c r="F1191">
        <f t="shared" si="37"/>
        <v>103</v>
      </c>
    </row>
    <row r="1192" spans="1:6" x14ac:dyDescent="0.55000000000000004">
      <c r="A1192">
        <v>1.8296913374114109E+19</v>
      </c>
      <c r="B1192" t="s">
        <v>20</v>
      </c>
      <c r="C1192" t="s">
        <v>26</v>
      </c>
      <c r="D1192">
        <v>629</v>
      </c>
      <c r="E1192" s="4">
        <f t="shared" si="36"/>
        <v>44423</v>
      </c>
      <c r="F1192">
        <f t="shared" si="37"/>
        <v>606</v>
      </c>
    </row>
    <row r="1193" spans="1:6" x14ac:dyDescent="0.55000000000000004">
      <c r="A1193">
        <v>5.1250685605554504E+18</v>
      </c>
      <c r="B1193" t="s">
        <v>472</v>
      </c>
      <c r="C1193" t="s">
        <v>7</v>
      </c>
      <c r="D1193">
        <v>231</v>
      </c>
      <c r="E1193" s="4">
        <f t="shared" si="36"/>
        <v>44769</v>
      </c>
      <c r="F1193">
        <f t="shared" si="37"/>
        <v>260</v>
      </c>
    </row>
    <row r="1194" spans="1:6" x14ac:dyDescent="0.55000000000000004">
      <c r="A1194">
        <v>9.0093056768248351E+18</v>
      </c>
      <c r="B1194" t="s">
        <v>795</v>
      </c>
      <c r="C1194" t="s">
        <v>13</v>
      </c>
      <c r="D1194">
        <v>4170</v>
      </c>
      <c r="E1194" s="4">
        <f t="shared" si="36"/>
        <v>44698</v>
      </c>
      <c r="F1194">
        <f t="shared" si="37"/>
        <v>331</v>
      </c>
    </row>
    <row r="1195" spans="1:6" x14ac:dyDescent="0.55000000000000004">
      <c r="A1195">
        <v>3.7506769843068621E+18</v>
      </c>
      <c r="B1195" t="s">
        <v>472</v>
      </c>
      <c r="C1195" t="s">
        <v>10</v>
      </c>
      <c r="D1195">
        <v>169</v>
      </c>
      <c r="E1195" s="4">
        <f t="shared" si="36"/>
        <v>44769</v>
      </c>
      <c r="F1195">
        <f t="shared" si="37"/>
        <v>260</v>
      </c>
    </row>
    <row r="1196" spans="1:6" x14ac:dyDescent="0.55000000000000004">
      <c r="A1196">
        <v>6.7253496507708355E+18</v>
      </c>
      <c r="B1196" t="s">
        <v>89</v>
      </c>
      <c r="C1196" t="s">
        <v>7</v>
      </c>
      <c r="D1196">
        <v>1000</v>
      </c>
      <c r="E1196" s="4">
        <f t="shared" si="36"/>
        <v>44950</v>
      </c>
      <c r="F1196">
        <f t="shared" si="37"/>
        <v>79</v>
      </c>
    </row>
    <row r="1197" spans="1:6" x14ac:dyDescent="0.55000000000000004">
      <c r="A1197">
        <v>1.5641110136120521E+19</v>
      </c>
      <c r="B1197" t="s">
        <v>280</v>
      </c>
      <c r="C1197" t="s">
        <v>50</v>
      </c>
      <c r="D1197">
        <v>203</v>
      </c>
      <c r="E1197" s="4">
        <f t="shared" si="36"/>
        <v>44593</v>
      </c>
      <c r="F1197">
        <f t="shared" si="37"/>
        <v>436</v>
      </c>
    </row>
    <row r="1198" spans="1:6" x14ac:dyDescent="0.55000000000000004">
      <c r="A1198">
        <v>1.8105990993554E+19</v>
      </c>
      <c r="B1198" t="s">
        <v>533</v>
      </c>
      <c r="C1198" t="s">
        <v>50</v>
      </c>
      <c r="D1198">
        <v>197</v>
      </c>
      <c r="E1198" s="4">
        <f t="shared" si="36"/>
        <v>44924</v>
      </c>
      <c r="F1198">
        <f t="shared" si="37"/>
        <v>105</v>
      </c>
    </row>
    <row r="1199" spans="1:6" x14ac:dyDescent="0.55000000000000004">
      <c r="A1199">
        <v>5.306007669942868E+18</v>
      </c>
      <c r="B1199" t="s">
        <v>796</v>
      </c>
      <c r="C1199" t="s">
        <v>10</v>
      </c>
      <c r="D1199">
        <v>399</v>
      </c>
      <c r="E1199" s="4">
        <f t="shared" si="36"/>
        <v>44100</v>
      </c>
      <c r="F1199">
        <f t="shared" si="37"/>
        <v>929</v>
      </c>
    </row>
    <row r="1200" spans="1:6" x14ac:dyDescent="0.55000000000000004">
      <c r="A1200">
        <v>1.179369254274715E+19</v>
      </c>
      <c r="B1200" t="s">
        <v>301</v>
      </c>
      <c r="C1200" t="s">
        <v>10</v>
      </c>
      <c r="D1200">
        <v>80</v>
      </c>
      <c r="E1200" s="4">
        <f t="shared" si="36"/>
        <v>44734</v>
      </c>
      <c r="F1200">
        <f t="shared" si="37"/>
        <v>295</v>
      </c>
    </row>
    <row r="1201" spans="1:6" x14ac:dyDescent="0.55000000000000004">
      <c r="A1201">
        <v>9.052495294912939E+18</v>
      </c>
      <c r="B1201" t="s">
        <v>797</v>
      </c>
      <c r="C1201" t="s">
        <v>13</v>
      </c>
      <c r="D1201">
        <v>449</v>
      </c>
      <c r="E1201" s="4">
        <f t="shared" si="36"/>
        <v>44437</v>
      </c>
      <c r="F1201">
        <f t="shared" si="37"/>
        <v>592</v>
      </c>
    </row>
    <row r="1202" spans="1:6" x14ac:dyDescent="0.55000000000000004">
      <c r="A1202">
        <v>1.753490343112645E+19</v>
      </c>
      <c r="B1202" t="s">
        <v>715</v>
      </c>
      <c r="C1202" t="s">
        <v>10</v>
      </c>
      <c r="D1202">
        <v>477</v>
      </c>
      <c r="E1202" s="4">
        <f t="shared" si="36"/>
        <v>43826</v>
      </c>
      <c r="F1202">
        <f t="shared" si="37"/>
        <v>1203</v>
      </c>
    </row>
    <row r="1203" spans="1:6" x14ac:dyDescent="0.55000000000000004">
      <c r="A1203">
        <v>8.196912481423874E+18</v>
      </c>
      <c r="B1203" t="s">
        <v>798</v>
      </c>
      <c r="C1203" t="s">
        <v>7</v>
      </c>
      <c r="D1203">
        <v>4080</v>
      </c>
      <c r="E1203" s="4">
        <f t="shared" si="36"/>
        <v>44604</v>
      </c>
      <c r="F1203">
        <f t="shared" si="37"/>
        <v>425</v>
      </c>
    </row>
    <row r="1204" spans="1:6" x14ac:dyDescent="0.55000000000000004">
      <c r="A1204">
        <v>1.389027299754768E+19</v>
      </c>
      <c r="B1204" t="s">
        <v>270</v>
      </c>
      <c r="C1204" t="s">
        <v>10</v>
      </c>
      <c r="D1204">
        <v>3691</v>
      </c>
      <c r="E1204" s="4">
        <f t="shared" si="36"/>
        <v>44983</v>
      </c>
      <c r="F1204">
        <f t="shared" si="37"/>
        <v>46</v>
      </c>
    </row>
    <row r="1205" spans="1:6" x14ac:dyDescent="0.55000000000000004">
      <c r="A1205">
        <v>1.793701719582576E+19</v>
      </c>
      <c r="B1205" t="s">
        <v>799</v>
      </c>
      <c r="C1205" t="s">
        <v>13</v>
      </c>
      <c r="D1205">
        <v>4265</v>
      </c>
      <c r="E1205" s="4">
        <f t="shared" si="36"/>
        <v>44539</v>
      </c>
      <c r="F1205">
        <f t="shared" si="37"/>
        <v>490</v>
      </c>
    </row>
    <row r="1206" spans="1:6" x14ac:dyDescent="0.55000000000000004">
      <c r="A1206">
        <v>2.842375249748479E+18</v>
      </c>
      <c r="B1206" t="s">
        <v>90</v>
      </c>
      <c r="C1206" t="s">
        <v>13</v>
      </c>
      <c r="D1206">
        <v>592</v>
      </c>
      <c r="E1206" s="4">
        <f t="shared" si="36"/>
        <v>44899</v>
      </c>
      <c r="F1206">
        <f t="shared" si="37"/>
        <v>130</v>
      </c>
    </row>
    <row r="1207" spans="1:6" x14ac:dyDescent="0.55000000000000004">
      <c r="A1207">
        <v>1.324897053317523E+19</v>
      </c>
      <c r="B1207" t="s">
        <v>726</v>
      </c>
      <c r="C1207" t="s">
        <v>46</v>
      </c>
      <c r="D1207">
        <v>691</v>
      </c>
      <c r="E1207" s="4">
        <f t="shared" si="36"/>
        <v>45011</v>
      </c>
      <c r="F1207">
        <f t="shared" si="37"/>
        <v>18</v>
      </c>
    </row>
    <row r="1208" spans="1:6" x14ac:dyDescent="0.55000000000000004">
      <c r="A1208">
        <v>1.0456691425489639E+19</v>
      </c>
      <c r="B1208" t="s">
        <v>17</v>
      </c>
      <c r="C1208" t="s">
        <v>13</v>
      </c>
      <c r="D1208">
        <v>4760</v>
      </c>
      <c r="E1208" s="4">
        <f t="shared" si="36"/>
        <v>44251</v>
      </c>
      <c r="F1208">
        <f t="shared" si="37"/>
        <v>778</v>
      </c>
    </row>
    <row r="1209" spans="1:6" x14ac:dyDescent="0.55000000000000004">
      <c r="A1209">
        <v>1.49593763185252E+19</v>
      </c>
      <c r="B1209" t="s">
        <v>169</v>
      </c>
      <c r="C1209" t="s">
        <v>10</v>
      </c>
      <c r="D1209">
        <v>1044</v>
      </c>
      <c r="E1209" s="4">
        <f t="shared" si="36"/>
        <v>44291</v>
      </c>
      <c r="F1209">
        <f t="shared" si="37"/>
        <v>738</v>
      </c>
    </row>
    <row r="1210" spans="1:6" x14ac:dyDescent="0.55000000000000004">
      <c r="A1210">
        <v>7.136613630905943E+18</v>
      </c>
      <c r="B1210" t="s">
        <v>800</v>
      </c>
      <c r="C1210" t="s">
        <v>26</v>
      </c>
      <c r="D1210">
        <v>409</v>
      </c>
      <c r="E1210" s="4">
        <f t="shared" si="36"/>
        <v>44088</v>
      </c>
      <c r="F1210">
        <f t="shared" si="37"/>
        <v>941</v>
      </c>
    </row>
    <row r="1211" spans="1:6" x14ac:dyDescent="0.55000000000000004">
      <c r="A1211">
        <v>1.5032394334348169E+19</v>
      </c>
      <c r="B1211" t="s">
        <v>173</v>
      </c>
      <c r="C1211" t="s">
        <v>50</v>
      </c>
      <c r="D1211">
        <v>49</v>
      </c>
      <c r="E1211" s="4">
        <f t="shared" si="36"/>
        <v>44774</v>
      </c>
      <c r="F1211">
        <f t="shared" si="37"/>
        <v>255</v>
      </c>
    </row>
    <row r="1212" spans="1:6" x14ac:dyDescent="0.55000000000000004">
      <c r="A1212">
        <v>2.3568634158670162E+18</v>
      </c>
      <c r="B1212" t="s">
        <v>152</v>
      </c>
      <c r="C1212" t="s">
        <v>13</v>
      </c>
      <c r="D1212">
        <v>1930</v>
      </c>
      <c r="E1212" s="4">
        <f t="shared" si="36"/>
        <v>44256</v>
      </c>
      <c r="F1212">
        <f t="shared" si="37"/>
        <v>773</v>
      </c>
    </row>
    <row r="1213" spans="1:6" x14ac:dyDescent="0.55000000000000004">
      <c r="A1213">
        <v>6.2994961456809595E+18</v>
      </c>
      <c r="B1213" t="s">
        <v>189</v>
      </c>
      <c r="C1213" t="s">
        <v>13</v>
      </c>
      <c r="D1213">
        <v>419</v>
      </c>
      <c r="E1213" s="4">
        <f t="shared" si="36"/>
        <v>44830</v>
      </c>
      <c r="F1213">
        <f t="shared" si="37"/>
        <v>199</v>
      </c>
    </row>
    <row r="1214" spans="1:6" x14ac:dyDescent="0.55000000000000004">
      <c r="A1214">
        <v>7.7545241007708902E+17</v>
      </c>
      <c r="B1214" t="s">
        <v>678</v>
      </c>
      <c r="C1214" t="s">
        <v>10</v>
      </c>
      <c r="D1214">
        <v>199</v>
      </c>
      <c r="E1214" s="4">
        <f t="shared" si="36"/>
        <v>44731</v>
      </c>
      <c r="F1214">
        <f t="shared" si="37"/>
        <v>298</v>
      </c>
    </row>
    <row r="1215" spans="1:6" x14ac:dyDescent="0.55000000000000004">
      <c r="A1215">
        <v>5.3973038049061745E+18</v>
      </c>
      <c r="B1215" t="s">
        <v>801</v>
      </c>
      <c r="C1215" t="s">
        <v>10</v>
      </c>
      <c r="D1215">
        <v>922799</v>
      </c>
      <c r="E1215" s="4">
        <f t="shared" si="36"/>
        <v>43158</v>
      </c>
      <c r="F1215">
        <f t="shared" si="37"/>
        <v>1871</v>
      </c>
    </row>
    <row r="1216" spans="1:6" x14ac:dyDescent="0.55000000000000004">
      <c r="A1216">
        <v>4.70051168024913E+18</v>
      </c>
      <c r="B1216" t="s">
        <v>802</v>
      </c>
      <c r="C1216" t="s">
        <v>10</v>
      </c>
      <c r="D1216">
        <v>1107</v>
      </c>
      <c r="E1216" s="4">
        <f t="shared" si="36"/>
        <v>44788</v>
      </c>
      <c r="F1216">
        <f t="shared" si="37"/>
        <v>241</v>
      </c>
    </row>
    <row r="1217" spans="1:6" x14ac:dyDescent="0.55000000000000004">
      <c r="A1217">
        <v>3.3612971625853112E+18</v>
      </c>
      <c r="B1217" t="s">
        <v>378</v>
      </c>
      <c r="C1217" t="s">
        <v>13</v>
      </c>
      <c r="D1217">
        <v>903</v>
      </c>
      <c r="E1217" s="4">
        <f t="shared" si="36"/>
        <v>44472</v>
      </c>
      <c r="F1217">
        <f t="shared" si="37"/>
        <v>557</v>
      </c>
    </row>
    <row r="1218" spans="1:6" x14ac:dyDescent="0.55000000000000004">
      <c r="A1218">
        <v>1.5462610389332511E+19</v>
      </c>
      <c r="B1218" t="s">
        <v>166</v>
      </c>
      <c r="C1218" t="s">
        <v>5</v>
      </c>
      <c r="D1218">
        <v>544</v>
      </c>
      <c r="E1218" s="4">
        <f t="shared" si="36"/>
        <v>43895</v>
      </c>
      <c r="F1218">
        <f t="shared" si="37"/>
        <v>1134</v>
      </c>
    </row>
    <row r="1219" spans="1:6" x14ac:dyDescent="0.55000000000000004">
      <c r="A1219">
        <v>5.3973038049061745E+18</v>
      </c>
      <c r="B1219" t="s">
        <v>803</v>
      </c>
      <c r="C1219" t="s">
        <v>7</v>
      </c>
      <c r="D1219">
        <v>454909.1</v>
      </c>
      <c r="E1219" s="4">
        <f t="shared" ref="E1219:E1282" si="38">DATEVALUE(B1219)</f>
        <v>42725</v>
      </c>
      <c r="F1219">
        <f t="shared" ref="F1219:F1282" si="39">$H$1-E1219</f>
        <v>2304</v>
      </c>
    </row>
    <row r="1220" spans="1:6" x14ac:dyDescent="0.55000000000000004">
      <c r="A1220">
        <v>3.7002484709028562E+18</v>
      </c>
      <c r="B1220" t="s">
        <v>804</v>
      </c>
      <c r="C1220" t="s">
        <v>13</v>
      </c>
      <c r="D1220">
        <v>6387</v>
      </c>
      <c r="E1220" s="4">
        <f t="shared" si="38"/>
        <v>44306</v>
      </c>
      <c r="F1220">
        <f t="shared" si="39"/>
        <v>723</v>
      </c>
    </row>
    <row r="1221" spans="1:6" x14ac:dyDescent="0.55000000000000004">
      <c r="A1221">
        <v>7.530252964857858E+18</v>
      </c>
      <c r="B1221" t="s">
        <v>805</v>
      </c>
      <c r="C1221" t="s">
        <v>10</v>
      </c>
      <c r="D1221">
        <v>4206</v>
      </c>
      <c r="E1221" s="4">
        <f t="shared" si="38"/>
        <v>44868</v>
      </c>
      <c r="F1221">
        <f t="shared" si="39"/>
        <v>161</v>
      </c>
    </row>
    <row r="1222" spans="1:6" x14ac:dyDescent="0.55000000000000004">
      <c r="A1222">
        <v>8.3708087912053862E+18</v>
      </c>
      <c r="B1222" t="s">
        <v>328</v>
      </c>
      <c r="C1222" t="s">
        <v>7</v>
      </c>
      <c r="D1222">
        <v>1690</v>
      </c>
      <c r="E1222" s="4">
        <f t="shared" si="38"/>
        <v>44834</v>
      </c>
      <c r="F1222">
        <f t="shared" si="39"/>
        <v>195</v>
      </c>
    </row>
    <row r="1223" spans="1:6" x14ac:dyDescent="0.55000000000000004">
      <c r="A1223">
        <v>1.541344756423315E+19</v>
      </c>
      <c r="B1223" t="s">
        <v>806</v>
      </c>
      <c r="C1223" t="s">
        <v>13</v>
      </c>
      <c r="D1223">
        <v>643</v>
      </c>
      <c r="E1223" s="4">
        <f t="shared" si="38"/>
        <v>44540</v>
      </c>
      <c r="F1223">
        <f t="shared" si="39"/>
        <v>489</v>
      </c>
    </row>
    <row r="1224" spans="1:6" x14ac:dyDescent="0.55000000000000004">
      <c r="A1224">
        <v>1.7193496902024231E+19</v>
      </c>
      <c r="B1224" t="s">
        <v>288</v>
      </c>
      <c r="C1224" t="s">
        <v>10</v>
      </c>
      <c r="D1224">
        <v>1380</v>
      </c>
      <c r="E1224" s="4">
        <f t="shared" si="38"/>
        <v>43951</v>
      </c>
      <c r="F1224">
        <f t="shared" si="39"/>
        <v>1078</v>
      </c>
    </row>
    <row r="1225" spans="1:6" x14ac:dyDescent="0.55000000000000004">
      <c r="A1225">
        <v>7.9385571810270147E+18</v>
      </c>
      <c r="B1225" t="s">
        <v>807</v>
      </c>
      <c r="C1225" t="s">
        <v>7</v>
      </c>
      <c r="D1225">
        <v>1482</v>
      </c>
      <c r="E1225" s="4">
        <f t="shared" si="38"/>
        <v>44927</v>
      </c>
      <c r="F1225">
        <f t="shared" si="39"/>
        <v>102</v>
      </c>
    </row>
    <row r="1226" spans="1:6" x14ac:dyDescent="0.55000000000000004">
      <c r="A1226">
        <v>5.1195927289748562E+18</v>
      </c>
      <c r="B1226" t="s">
        <v>570</v>
      </c>
      <c r="C1226" t="s">
        <v>10</v>
      </c>
      <c r="D1226">
        <v>234</v>
      </c>
      <c r="E1226" s="4">
        <f t="shared" si="38"/>
        <v>44490</v>
      </c>
      <c r="F1226">
        <f t="shared" si="39"/>
        <v>539</v>
      </c>
    </row>
    <row r="1227" spans="1:6" x14ac:dyDescent="0.55000000000000004">
      <c r="A1227">
        <v>3.746593368969024E+18</v>
      </c>
      <c r="B1227" t="s">
        <v>808</v>
      </c>
      <c r="C1227" t="s">
        <v>50</v>
      </c>
      <c r="D1227">
        <v>164</v>
      </c>
      <c r="E1227" s="4">
        <f t="shared" si="38"/>
        <v>43978</v>
      </c>
      <c r="F1227">
        <f t="shared" si="39"/>
        <v>1051</v>
      </c>
    </row>
    <row r="1228" spans="1:6" x14ac:dyDescent="0.55000000000000004">
      <c r="A1228">
        <v>1.502500369017592E+19</v>
      </c>
      <c r="B1228" t="s">
        <v>310</v>
      </c>
      <c r="C1228" t="s">
        <v>10</v>
      </c>
      <c r="D1228">
        <v>459</v>
      </c>
      <c r="E1228" s="4">
        <f t="shared" si="38"/>
        <v>44427</v>
      </c>
      <c r="F1228">
        <f t="shared" si="39"/>
        <v>602</v>
      </c>
    </row>
    <row r="1229" spans="1:6" x14ac:dyDescent="0.55000000000000004">
      <c r="A1229">
        <v>1.243201166146015E+19</v>
      </c>
      <c r="B1229" t="s">
        <v>454</v>
      </c>
      <c r="C1229" t="s">
        <v>7</v>
      </c>
      <c r="D1229">
        <v>824</v>
      </c>
      <c r="E1229" s="4">
        <f t="shared" si="38"/>
        <v>44740</v>
      </c>
      <c r="F1229">
        <f t="shared" si="39"/>
        <v>289</v>
      </c>
    </row>
    <row r="1230" spans="1:6" x14ac:dyDescent="0.55000000000000004">
      <c r="A1230">
        <v>3.2040072584547528E+18</v>
      </c>
      <c r="B1230" t="s">
        <v>460</v>
      </c>
      <c r="C1230" t="s">
        <v>13</v>
      </c>
      <c r="D1230">
        <v>220</v>
      </c>
      <c r="E1230" s="4">
        <f t="shared" si="38"/>
        <v>44671</v>
      </c>
      <c r="F1230">
        <f t="shared" si="39"/>
        <v>358</v>
      </c>
    </row>
    <row r="1231" spans="1:6" x14ac:dyDescent="0.55000000000000004">
      <c r="A1231">
        <v>3.3396038889079619E+18</v>
      </c>
      <c r="B1231" t="s">
        <v>809</v>
      </c>
      <c r="C1231" t="s">
        <v>46</v>
      </c>
      <c r="D1231">
        <v>186</v>
      </c>
      <c r="E1231" s="4">
        <f t="shared" si="38"/>
        <v>43764</v>
      </c>
      <c r="F1231">
        <f t="shared" si="39"/>
        <v>1265</v>
      </c>
    </row>
    <row r="1232" spans="1:6" x14ac:dyDescent="0.55000000000000004">
      <c r="A1232">
        <v>1.1031905768337531E+19</v>
      </c>
      <c r="B1232" t="s">
        <v>458</v>
      </c>
      <c r="C1232" t="s">
        <v>46</v>
      </c>
      <c r="D1232">
        <v>837</v>
      </c>
      <c r="E1232" s="4">
        <f t="shared" si="38"/>
        <v>44838</v>
      </c>
      <c r="F1232">
        <f t="shared" si="39"/>
        <v>191</v>
      </c>
    </row>
    <row r="1233" spans="1:6" x14ac:dyDescent="0.55000000000000004">
      <c r="A1233">
        <v>6.5094737371796442E+17</v>
      </c>
      <c r="B1233" t="s">
        <v>436</v>
      </c>
      <c r="C1233" t="s">
        <v>26</v>
      </c>
      <c r="D1233">
        <v>199</v>
      </c>
      <c r="E1233" s="4">
        <f t="shared" si="38"/>
        <v>43901</v>
      </c>
      <c r="F1233">
        <f t="shared" si="39"/>
        <v>1128</v>
      </c>
    </row>
    <row r="1234" spans="1:6" x14ac:dyDescent="0.55000000000000004">
      <c r="A1234">
        <v>7.6501057150357299E+18</v>
      </c>
      <c r="B1234" t="s">
        <v>583</v>
      </c>
      <c r="C1234" t="s">
        <v>13</v>
      </c>
      <c r="D1234">
        <v>1365</v>
      </c>
      <c r="E1234" s="4">
        <f t="shared" si="38"/>
        <v>44476</v>
      </c>
      <c r="F1234">
        <f t="shared" si="39"/>
        <v>553</v>
      </c>
    </row>
    <row r="1235" spans="1:6" x14ac:dyDescent="0.55000000000000004">
      <c r="A1235">
        <v>9.6473097955478285E+17</v>
      </c>
      <c r="B1235" t="s">
        <v>810</v>
      </c>
      <c r="C1235" t="s">
        <v>46</v>
      </c>
      <c r="D1235">
        <v>207</v>
      </c>
      <c r="E1235" s="4">
        <f t="shared" si="38"/>
        <v>44014</v>
      </c>
      <c r="F1235">
        <f t="shared" si="39"/>
        <v>1015</v>
      </c>
    </row>
    <row r="1236" spans="1:6" x14ac:dyDescent="0.55000000000000004">
      <c r="A1236">
        <v>1.7742685391402451E+19</v>
      </c>
      <c r="B1236" t="s">
        <v>517</v>
      </c>
      <c r="C1236" t="s">
        <v>5</v>
      </c>
      <c r="D1236">
        <v>561</v>
      </c>
      <c r="E1236" s="4">
        <f t="shared" si="38"/>
        <v>44015</v>
      </c>
      <c r="F1236">
        <f t="shared" si="39"/>
        <v>1014</v>
      </c>
    </row>
    <row r="1237" spans="1:6" x14ac:dyDescent="0.55000000000000004">
      <c r="A1237">
        <v>1.7849563115073061E+19</v>
      </c>
      <c r="B1237" t="s">
        <v>739</v>
      </c>
      <c r="C1237" t="s">
        <v>13</v>
      </c>
      <c r="D1237">
        <v>1379</v>
      </c>
      <c r="E1237" s="4">
        <f t="shared" si="38"/>
        <v>44395</v>
      </c>
      <c r="F1237">
        <f t="shared" si="39"/>
        <v>634</v>
      </c>
    </row>
    <row r="1238" spans="1:6" x14ac:dyDescent="0.55000000000000004">
      <c r="A1238">
        <v>1.802287598892639E+19</v>
      </c>
      <c r="B1238" t="s">
        <v>754</v>
      </c>
      <c r="C1238" t="s">
        <v>26</v>
      </c>
      <c r="D1238">
        <v>1111</v>
      </c>
      <c r="E1238" s="4">
        <f t="shared" si="38"/>
        <v>44079</v>
      </c>
      <c r="F1238">
        <f t="shared" si="39"/>
        <v>950</v>
      </c>
    </row>
    <row r="1239" spans="1:6" x14ac:dyDescent="0.55000000000000004">
      <c r="A1239">
        <v>2.9129142691757379E+18</v>
      </c>
      <c r="B1239" t="s">
        <v>212</v>
      </c>
      <c r="C1239" t="s">
        <v>10</v>
      </c>
      <c r="D1239">
        <v>14193</v>
      </c>
      <c r="E1239" s="4">
        <f t="shared" si="38"/>
        <v>43915</v>
      </c>
      <c r="F1239">
        <f t="shared" si="39"/>
        <v>1114</v>
      </c>
    </row>
    <row r="1240" spans="1:6" x14ac:dyDescent="0.55000000000000004">
      <c r="A1240">
        <v>5.9351186772047555E+18</v>
      </c>
      <c r="B1240" t="s">
        <v>185</v>
      </c>
      <c r="C1240" t="s">
        <v>13</v>
      </c>
      <c r="D1240">
        <v>1408</v>
      </c>
      <c r="E1240" s="4">
        <f t="shared" si="38"/>
        <v>44551</v>
      </c>
      <c r="F1240">
        <f t="shared" si="39"/>
        <v>478</v>
      </c>
    </row>
    <row r="1241" spans="1:6" x14ac:dyDescent="0.55000000000000004">
      <c r="A1241">
        <v>1.9526037705138371E+18</v>
      </c>
      <c r="B1241" t="s">
        <v>736</v>
      </c>
      <c r="C1241" t="s">
        <v>13</v>
      </c>
      <c r="D1241">
        <v>9679</v>
      </c>
      <c r="E1241" s="4">
        <f t="shared" si="38"/>
        <v>44702</v>
      </c>
      <c r="F1241">
        <f t="shared" si="39"/>
        <v>327</v>
      </c>
    </row>
    <row r="1242" spans="1:6" x14ac:dyDescent="0.55000000000000004">
      <c r="A1242">
        <v>1.023326339046786E+19</v>
      </c>
      <c r="B1242" t="s">
        <v>409</v>
      </c>
      <c r="C1242" t="s">
        <v>13</v>
      </c>
      <c r="D1242">
        <v>3921</v>
      </c>
      <c r="E1242" s="4">
        <f t="shared" si="38"/>
        <v>44489</v>
      </c>
      <c r="F1242">
        <f t="shared" si="39"/>
        <v>540</v>
      </c>
    </row>
    <row r="1243" spans="1:6" x14ac:dyDescent="0.55000000000000004">
      <c r="A1243">
        <v>1.2160854978433571E+19</v>
      </c>
      <c r="B1243" t="s">
        <v>527</v>
      </c>
      <c r="C1243" t="s">
        <v>10</v>
      </c>
      <c r="D1243">
        <v>2572</v>
      </c>
      <c r="E1243" s="4">
        <f t="shared" si="38"/>
        <v>44643</v>
      </c>
      <c r="F1243">
        <f t="shared" si="39"/>
        <v>386</v>
      </c>
    </row>
    <row r="1244" spans="1:6" x14ac:dyDescent="0.55000000000000004">
      <c r="A1244">
        <v>1.6295251240126349E+19</v>
      </c>
      <c r="B1244" t="s">
        <v>218</v>
      </c>
      <c r="C1244" t="s">
        <v>13</v>
      </c>
      <c r="D1244">
        <v>2440</v>
      </c>
      <c r="E1244" s="4">
        <f t="shared" si="38"/>
        <v>44419</v>
      </c>
      <c r="F1244">
        <f t="shared" si="39"/>
        <v>610</v>
      </c>
    </row>
    <row r="1245" spans="1:6" x14ac:dyDescent="0.55000000000000004">
      <c r="A1245">
        <v>1.5891010530776771E+19</v>
      </c>
      <c r="B1245" t="s">
        <v>274</v>
      </c>
      <c r="C1245" t="s">
        <v>13</v>
      </c>
      <c r="D1245">
        <v>33198</v>
      </c>
      <c r="E1245" s="4">
        <f t="shared" si="38"/>
        <v>45026</v>
      </c>
      <c r="F1245">
        <f t="shared" si="39"/>
        <v>3</v>
      </c>
    </row>
    <row r="1246" spans="1:6" x14ac:dyDescent="0.55000000000000004">
      <c r="A1246">
        <v>5.7661049619039703E+18</v>
      </c>
      <c r="B1246" t="s">
        <v>227</v>
      </c>
      <c r="C1246" t="s">
        <v>7</v>
      </c>
      <c r="D1246">
        <v>1740</v>
      </c>
      <c r="E1246" s="4">
        <f t="shared" si="38"/>
        <v>45007</v>
      </c>
      <c r="F1246">
        <f t="shared" si="39"/>
        <v>22</v>
      </c>
    </row>
    <row r="1247" spans="1:6" x14ac:dyDescent="0.55000000000000004">
      <c r="A1247">
        <v>4.8701968054532291E+18</v>
      </c>
      <c r="B1247" t="s">
        <v>703</v>
      </c>
      <c r="C1247" t="s">
        <v>7</v>
      </c>
      <c r="D1247">
        <v>177.33</v>
      </c>
      <c r="E1247" s="4">
        <f t="shared" si="38"/>
        <v>44930</v>
      </c>
      <c r="F1247">
        <f t="shared" si="39"/>
        <v>99</v>
      </c>
    </row>
    <row r="1248" spans="1:6" x14ac:dyDescent="0.55000000000000004">
      <c r="A1248">
        <v>1.468306835061665E+19</v>
      </c>
      <c r="B1248" t="s">
        <v>811</v>
      </c>
      <c r="C1248" t="s">
        <v>10</v>
      </c>
      <c r="D1248">
        <v>436</v>
      </c>
      <c r="E1248" s="4">
        <f t="shared" si="38"/>
        <v>44104</v>
      </c>
      <c r="F1248">
        <f t="shared" si="39"/>
        <v>925</v>
      </c>
    </row>
    <row r="1249" spans="1:6" x14ac:dyDescent="0.55000000000000004">
      <c r="A1249">
        <v>6.2709077484598569E+18</v>
      </c>
      <c r="B1249" t="s">
        <v>138</v>
      </c>
      <c r="C1249" t="s">
        <v>13</v>
      </c>
      <c r="D1249">
        <v>1357</v>
      </c>
      <c r="E1249" s="4">
        <f t="shared" si="38"/>
        <v>44320</v>
      </c>
      <c r="F1249">
        <f t="shared" si="39"/>
        <v>709</v>
      </c>
    </row>
    <row r="1250" spans="1:6" x14ac:dyDescent="0.55000000000000004">
      <c r="A1250">
        <v>4.7992098544701256E+18</v>
      </c>
      <c r="B1250" t="s">
        <v>284</v>
      </c>
      <c r="C1250" t="s">
        <v>7</v>
      </c>
      <c r="D1250">
        <v>268</v>
      </c>
      <c r="E1250" s="4">
        <f t="shared" si="38"/>
        <v>43903</v>
      </c>
      <c r="F1250">
        <f t="shared" si="39"/>
        <v>1126</v>
      </c>
    </row>
    <row r="1251" spans="1:6" x14ac:dyDescent="0.55000000000000004">
      <c r="A1251">
        <v>1.267152939092461E+19</v>
      </c>
      <c r="B1251" t="s">
        <v>743</v>
      </c>
      <c r="C1251" t="s">
        <v>10</v>
      </c>
      <c r="D1251">
        <v>699</v>
      </c>
      <c r="E1251" s="4">
        <f t="shared" si="38"/>
        <v>44771</v>
      </c>
      <c r="F1251">
        <f t="shared" si="39"/>
        <v>258</v>
      </c>
    </row>
    <row r="1252" spans="1:6" x14ac:dyDescent="0.55000000000000004">
      <c r="A1252">
        <v>1.508520758869896E+17</v>
      </c>
      <c r="B1252" t="s">
        <v>129</v>
      </c>
      <c r="C1252" t="s">
        <v>13</v>
      </c>
      <c r="D1252">
        <v>0</v>
      </c>
      <c r="E1252" s="4">
        <f t="shared" si="38"/>
        <v>44854</v>
      </c>
      <c r="F1252">
        <f t="shared" si="39"/>
        <v>175</v>
      </c>
    </row>
    <row r="1253" spans="1:6" x14ac:dyDescent="0.55000000000000004">
      <c r="A1253">
        <v>9.6644451978526269E+18</v>
      </c>
      <c r="B1253" t="s">
        <v>570</v>
      </c>
      <c r="C1253" t="s">
        <v>13</v>
      </c>
      <c r="D1253">
        <v>2671</v>
      </c>
      <c r="E1253" s="4">
        <f t="shared" si="38"/>
        <v>44490</v>
      </c>
      <c r="F1253">
        <f t="shared" si="39"/>
        <v>539</v>
      </c>
    </row>
    <row r="1254" spans="1:6" x14ac:dyDescent="0.55000000000000004">
      <c r="A1254">
        <v>9.2220926223088968E+18</v>
      </c>
      <c r="B1254" t="s">
        <v>105</v>
      </c>
      <c r="C1254" t="s">
        <v>7</v>
      </c>
      <c r="D1254">
        <v>1530</v>
      </c>
      <c r="E1254" s="4">
        <f t="shared" si="38"/>
        <v>44989</v>
      </c>
      <c r="F1254">
        <f t="shared" si="39"/>
        <v>40</v>
      </c>
    </row>
    <row r="1255" spans="1:6" x14ac:dyDescent="0.55000000000000004">
      <c r="A1255">
        <v>2.8202571640566118E+18</v>
      </c>
      <c r="B1255" t="s">
        <v>406</v>
      </c>
      <c r="C1255" t="s">
        <v>10</v>
      </c>
      <c r="D1255">
        <v>846</v>
      </c>
      <c r="E1255" s="4">
        <f t="shared" si="38"/>
        <v>44415</v>
      </c>
      <c r="F1255">
        <f t="shared" si="39"/>
        <v>614</v>
      </c>
    </row>
    <row r="1256" spans="1:6" x14ac:dyDescent="0.55000000000000004">
      <c r="A1256">
        <v>1.765727192276854E+19</v>
      </c>
      <c r="B1256" t="s">
        <v>399</v>
      </c>
      <c r="C1256" t="s">
        <v>13</v>
      </c>
      <c r="D1256">
        <v>1591</v>
      </c>
      <c r="E1256" s="4">
        <f t="shared" si="38"/>
        <v>44733</v>
      </c>
      <c r="F1256">
        <f t="shared" si="39"/>
        <v>296</v>
      </c>
    </row>
    <row r="1257" spans="1:6" x14ac:dyDescent="0.55000000000000004">
      <c r="A1257">
        <v>1.499652581721549E+19</v>
      </c>
      <c r="B1257" t="s">
        <v>607</v>
      </c>
      <c r="C1257" t="s">
        <v>10</v>
      </c>
      <c r="D1257">
        <v>1800</v>
      </c>
      <c r="E1257" s="4">
        <f t="shared" si="38"/>
        <v>44576</v>
      </c>
      <c r="F1257">
        <f t="shared" si="39"/>
        <v>453</v>
      </c>
    </row>
    <row r="1258" spans="1:6" x14ac:dyDescent="0.55000000000000004">
      <c r="A1258">
        <v>4.2015316285946138E+18</v>
      </c>
      <c r="B1258" t="s">
        <v>202</v>
      </c>
      <c r="C1258" t="s">
        <v>13</v>
      </c>
      <c r="D1258">
        <v>3289</v>
      </c>
      <c r="E1258" s="4">
        <f t="shared" si="38"/>
        <v>44520</v>
      </c>
      <c r="F1258">
        <f t="shared" si="39"/>
        <v>509</v>
      </c>
    </row>
    <row r="1259" spans="1:6" x14ac:dyDescent="0.55000000000000004">
      <c r="A1259">
        <v>5.3973038049061745E+18</v>
      </c>
      <c r="B1259" t="s">
        <v>812</v>
      </c>
      <c r="C1259" t="s">
        <v>26</v>
      </c>
      <c r="D1259">
        <v>147132</v>
      </c>
      <c r="E1259" s="4">
        <f t="shared" si="38"/>
        <v>42588</v>
      </c>
      <c r="F1259">
        <f t="shared" si="39"/>
        <v>2441</v>
      </c>
    </row>
    <row r="1260" spans="1:6" x14ac:dyDescent="0.55000000000000004">
      <c r="A1260">
        <v>1.8182398520451611E+19</v>
      </c>
      <c r="B1260" t="s">
        <v>813</v>
      </c>
      <c r="C1260" t="s">
        <v>7</v>
      </c>
      <c r="D1260">
        <v>228</v>
      </c>
      <c r="E1260" s="4">
        <f t="shared" si="38"/>
        <v>44461</v>
      </c>
      <c r="F1260">
        <f t="shared" si="39"/>
        <v>568</v>
      </c>
    </row>
    <row r="1261" spans="1:6" x14ac:dyDescent="0.55000000000000004">
      <c r="A1261">
        <v>1.5891010530776771E+19</v>
      </c>
      <c r="B1261" t="s">
        <v>814</v>
      </c>
      <c r="C1261" t="s">
        <v>7</v>
      </c>
      <c r="D1261">
        <v>1542</v>
      </c>
      <c r="E1261" s="4">
        <f t="shared" si="38"/>
        <v>44873</v>
      </c>
      <c r="F1261">
        <f t="shared" si="39"/>
        <v>156</v>
      </c>
    </row>
    <row r="1262" spans="1:6" x14ac:dyDescent="0.55000000000000004">
      <c r="A1262">
        <v>1.313444682683271E+19</v>
      </c>
      <c r="B1262" t="s">
        <v>815</v>
      </c>
      <c r="C1262" t="s">
        <v>10</v>
      </c>
      <c r="D1262">
        <v>3033</v>
      </c>
      <c r="E1262" s="4">
        <f t="shared" si="38"/>
        <v>44700</v>
      </c>
      <c r="F1262">
        <f t="shared" si="39"/>
        <v>329</v>
      </c>
    </row>
    <row r="1263" spans="1:6" x14ac:dyDescent="0.55000000000000004">
      <c r="A1263">
        <v>1.827375784926251E+19</v>
      </c>
      <c r="B1263" t="s">
        <v>816</v>
      </c>
      <c r="C1263" t="s">
        <v>7</v>
      </c>
      <c r="D1263">
        <v>478</v>
      </c>
      <c r="E1263" s="4">
        <f t="shared" si="38"/>
        <v>43796</v>
      </c>
      <c r="F1263">
        <f t="shared" si="39"/>
        <v>1233</v>
      </c>
    </row>
    <row r="1264" spans="1:6" x14ac:dyDescent="0.55000000000000004">
      <c r="A1264">
        <v>1.229276804746035E+19</v>
      </c>
      <c r="B1264" t="s">
        <v>790</v>
      </c>
      <c r="C1264" t="s">
        <v>26</v>
      </c>
      <c r="D1264">
        <v>224</v>
      </c>
      <c r="E1264" s="4">
        <f t="shared" si="38"/>
        <v>43909</v>
      </c>
      <c r="F1264">
        <f t="shared" si="39"/>
        <v>1120</v>
      </c>
    </row>
    <row r="1265" spans="1:6" x14ac:dyDescent="0.55000000000000004">
      <c r="A1265">
        <v>3.2544412848118932E+18</v>
      </c>
      <c r="B1265" t="s">
        <v>281</v>
      </c>
      <c r="C1265" t="s">
        <v>10</v>
      </c>
      <c r="D1265">
        <v>1538</v>
      </c>
      <c r="E1265" s="4">
        <f t="shared" si="38"/>
        <v>44833</v>
      </c>
      <c r="F1265">
        <f t="shared" si="39"/>
        <v>196</v>
      </c>
    </row>
    <row r="1266" spans="1:6" x14ac:dyDescent="0.55000000000000004">
      <c r="A1266">
        <v>3.1044372114244818E+18</v>
      </c>
      <c r="B1266" t="s">
        <v>544</v>
      </c>
      <c r="C1266" t="s">
        <v>13</v>
      </c>
      <c r="D1266">
        <v>6550</v>
      </c>
      <c r="E1266" s="4">
        <f t="shared" si="38"/>
        <v>44217</v>
      </c>
      <c r="F1266">
        <f t="shared" si="39"/>
        <v>812</v>
      </c>
    </row>
    <row r="1267" spans="1:6" x14ac:dyDescent="0.55000000000000004">
      <c r="A1267">
        <v>1.6377734152005571E+19</v>
      </c>
      <c r="B1267" t="s">
        <v>763</v>
      </c>
      <c r="C1267" t="s">
        <v>13</v>
      </c>
      <c r="D1267">
        <v>938</v>
      </c>
      <c r="E1267" s="4">
        <f t="shared" si="38"/>
        <v>44741</v>
      </c>
      <c r="F1267">
        <f t="shared" si="39"/>
        <v>288</v>
      </c>
    </row>
    <row r="1268" spans="1:6" x14ac:dyDescent="0.55000000000000004">
      <c r="A1268">
        <v>1.17134894204842E+19</v>
      </c>
      <c r="B1268" t="s">
        <v>174</v>
      </c>
      <c r="C1268" t="s">
        <v>13</v>
      </c>
      <c r="D1268">
        <v>2150</v>
      </c>
      <c r="E1268" s="4">
        <f t="shared" si="38"/>
        <v>44008</v>
      </c>
      <c r="F1268">
        <f t="shared" si="39"/>
        <v>1021</v>
      </c>
    </row>
    <row r="1269" spans="1:6" x14ac:dyDescent="0.55000000000000004">
      <c r="A1269">
        <v>5.5255863221200271E+18</v>
      </c>
      <c r="B1269" t="s">
        <v>817</v>
      </c>
      <c r="C1269" t="s">
        <v>50</v>
      </c>
      <c r="D1269">
        <v>78</v>
      </c>
      <c r="E1269" s="4">
        <f t="shared" si="38"/>
        <v>43871</v>
      </c>
      <c r="F1269">
        <f t="shared" si="39"/>
        <v>1158</v>
      </c>
    </row>
    <row r="1270" spans="1:6" x14ac:dyDescent="0.55000000000000004">
      <c r="A1270">
        <v>4.2728264437008538E+18</v>
      </c>
      <c r="B1270" t="s">
        <v>815</v>
      </c>
      <c r="C1270" t="s">
        <v>10</v>
      </c>
      <c r="D1270">
        <v>629</v>
      </c>
      <c r="E1270" s="4">
        <f t="shared" si="38"/>
        <v>44700</v>
      </c>
      <c r="F1270">
        <f t="shared" si="39"/>
        <v>329</v>
      </c>
    </row>
    <row r="1271" spans="1:6" x14ac:dyDescent="0.55000000000000004">
      <c r="A1271">
        <v>5.3973038049061745E+18</v>
      </c>
      <c r="B1271" t="s">
        <v>818</v>
      </c>
      <c r="C1271" t="s">
        <v>7</v>
      </c>
      <c r="D1271">
        <v>300973.5</v>
      </c>
      <c r="E1271" s="4">
        <f t="shared" si="38"/>
        <v>43125</v>
      </c>
      <c r="F1271">
        <f t="shared" si="39"/>
        <v>1904</v>
      </c>
    </row>
    <row r="1272" spans="1:6" x14ac:dyDescent="0.55000000000000004">
      <c r="A1272">
        <v>1.5904387609983511E+19</v>
      </c>
      <c r="B1272" t="s">
        <v>104</v>
      </c>
      <c r="C1272" t="s">
        <v>10</v>
      </c>
      <c r="D1272">
        <v>2083</v>
      </c>
      <c r="E1272" s="4">
        <f t="shared" si="38"/>
        <v>44304</v>
      </c>
      <c r="F1272">
        <f t="shared" si="39"/>
        <v>725</v>
      </c>
    </row>
    <row r="1273" spans="1:6" x14ac:dyDescent="0.55000000000000004">
      <c r="A1273">
        <v>8.1566095224349348E+18</v>
      </c>
      <c r="B1273" t="s">
        <v>295</v>
      </c>
      <c r="C1273" t="s">
        <v>13</v>
      </c>
      <c r="D1273">
        <v>4101</v>
      </c>
      <c r="E1273" s="4">
        <f t="shared" si="38"/>
        <v>44369</v>
      </c>
      <c r="F1273">
        <f t="shared" si="39"/>
        <v>660</v>
      </c>
    </row>
    <row r="1274" spans="1:6" x14ac:dyDescent="0.55000000000000004">
      <c r="A1274">
        <v>6.1405135759450532E+18</v>
      </c>
      <c r="B1274" t="s">
        <v>209</v>
      </c>
      <c r="C1274" t="s">
        <v>13</v>
      </c>
      <c r="D1274">
        <v>1406</v>
      </c>
      <c r="E1274" s="4">
        <f t="shared" si="38"/>
        <v>44940</v>
      </c>
      <c r="F1274">
        <f t="shared" si="39"/>
        <v>89</v>
      </c>
    </row>
    <row r="1275" spans="1:6" x14ac:dyDescent="0.55000000000000004">
      <c r="A1275">
        <v>1.004436856264552E+19</v>
      </c>
      <c r="B1275" t="s">
        <v>819</v>
      </c>
      <c r="C1275" t="s">
        <v>13</v>
      </c>
      <c r="D1275">
        <v>4149</v>
      </c>
      <c r="E1275" s="4">
        <f t="shared" si="38"/>
        <v>44659</v>
      </c>
      <c r="F1275">
        <f t="shared" si="39"/>
        <v>370</v>
      </c>
    </row>
    <row r="1276" spans="1:6" x14ac:dyDescent="0.55000000000000004">
      <c r="A1276">
        <v>5.3973038049061745E+18</v>
      </c>
      <c r="B1276" t="s">
        <v>820</v>
      </c>
      <c r="C1276" t="s">
        <v>50</v>
      </c>
      <c r="D1276">
        <v>52717.46</v>
      </c>
      <c r="E1276" s="4">
        <f t="shared" si="38"/>
        <v>43658</v>
      </c>
      <c r="F1276">
        <f t="shared" si="39"/>
        <v>1371</v>
      </c>
    </row>
    <row r="1277" spans="1:6" x14ac:dyDescent="0.55000000000000004">
      <c r="A1277">
        <v>2.85584285525694E+18</v>
      </c>
      <c r="B1277" t="s">
        <v>344</v>
      </c>
      <c r="C1277" t="s">
        <v>13</v>
      </c>
      <c r="D1277">
        <v>2622</v>
      </c>
      <c r="E1277" s="4">
        <f t="shared" si="38"/>
        <v>44308</v>
      </c>
      <c r="F1277">
        <f t="shared" si="39"/>
        <v>721</v>
      </c>
    </row>
    <row r="1278" spans="1:6" x14ac:dyDescent="0.55000000000000004">
      <c r="A1278">
        <v>8.3484161509307187E+18</v>
      </c>
      <c r="B1278" t="s">
        <v>652</v>
      </c>
      <c r="C1278" t="s">
        <v>10</v>
      </c>
      <c r="D1278">
        <v>2556</v>
      </c>
      <c r="E1278" s="4">
        <f t="shared" si="38"/>
        <v>44336</v>
      </c>
      <c r="F1278">
        <f t="shared" si="39"/>
        <v>693</v>
      </c>
    </row>
    <row r="1279" spans="1:6" x14ac:dyDescent="0.55000000000000004">
      <c r="A1279">
        <v>1.089144262980412E+18</v>
      </c>
      <c r="B1279" t="s">
        <v>364</v>
      </c>
      <c r="C1279" t="s">
        <v>10</v>
      </c>
      <c r="D1279">
        <v>478</v>
      </c>
      <c r="E1279" s="4">
        <f t="shared" si="38"/>
        <v>44668</v>
      </c>
      <c r="F1279">
        <f t="shared" si="39"/>
        <v>361</v>
      </c>
    </row>
    <row r="1280" spans="1:6" x14ac:dyDescent="0.55000000000000004">
      <c r="A1280">
        <v>7.7337721717866086E+18</v>
      </c>
      <c r="B1280" t="s">
        <v>821</v>
      </c>
      <c r="C1280" t="s">
        <v>13</v>
      </c>
      <c r="D1280">
        <v>270</v>
      </c>
      <c r="E1280" s="4">
        <f t="shared" si="38"/>
        <v>44186</v>
      </c>
      <c r="F1280">
        <f t="shared" si="39"/>
        <v>843</v>
      </c>
    </row>
    <row r="1281" spans="1:6" x14ac:dyDescent="0.55000000000000004">
      <c r="A1281">
        <v>5.8347292509330957E+17</v>
      </c>
      <c r="B1281" t="s">
        <v>418</v>
      </c>
      <c r="C1281" t="s">
        <v>13</v>
      </c>
      <c r="D1281">
        <v>1524</v>
      </c>
      <c r="E1281" s="4">
        <f t="shared" si="38"/>
        <v>44301</v>
      </c>
      <c r="F1281">
        <f t="shared" si="39"/>
        <v>728</v>
      </c>
    </row>
    <row r="1282" spans="1:6" x14ac:dyDescent="0.55000000000000004">
      <c r="A1282">
        <v>1.742464998586878E+19</v>
      </c>
      <c r="B1282" t="s">
        <v>822</v>
      </c>
      <c r="C1282" t="s">
        <v>7</v>
      </c>
      <c r="D1282">
        <v>55</v>
      </c>
      <c r="E1282" s="4">
        <f t="shared" si="38"/>
        <v>44120</v>
      </c>
      <c r="F1282">
        <f t="shared" si="39"/>
        <v>909</v>
      </c>
    </row>
    <row r="1283" spans="1:6" x14ac:dyDescent="0.55000000000000004">
      <c r="A1283">
        <v>9.771607642693548E+18</v>
      </c>
      <c r="B1283" t="s">
        <v>823</v>
      </c>
      <c r="C1283" t="s">
        <v>7</v>
      </c>
      <c r="D1283">
        <v>5592</v>
      </c>
      <c r="E1283" s="4">
        <f t="shared" ref="E1283:E1346" si="40">DATEVALUE(B1283)</f>
        <v>44525</v>
      </c>
      <c r="F1283">
        <f t="shared" ref="F1283:F1346" si="41">$H$1-E1283</f>
        <v>504</v>
      </c>
    </row>
    <row r="1284" spans="1:6" x14ac:dyDescent="0.55000000000000004">
      <c r="A1284">
        <v>9.9043953447114916E+18</v>
      </c>
      <c r="B1284" t="s">
        <v>354</v>
      </c>
      <c r="C1284" t="s">
        <v>7</v>
      </c>
      <c r="D1284">
        <v>1294</v>
      </c>
      <c r="E1284" s="4">
        <f t="shared" si="40"/>
        <v>44925</v>
      </c>
      <c r="F1284">
        <f t="shared" si="41"/>
        <v>104</v>
      </c>
    </row>
    <row r="1285" spans="1:6" x14ac:dyDescent="0.55000000000000004">
      <c r="A1285">
        <v>1.0106165432899029E+19</v>
      </c>
      <c r="B1285" t="s">
        <v>427</v>
      </c>
      <c r="C1285" t="s">
        <v>13</v>
      </c>
      <c r="D1285">
        <v>803</v>
      </c>
      <c r="E1285" s="4">
        <f t="shared" si="40"/>
        <v>44543</v>
      </c>
      <c r="F1285">
        <f t="shared" si="41"/>
        <v>486</v>
      </c>
    </row>
    <row r="1286" spans="1:6" x14ac:dyDescent="0.55000000000000004">
      <c r="A1286">
        <v>1.0950746766661911E+19</v>
      </c>
      <c r="B1286" t="s">
        <v>824</v>
      </c>
      <c r="C1286" t="s">
        <v>10</v>
      </c>
      <c r="D1286">
        <v>6297</v>
      </c>
      <c r="E1286" s="4">
        <f t="shared" si="40"/>
        <v>44482</v>
      </c>
      <c r="F1286">
        <f t="shared" si="41"/>
        <v>547</v>
      </c>
    </row>
    <row r="1287" spans="1:6" x14ac:dyDescent="0.55000000000000004">
      <c r="A1287">
        <v>3.91791813032032E+18</v>
      </c>
      <c r="B1287" t="s">
        <v>825</v>
      </c>
      <c r="C1287" t="s">
        <v>10</v>
      </c>
      <c r="D1287">
        <v>460</v>
      </c>
      <c r="E1287" s="4">
        <f t="shared" si="40"/>
        <v>44619</v>
      </c>
      <c r="F1287">
        <f t="shared" si="41"/>
        <v>410</v>
      </c>
    </row>
    <row r="1288" spans="1:6" x14ac:dyDescent="0.55000000000000004">
      <c r="A1288">
        <v>1.1372774529424939E+19</v>
      </c>
      <c r="B1288" t="s">
        <v>794</v>
      </c>
      <c r="C1288" t="s">
        <v>13</v>
      </c>
      <c r="D1288">
        <v>9672</v>
      </c>
      <c r="E1288" s="4">
        <f t="shared" si="40"/>
        <v>44926</v>
      </c>
      <c r="F1288">
        <f t="shared" si="41"/>
        <v>103</v>
      </c>
    </row>
    <row r="1289" spans="1:6" x14ac:dyDescent="0.55000000000000004">
      <c r="A1289">
        <v>1.092949294617218E+19</v>
      </c>
      <c r="B1289" t="s">
        <v>826</v>
      </c>
      <c r="C1289" t="s">
        <v>10</v>
      </c>
      <c r="D1289">
        <v>4401</v>
      </c>
      <c r="E1289" s="4">
        <f t="shared" si="40"/>
        <v>43839</v>
      </c>
      <c r="F1289">
        <f t="shared" si="41"/>
        <v>1190</v>
      </c>
    </row>
    <row r="1290" spans="1:6" x14ac:dyDescent="0.55000000000000004">
      <c r="A1290">
        <v>2.5146266350727972E+18</v>
      </c>
      <c r="B1290" t="s">
        <v>210</v>
      </c>
      <c r="C1290" t="s">
        <v>10</v>
      </c>
      <c r="D1290">
        <v>1199</v>
      </c>
      <c r="E1290" s="4">
        <f t="shared" si="40"/>
        <v>44082</v>
      </c>
      <c r="F1290">
        <f t="shared" si="41"/>
        <v>947</v>
      </c>
    </row>
    <row r="1291" spans="1:6" x14ac:dyDescent="0.55000000000000004">
      <c r="A1291">
        <v>2.6197504961558559E+18</v>
      </c>
      <c r="B1291" t="s">
        <v>374</v>
      </c>
      <c r="C1291" t="s">
        <v>10</v>
      </c>
      <c r="D1291">
        <v>299</v>
      </c>
      <c r="E1291" s="4">
        <f t="shared" si="40"/>
        <v>44610</v>
      </c>
      <c r="F1291">
        <f t="shared" si="41"/>
        <v>419</v>
      </c>
    </row>
    <row r="1292" spans="1:6" x14ac:dyDescent="0.55000000000000004">
      <c r="A1292">
        <v>1.6172224122890871E+19</v>
      </c>
      <c r="B1292" t="s">
        <v>144</v>
      </c>
      <c r="C1292" t="s">
        <v>50</v>
      </c>
      <c r="D1292">
        <v>49</v>
      </c>
      <c r="E1292" s="4">
        <f t="shared" si="40"/>
        <v>44636</v>
      </c>
      <c r="F1292">
        <f t="shared" si="41"/>
        <v>393</v>
      </c>
    </row>
    <row r="1293" spans="1:6" x14ac:dyDescent="0.55000000000000004">
      <c r="A1293">
        <v>1.461118260085745E+19</v>
      </c>
      <c r="B1293" t="s">
        <v>661</v>
      </c>
      <c r="C1293" t="s">
        <v>13</v>
      </c>
      <c r="D1293">
        <v>1527</v>
      </c>
      <c r="E1293" s="4">
        <f t="shared" si="40"/>
        <v>43888</v>
      </c>
      <c r="F1293">
        <f t="shared" si="41"/>
        <v>1141</v>
      </c>
    </row>
    <row r="1294" spans="1:6" x14ac:dyDescent="0.55000000000000004">
      <c r="A1294">
        <v>8.4862918808198564E+18</v>
      </c>
      <c r="B1294" t="s">
        <v>166</v>
      </c>
      <c r="C1294" t="s">
        <v>50</v>
      </c>
      <c r="D1294">
        <v>67</v>
      </c>
      <c r="E1294" s="4">
        <f t="shared" si="40"/>
        <v>43895</v>
      </c>
      <c r="F1294">
        <f t="shared" si="41"/>
        <v>1134</v>
      </c>
    </row>
    <row r="1295" spans="1:6" x14ac:dyDescent="0.55000000000000004">
      <c r="A1295">
        <v>1.378013292667358E+19</v>
      </c>
      <c r="B1295" t="s">
        <v>160</v>
      </c>
      <c r="C1295" t="s">
        <v>13</v>
      </c>
      <c r="D1295">
        <v>2370</v>
      </c>
      <c r="E1295" s="4">
        <f t="shared" si="40"/>
        <v>44723</v>
      </c>
      <c r="F1295">
        <f t="shared" si="41"/>
        <v>306</v>
      </c>
    </row>
    <row r="1296" spans="1:6" x14ac:dyDescent="0.55000000000000004">
      <c r="A1296">
        <v>7.5917125380343245E+18</v>
      </c>
      <c r="B1296" t="s">
        <v>213</v>
      </c>
      <c r="C1296" t="s">
        <v>26</v>
      </c>
      <c r="D1296">
        <v>7600</v>
      </c>
      <c r="E1296" s="4">
        <f t="shared" si="40"/>
        <v>44800</v>
      </c>
      <c r="F1296">
        <f t="shared" si="41"/>
        <v>229</v>
      </c>
    </row>
    <row r="1297" spans="1:6" x14ac:dyDescent="0.55000000000000004">
      <c r="A1297">
        <v>9.101764833279017E+18</v>
      </c>
      <c r="B1297" t="s">
        <v>303</v>
      </c>
      <c r="C1297" t="s">
        <v>13</v>
      </c>
      <c r="D1297">
        <v>445</v>
      </c>
      <c r="E1297" s="4">
        <f t="shared" si="40"/>
        <v>44039</v>
      </c>
      <c r="F1297">
        <f t="shared" si="41"/>
        <v>990</v>
      </c>
    </row>
    <row r="1298" spans="1:6" x14ac:dyDescent="0.55000000000000004">
      <c r="A1298">
        <v>7.6067031389727324E+18</v>
      </c>
      <c r="B1298" t="s">
        <v>827</v>
      </c>
      <c r="C1298" t="s">
        <v>10</v>
      </c>
      <c r="D1298">
        <v>2075</v>
      </c>
      <c r="E1298" s="4">
        <f t="shared" si="40"/>
        <v>43960</v>
      </c>
      <c r="F1298">
        <f t="shared" si="41"/>
        <v>1069</v>
      </c>
    </row>
    <row r="1299" spans="1:6" x14ac:dyDescent="0.55000000000000004">
      <c r="A1299">
        <v>1.2598501340074549E+19</v>
      </c>
      <c r="B1299" t="s">
        <v>828</v>
      </c>
      <c r="C1299" t="s">
        <v>10</v>
      </c>
      <c r="D1299">
        <v>1295</v>
      </c>
      <c r="E1299" s="4">
        <f t="shared" si="40"/>
        <v>44928</v>
      </c>
      <c r="F1299">
        <f t="shared" si="41"/>
        <v>101</v>
      </c>
    </row>
    <row r="1300" spans="1:6" x14ac:dyDescent="0.55000000000000004">
      <c r="A1300">
        <v>5.1745483234186783E+18</v>
      </c>
      <c r="B1300" t="s">
        <v>783</v>
      </c>
      <c r="C1300" t="s">
        <v>5</v>
      </c>
      <c r="D1300">
        <v>2970</v>
      </c>
      <c r="E1300" s="4">
        <f t="shared" si="40"/>
        <v>44986</v>
      </c>
      <c r="F1300">
        <f t="shared" si="41"/>
        <v>43</v>
      </c>
    </row>
    <row r="1301" spans="1:6" x14ac:dyDescent="0.55000000000000004">
      <c r="A1301">
        <v>1.4316968399317361E+19</v>
      </c>
      <c r="B1301" t="s">
        <v>746</v>
      </c>
      <c r="C1301" t="s">
        <v>10</v>
      </c>
      <c r="D1301">
        <v>697</v>
      </c>
      <c r="E1301" s="4">
        <f t="shared" si="40"/>
        <v>44711</v>
      </c>
      <c r="F1301">
        <f t="shared" si="41"/>
        <v>318</v>
      </c>
    </row>
    <row r="1302" spans="1:6" x14ac:dyDescent="0.55000000000000004">
      <c r="A1302">
        <v>1.365703254207455E+19</v>
      </c>
      <c r="B1302" t="s">
        <v>549</v>
      </c>
      <c r="C1302" t="s">
        <v>13</v>
      </c>
      <c r="D1302">
        <v>3944</v>
      </c>
      <c r="E1302" s="4">
        <f t="shared" si="40"/>
        <v>44912</v>
      </c>
      <c r="F1302">
        <f t="shared" si="41"/>
        <v>117</v>
      </c>
    </row>
    <row r="1303" spans="1:6" x14ac:dyDescent="0.55000000000000004">
      <c r="A1303">
        <v>9.8779459301162066E+18</v>
      </c>
      <c r="B1303" t="s">
        <v>697</v>
      </c>
      <c r="C1303" t="s">
        <v>7</v>
      </c>
      <c r="D1303">
        <v>690</v>
      </c>
      <c r="E1303" s="4">
        <f t="shared" si="40"/>
        <v>44584</v>
      </c>
      <c r="F1303">
        <f t="shared" si="41"/>
        <v>445</v>
      </c>
    </row>
    <row r="1304" spans="1:6" x14ac:dyDescent="0.55000000000000004">
      <c r="A1304">
        <v>8.6679631661829878E+18</v>
      </c>
      <c r="B1304" t="s">
        <v>829</v>
      </c>
      <c r="C1304" t="s">
        <v>13</v>
      </c>
      <c r="D1304">
        <v>355</v>
      </c>
      <c r="E1304" s="4">
        <f t="shared" si="40"/>
        <v>44431</v>
      </c>
      <c r="F1304">
        <f t="shared" si="41"/>
        <v>598</v>
      </c>
    </row>
    <row r="1305" spans="1:6" x14ac:dyDescent="0.55000000000000004">
      <c r="A1305">
        <v>1.1202250609199221E+19</v>
      </c>
      <c r="B1305" t="s">
        <v>624</v>
      </c>
      <c r="C1305" t="s">
        <v>10</v>
      </c>
      <c r="D1305">
        <v>420</v>
      </c>
      <c r="E1305" s="4">
        <f t="shared" si="40"/>
        <v>44883</v>
      </c>
      <c r="F1305">
        <f t="shared" si="41"/>
        <v>146</v>
      </c>
    </row>
    <row r="1306" spans="1:6" x14ac:dyDescent="0.55000000000000004">
      <c r="A1306">
        <v>4.7412492185996429E+17</v>
      </c>
      <c r="B1306" t="s">
        <v>830</v>
      </c>
      <c r="C1306" t="s">
        <v>10</v>
      </c>
      <c r="D1306">
        <v>1744</v>
      </c>
      <c r="E1306" s="4">
        <f t="shared" si="40"/>
        <v>44685</v>
      </c>
      <c r="F1306">
        <f t="shared" si="41"/>
        <v>344</v>
      </c>
    </row>
    <row r="1307" spans="1:6" x14ac:dyDescent="0.55000000000000004">
      <c r="A1307">
        <v>1.711290526394442E+18</v>
      </c>
      <c r="B1307" t="s">
        <v>447</v>
      </c>
      <c r="C1307" t="s">
        <v>7</v>
      </c>
      <c r="D1307">
        <v>218</v>
      </c>
      <c r="E1307" s="4">
        <f t="shared" si="40"/>
        <v>44709</v>
      </c>
      <c r="F1307">
        <f t="shared" si="41"/>
        <v>320</v>
      </c>
    </row>
    <row r="1308" spans="1:6" x14ac:dyDescent="0.55000000000000004">
      <c r="A1308">
        <v>1.325729311291033E+19</v>
      </c>
      <c r="B1308" t="s">
        <v>251</v>
      </c>
      <c r="C1308" t="s">
        <v>50</v>
      </c>
      <c r="D1308">
        <v>660</v>
      </c>
      <c r="E1308" s="4">
        <f t="shared" si="40"/>
        <v>44863</v>
      </c>
      <c r="F1308">
        <f t="shared" si="41"/>
        <v>166</v>
      </c>
    </row>
    <row r="1309" spans="1:6" x14ac:dyDescent="0.55000000000000004">
      <c r="A1309">
        <v>2.5146266350727972E+18</v>
      </c>
      <c r="B1309" t="s">
        <v>831</v>
      </c>
      <c r="C1309" t="s">
        <v>10</v>
      </c>
      <c r="D1309">
        <v>1078</v>
      </c>
      <c r="E1309" s="4">
        <f t="shared" si="40"/>
        <v>43633</v>
      </c>
      <c r="F1309">
        <f t="shared" si="41"/>
        <v>1396</v>
      </c>
    </row>
    <row r="1310" spans="1:6" x14ac:dyDescent="0.55000000000000004">
      <c r="A1310">
        <v>1.1084907403611501E+19</v>
      </c>
      <c r="B1310" t="s">
        <v>832</v>
      </c>
      <c r="C1310" t="s">
        <v>13</v>
      </c>
      <c r="D1310">
        <v>2467</v>
      </c>
      <c r="E1310" s="4">
        <f t="shared" si="40"/>
        <v>44929</v>
      </c>
      <c r="F1310">
        <f t="shared" si="41"/>
        <v>100</v>
      </c>
    </row>
    <row r="1311" spans="1:6" x14ac:dyDescent="0.55000000000000004">
      <c r="A1311">
        <v>7.5173770377600195E+18</v>
      </c>
      <c r="B1311" t="s">
        <v>483</v>
      </c>
      <c r="C1311" t="s">
        <v>13</v>
      </c>
      <c r="D1311">
        <v>1022</v>
      </c>
      <c r="E1311" s="4">
        <f t="shared" si="40"/>
        <v>43767</v>
      </c>
      <c r="F1311">
        <f t="shared" si="41"/>
        <v>1262</v>
      </c>
    </row>
    <row r="1312" spans="1:6" x14ac:dyDescent="0.55000000000000004">
      <c r="A1312">
        <v>1.8389639499405119E+19</v>
      </c>
      <c r="B1312" t="s">
        <v>445</v>
      </c>
      <c r="C1312" t="s">
        <v>10</v>
      </c>
      <c r="D1312">
        <v>258</v>
      </c>
      <c r="E1312" s="4">
        <f t="shared" si="40"/>
        <v>44070</v>
      </c>
      <c r="F1312">
        <f t="shared" si="41"/>
        <v>959</v>
      </c>
    </row>
    <row r="1313" spans="1:6" x14ac:dyDescent="0.55000000000000004">
      <c r="A1313">
        <v>8.8710352568516239E+18</v>
      </c>
      <c r="B1313" t="s">
        <v>379</v>
      </c>
      <c r="C1313" t="s">
        <v>13</v>
      </c>
      <c r="D1313">
        <v>3958</v>
      </c>
      <c r="E1313" s="4">
        <f t="shared" si="40"/>
        <v>45024</v>
      </c>
      <c r="F1313">
        <f t="shared" si="41"/>
        <v>5</v>
      </c>
    </row>
    <row r="1314" spans="1:6" x14ac:dyDescent="0.55000000000000004">
      <c r="A1314">
        <v>4.3785163421245199E+18</v>
      </c>
      <c r="B1314" t="s">
        <v>629</v>
      </c>
      <c r="C1314" t="s">
        <v>7</v>
      </c>
      <c r="D1314">
        <v>1468</v>
      </c>
      <c r="E1314" s="4">
        <f t="shared" si="40"/>
        <v>44829</v>
      </c>
      <c r="F1314">
        <f t="shared" si="41"/>
        <v>200</v>
      </c>
    </row>
    <row r="1315" spans="1:6" x14ac:dyDescent="0.55000000000000004">
      <c r="A1315">
        <v>5.3370243637905869E+18</v>
      </c>
      <c r="B1315" t="s">
        <v>86</v>
      </c>
      <c r="C1315" t="s">
        <v>5</v>
      </c>
      <c r="D1315">
        <v>565</v>
      </c>
      <c r="E1315" s="4">
        <f t="shared" si="40"/>
        <v>44263</v>
      </c>
      <c r="F1315">
        <f t="shared" si="41"/>
        <v>766</v>
      </c>
    </row>
    <row r="1316" spans="1:6" x14ac:dyDescent="0.55000000000000004">
      <c r="A1316">
        <v>1.562330477958519E+19</v>
      </c>
      <c r="B1316" t="s">
        <v>19</v>
      </c>
      <c r="C1316" t="s">
        <v>10</v>
      </c>
      <c r="D1316">
        <v>48</v>
      </c>
      <c r="E1316" s="4">
        <f t="shared" si="40"/>
        <v>44739</v>
      </c>
      <c r="F1316">
        <f t="shared" si="41"/>
        <v>290</v>
      </c>
    </row>
    <row r="1317" spans="1:6" x14ac:dyDescent="0.55000000000000004">
      <c r="A1317">
        <v>1.986980350882558E+18</v>
      </c>
      <c r="B1317" t="s">
        <v>833</v>
      </c>
      <c r="C1317" t="s">
        <v>10</v>
      </c>
      <c r="D1317">
        <v>1333</v>
      </c>
      <c r="E1317" s="4">
        <f t="shared" si="40"/>
        <v>44865</v>
      </c>
      <c r="F1317">
        <f t="shared" si="41"/>
        <v>164</v>
      </c>
    </row>
    <row r="1318" spans="1:6" x14ac:dyDescent="0.55000000000000004">
      <c r="A1318">
        <v>6.0965140272997366E+18</v>
      </c>
      <c r="B1318" t="s">
        <v>738</v>
      </c>
      <c r="C1318" t="s">
        <v>10</v>
      </c>
      <c r="D1318">
        <v>6362</v>
      </c>
      <c r="E1318" s="4">
        <f t="shared" si="40"/>
        <v>44390</v>
      </c>
      <c r="F1318">
        <f t="shared" si="41"/>
        <v>639</v>
      </c>
    </row>
    <row r="1319" spans="1:6" x14ac:dyDescent="0.55000000000000004">
      <c r="A1319">
        <v>1.025795227830743E+19</v>
      </c>
      <c r="B1319" t="s">
        <v>280</v>
      </c>
      <c r="C1319" t="s">
        <v>10</v>
      </c>
      <c r="D1319">
        <v>1028</v>
      </c>
      <c r="E1319" s="4">
        <f t="shared" si="40"/>
        <v>44593</v>
      </c>
      <c r="F1319">
        <f t="shared" si="41"/>
        <v>436</v>
      </c>
    </row>
    <row r="1320" spans="1:6" x14ac:dyDescent="0.55000000000000004">
      <c r="A1320">
        <v>7.9106735790695045E+18</v>
      </c>
      <c r="B1320" t="s">
        <v>504</v>
      </c>
      <c r="C1320" t="s">
        <v>13</v>
      </c>
      <c r="D1320">
        <v>199</v>
      </c>
      <c r="E1320" s="4">
        <f t="shared" si="40"/>
        <v>43844</v>
      </c>
      <c r="F1320">
        <f t="shared" si="41"/>
        <v>1185</v>
      </c>
    </row>
    <row r="1321" spans="1:6" x14ac:dyDescent="0.55000000000000004">
      <c r="A1321">
        <v>1.4525817385845809E+19</v>
      </c>
      <c r="B1321" t="s">
        <v>422</v>
      </c>
      <c r="C1321" t="s">
        <v>10</v>
      </c>
      <c r="D1321">
        <v>148</v>
      </c>
      <c r="E1321" s="4">
        <f t="shared" si="40"/>
        <v>44967</v>
      </c>
      <c r="F1321">
        <f t="shared" si="41"/>
        <v>62</v>
      </c>
    </row>
    <row r="1322" spans="1:6" x14ac:dyDescent="0.55000000000000004">
      <c r="A1322">
        <v>8.466503340618112E+17</v>
      </c>
      <c r="B1322" t="s">
        <v>230</v>
      </c>
      <c r="C1322" t="s">
        <v>7</v>
      </c>
      <c r="D1322">
        <v>168</v>
      </c>
      <c r="E1322" s="4">
        <f t="shared" si="40"/>
        <v>44252</v>
      </c>
      <c r="F1322">
        <f t="shared" si="41"/>
        <v>777</v>
      </c>
    </row>
    <row r="1323" spans="1:6" x14ac:dyDescent="0.55000000000000004">
      <c r="A1323">
        <v>1.6817203905142431E+18</v>
      </c>
      <c r="B1323" t="s">
        <v>834</v>
      </c>
      <c r="C1323" t="s">
        <v>13</v>
      </c>
      <c r="D1323">
        <v>2731</v>
      </c>
      <c r="E1323" s="4">
        <f t="shared" si="40"/>
        <v>45023</v>
      </c>
      <c r="F1323">
        <f t="shared" si="41"/>
        <v>6</v>
      </c>
    </row>
    <row r="1324" spans="1:6" x14ac:dyDescent="0.55000000000000004">
      <c r="A1324">
        <v>1.614429735529943E+19</v>
      </c>
      <c r="B1324" t="s">
        <v>835</v>
      </c>
      <c r="C1324" t="s">
        <v>10</v>
      </c>
      <c r="D1324">
        <v>767</v>
      </c>
      <c r="E1324" s="4">
        <f t="shared" si="40"/>
        <v>44844</v>
      </c>
      <c r="F1324">
        <f t="shared" si="41"/>
        <v>185</v>
      </c>
    </row>
    <row r="1325" spans="1:6" x14ac:dyDescent="0.55000000000000004">
      <c r="A1325">
        <v>3.5051572052441559E+18</v>
      </c>
      <c r="B1325" t="s">
        <v>23</v>
      </c>
      <c r="C1325" t="s">
        <v>10</v>
      </c>
      <c r="D1325">
        <v>900</v>
      </c>
      <c r="E1325" s="4">
        <f t="shared" si="40"/>
        <v>44337</v>
      </c>
      <c r="F1325">
        <f t="shared" si="41"/>
        <v>692</v>
      </c>
    </row>
    <row r="1326" spans="1:6" x14ac:dyDescent="0.55000000000000004">
      <c r="A1326">
        <v>4.200684856420906E+18</v>
      </c>
      <c r="B1326" t="s">
        <v>595</v>
      </c>
      <c r="C1326" t="s">
        <v>10</v>
      </c>
      <c r="D1326">
        <v>6573</v>
      </c>
      <c r="E1326" s="4">
        <f t="shared" si="40"/>
        <v>44969</v>
      </c>
      <c r="F1326">
        <f t="shared" si="41"/>
        <v>60</v>
      </c>
    </row>
    <row r="1327" spans="1:6" x14ac:dyDescent="0.55000000000000004">
      <c r="A1327">
        <v>2.675483009273758E+16</v>
      </c>
      <c r="B1327" t="s">
        <v>664</v>
      </c>
      <c r="C1327" t="s">
        <v>46</v>
      </c>
      <c r="D1327">
        <v>400</v>
      </c>
      <c r="E1327" s="4">
        <f t="shared" si="40"/>
        <v>44367</v>
      </c>
      <c r="F1327">
        <f t="shared" si="41"/>
        <v>662</v>
      </c>
    </row>
    <row r="1328" spans="1:6" x14ac:dyDescent="0.55000000000000004">
      <c r="A1328">
        <v>1.269251105105741E+19</v>
      </c>
      <c r="B1328" t="s">
        <v>57</v>
      </c>
      <c r="C1328" t="s">
        <v>10</v>
      </c>
      <c r="D1328">
        <v>699</v>
      </c>
      <c r="E1328" s="4">
        <f t="shared" si="40"/>
        <v>44021</v>
      </c>
      <c r="F1328">
        <f t="shared" si="41"/>
        <v>1008</v>
      </c>
    </row>
    <row r="1329" spans="1:6" x14ac:dyDescent="0.55000000000000004">
      <c r="A1329">
        <v>4.0567490631498502E+17</v>
      </c>
      <c r="B1329" t="s">
        <v>117</v>
      </c>
      <c r="C1329" t="s">
        <v>50</v>
      </c>
      <c r="D1329">
        <v>258</v>
      </c>
      <c r="E1329" s="4">
        <f t="shared" si="40"/>
        <v>44122</v>
      </c>
      <c r="F1329">
        <f t="shared" si="41"/>
        <v>907</v>
      </c>
    </row>
    <row r="1330" spans="1:6" x14ac:dyDescent="0.55000000000000004">
      <c r="A1330">
        <v>1.1955962298200941E+19</v>
      </c>
      <c r="B1330" t="s">
        <v>16</v>
      </c>
      <c r="C1330" t="s">
        <v>10</v>
      </c>
      <c r="D1330">
        <v>655</v>
      </c>
      <c r="E1330" s="4">
        <f t="shared" si="40"/>
        <v>44465</v>
      </c>
      <c r="F1330">
        <f t="shared" si="41"/>
        <v>564</v>
      </c>
    </row>
    <row r="1331" spans="1:6" x14ac:dyDescent="0.55000000000000004">
      <c r="A1331">
        <v>1.2036271954815109E+19</v>
      </c>
      <c r="B1331" t="s">
        <v>836</v>
      </c>
      <c r="C1331" t="s">
        <v>26</v>
      </c>
      <c r="D1331">
        <v>259</v>
      </c>
      <c r="E1331" s="4">
        <f t="shared" si="40"/>
        <v>43851</v>
      </c>
      <c r="F1331">
        <f t="shared" si="41"/>
        <v>1178</v>
      </c>
    </row>
    <row r="1332" spans="1:6" x14ac:dyDescent="0.55000000000000004">
      <c r="A1332">
        <v>5.718961874495673E+17</v>
      </c>
      <c r="B1332" t="s">
        <v>75</v>
      </c>
      <c r="C1332" t="s">
        <v>26</v>
      </c>
      <c r="D1332">
        <v>573</v>
      </c>
      <c r="E1332" s="4">
        <f t="shared" si="40"/>
        <v>45022</v>
      </c>
      <c r="F1332">
        <f t="shared" si="41"/>
        <v>7</v>
      </c>
    </row>
    <row r="1333" spans="1:6" x14ac:dyDescent="0.55000000000000004">
      <c r="A1333">
        <v>1.584200674600909E+19</v>
      </c>
      <c r="B1333" t="s">
        <v>170</v>
      </c>
      <c r="C1333" t="s">
        <v>13</v>
      </c>
      <c r="D1333">
        <v>1663</v>
      </c>
      <c r="E1333" s="4">
        <f t="shared" si="40"/>
        <v>44615</v>
      </c>
      <c r="F1333">
        <f t="shared" si="41"/>
        <v>414</v>
      </c>
    </row>
    <row r="1334" spans="1:6" x14ac:dyDescent="0.55000000000000004">
      <c r="A1334">
        <v>4.4002765809907272E+18</v>
      </c>
      <c r="B1334" t="s">
        <v>741</v>
      </c>
      <c r="C1334" t="s">
        <v>13</v>
      </c>
      <c r="D1334">
        <v>1696</v>
      </c>
      <c r="E1334" s="4">
        <f t="shared" si="40"/>
        <v>44046</v>
      </c>
      <c r="F1334">
        <f t="shared" si="41"/>
        <v>983</v>
      </c>
    </row>
    <row r="1335" spans="1:6" x14ac:dyDescent="0.55000000000000004">
      <c r="A1335">
        <v>4.7894399729084293E+18</v>
      </c>
      <c r="B1335" t="s">
        <v>837</v>
      </c>
      <c r="C1335" t="s">
        <v>10</v>
      </c>
      <c r="D1335">
        <v>1490</v>
      </c>
      <c r="E1335" s="4">
        <f t="shared" si="40"/>
        <v>44340</v>
      </c>
      <c r="F1335">
        <f t="shared" si="41"/>
        <v>689</v>
      </c>
    </row>
    <row r="1336" spans="1:6" x14ac:dyDescent="0.55000000000000004">
      <c r="A1336">
        <v>3.7705021680150861E+18</v>
      </c>
      <c r="B1336" t="s">
        <v>660</v>
      </c>
      <c r="C1336" t="s">
        <v>10</v>
      </c>
      <c r="D1336">
        <v>1733</v>
      </c>
      <c r="E1336" s="4">
        <f t="shared" si="40"/>
        <v>43841</v>
      </c>
      <c r="F1336">
        <f t="shared" si="41"/>
        <v>1188</v>
      </c>
    </row>
    <row r="1337" spans="1:6" x14ac:dyDescent="0.55000000000000004">
      <c r="A1337">
        <v>6.6806323183104154E+18</v>
      </c>
      <c r="B1337" t="s">
        <v>165</v>
      </c>
      <c r="C1337" t="s">
        <v>13</v>
      </c>
      <c r="D1337">
        <v>70</v>
      </c>
      <c r="E1337" s="4">
        <f t="shared" si="40"/>
        <v>44513</v>
      </c>
      <c r="F1337">
        <f t="shared" si="41"/>
        <v>516</v>
      </c>
    </row>
    <row r="1338" spans="1:6" x14ac:dyDescent="0.55000000000000004">
      <c r="A1338">
        <v>5.3973038049061745E+18</v>
      </c>
      <c r="B1338" t="s">
        <v>838</v>
      </c>
      <c r="C1338" t="s">
        <v>510</v>
      </c>
      <c r="D1338">
        <v>2245</v>
      </c>
      <c r="E1338" s="4">
        <f t="shared" si="40"/>
        <v>42714</v>
      </c>
      <c r="F1338">
        <f t="shared" si="41"/>
        <v>2315</v>
      </c>
    </row>
    <row r="1339" spans="1:6" x14ac:dyDescent="0.55000000000000004">
      <c r="A1339">
        <v>1.505177459298766E+19</v>
      </c>
      <c r="B1339" t="s">
        <v>839</v>
      </c>
      <c r="C1339" t="s">
        <v>10</v>
      </c>
      <c r="D1339">
        <v>3040</v>
      </c>
      <c r="E1339" s="4">
        <f t="shared" si="40"/>
        <v>44882</v>
      </c>
      <c r="F1339">
        <f t="shared" si="41"/>
        <v>147</v>
      </c>
    </row>
    <row r="1340" spans="1:6" x14ac:dyDescent="0.55000000000000004">
      <c r="A1340">
        <v>4.2667909490277059E+18</v>
      </c>
      <c r="B1340" t="s">
        <v>840</v>
      </c>
      <c r="C1340" t="s">
        <v>13</v>
      </c>
      <c r="D1340">
        <v>0</v>
      </c>
      <c r="E1340" s="4">
        <f t="shared" si="40"/>
        <v>44350</v>
      </c>
      <c r="F1340">
        <f t="shared" si="41"/>
        <v>679</v>
      </c>
    </row>
    <row r="1341" spans="1:6" x14ac:dyDescent="0.55000000000000004">
      <c r="A1341">
        <v>1.2563713193918501E+19</v>
      </c>
      <c r="B1341" t="s">
        <v>131</v>
      </c>
      <c r="C1341" t="s">
        <v>7</v>
      </c>
      <c r="D1341">
        <v>208</v>
      </c>
      <c r="E1341" s="4">
        <f t="shared" si="40"/>
        <v>44559</v>
      </c>
      <c r="F1341">
        <f t="shared" si="41"/>
        <v>470</v>
      </c>
    </row>
    <row r="1342" spans="1:6" x14ac:dyDescent="0.55000000000000004">
      <c r="A1342">
        <v>5.6382876841213542E+18</v>
      </c>
      <c r="B1342" t="s">
        <v>601</v>
      </c>
      <c r="C1342" t="s">
        <v>10</v>
      </c>
      <c r="D1342">
        <v>560</v>
      </c>
      <c r="E1342" s="4">
        <f t="shared" si="40"/>
        <v>44853</v>
      </c>
      <c r="F1342">
        <f t="shared" si="41"/>
        <v>176</v>
      </c>
    </row>
    <row r="1343" spans="1:6" x14ac:dyDescent="0.55000000000000004">
      <c r="A1343">
        <v>7.9836248139405363E+18</v>
      </c>
      <c r="B1343" t="s">
        <v>834</v>
      </c>
      <c r="C1343" t="s">
        <v>13</v>
      </c>
      <c r="D1343">
        <v>1320</v>
      </c>
      <c r="E1343" s="4">
        <f t="shared" si="40"/>
        <v>45023</v>
      </c>
      <c r="F1343">
        <f t="shared" si="41"/>
        <v>6</v>
      </c>
    </row>
    <row r="1344" spans="1:6" x14ac:dyDescent="0.55000000000000004">
      <c r="A1344">
        <v>2.0667225567736151E+18</v>
      </c>
      <c r="B1344" t="s">
        <v>841</v>
      </c>
      <c r="C1344" t="s">
        <v>50</v>
      </c>
      <c r="D1344">
        <v>29</v>
      </c>
      <c r="E1344" s="4">
        <f t="shared" si="40"/>
        <v>44231</v>
      </c>
      <c r="F1344">
        <f t="shared" si="41"/>
        <v>798</v>
      </c>
    </row>
    <row r="1345" spans="1:6" x14ac:dyDescent="0.55000000000000004">
      <c r="A1345">
        <v>1.0796066666527969E+19</v>
      </c>
      <c r="B1345" t="s">
        <v>842</v>
      </c>
      <c r="C1345" t="s">
        <v>10</v>
      </c>
      <c r="D1345">
        <v>2645</v>
      </c>
      <c r="E1345" s="4">
        <f t="shared" si="40"/>
        <v>43981</v>
      </c>
      <c r="F1345">
        <f t="shared" si="41"/>
        <v>1048</v>
      </c>
    </row>
    <row r="1346" spans="1:6" x14ac:dyDescent="0.55000000000000004">
      <c r="A1346">
        <v>3.1102893808012759E+18</v>
      </c>
      <c r="B1346" t="s">
        <v>843</v>
      </c>
      <c r="C1346" t="s">
        <v>10</v>
      </c>
      <c r="D1346">
        <v>2490</v>
      </c>
      <c r="E1346" s="4">
        <f t="shared" si="40"/>
        <v>44758</v>
      </c>
      <c r="F1346">
        <f t="shared" si="41"/>
        <v>271</v>
      </c>
    </row>
    <row r="1347" spans="1:6" x14ac:dyDescent="0.55000000000000004">
      <c r="A1347">
        <v>1.603422478619186E+19</v>
      </c>
      <c r="B1347" t="s">
        <v>303</v>
      </c>
      <c r="C1347" t="s">
        <v>26</v>
      </c>
      <c r="D1347">
        <v>147</v>
      </c>
      <c r="E1347" s="4">
        <f t="shared" ref="E1347:E1410" si="42">DATEVALUE(B1347)</f>
        <v>44039</v>
      </c>
      <c r="F1347">
        <f t="shared" ref="F1347:F1410" si="43">$H$1-E1347</f>
        <v>990</v>
      </c>
    </row>
    <row r="1348" spans="1:6" x14ac:dyDescent="0.55000000000000004">
      <c r="A1348">
        <v>8.1866868172181187E+18</v>
      </c>
      <c r="B1348" t="s">
        <v>844</v>
      </c>
      <c r="C1348" t="s">
        <v>10</v>
      </c>
      <c r="D1348">
        <v>863</v>
      </c>
      <c r="E1348" s="4">
        <f t="shared" si="42"/>
        <v>43991</v>
      </c>
      <c r="F1348">
        <f t="shared" si="43"/>
        <v>1038</v>
      </c>
    </row>
    <row r="1349" spans="1:6" x14ac:dyDescent="0.55000000000000004">
      <c r="A1349">
        <v>9.5406745447199293E+18</v>
      </c>
      <c r="B1349" t="s">
        <v>459</v>
      </c>
      <c r="C1349" t="s">
        <v>10</v>
      </c>
      <c r="D1349">
        <v>540</v>
      </c>
      <c r="E1349" s="4">
        <f t="shared" si="42"/>
        <v>43876</v>
      </c>
      <c r="F1349">
        <f t="shared" si="43"/>
        <v>1153</v>
      </c>
    </row>
    <row r="1350" spans="1:6" x14ac:dyDescent="0.55000000000000004">
      <c r="A1350">
        <v>1.828978405457094E+19</v>
      </c>
      <c r="B1350" t="s">
        <v>57</v>
      </c>
      <c r="C1350" t="s">
        <v>7</v>
      </c>
      <c r="D1350">
        <v>2010</v>
      </c>
      <c r="E1350" s="4">
        <f t="shared" si="42"/>
        <v>44021</v>
      </c>
      <c r="F1350">
        <f t="shared" si="43"/>
        <v>1008</v>
      </c>
    </row>
    <row r="1351" spans="1:6" x14ac:dyDescent="0.55000000000000004">
      <c r="A1351">
        <v>5.3561866016784497E+18</v>
      </c>
      <c r="B1351" t="s">
        <v>845</v>
      </c>
      <c r="C1351" t="s">
        <v>10</v>
      </c>
      <c r="D1351">
        <v>2030</v>
      </c>
      <c r="E1351" s="4">
        <f t="shared" si="42"/>
        <v>44602</v>
      </c>
      <c r="F1351">
        <f t="shared" si="43"/>
        <v>427</v>
      </c>
    </row>
    <row r="1352" spans="1:6" x14ac:dyDescent="0.55000000000000004">
      <c r="A1352">
        <v>2.558484207246827E+18</v>
      </c>
      <c r="B1352" t="s">
        <v>846</v>
      </c>
      <c r="C1352" t="s">
        <v>13</v>
      </c>
      <c r="D1352">
        <v>1160</v>
      </c>
      <c r="E1352" s="4">
        <f t="shared" si="42"/>
        <v>44410</v>
      </c>
      <c r="F1352">
        <f t="shared" si="43"/>
        <v>619</v>
      </c>
    </row>
    <row r="1353" spans="1:6" x14ac:dyDescent="0.55000000000000004">
      <c r="A1353">
        <v>1.2425575693366991E+19</v>
      </c>
      <c r="B1353" t="s">
        <v>847</v>
      </c>
      <c r="C1353" t="s">
        <v>50</v>
      </c>
      <c r="D1353">
        <v>117</v>
      </c>
      <c r="E1353" s="4">
        <f t="shared" si="42"/>
        <v>44190</v>
      </c>
      <c r="F1353">
        <f t="shared" si="43"/>
        <v>839</v>
      </c>
    </row>
    <row r="1354" spans="1:6" x14ac:dyDescent="0.55000000000000004">
      <c r="A1354">
        <v>1.784571887939184E+19</v>
      </c>
      <c r="B1354" t="s">
        <v>848</v>
      </c>
      <c r="C1354" t="s">
        <v>5</v>
      </c>
      <c r="D1354">
        <v>109</v>
      </c>
      <c r="E1354" s="4">
        <f t="shared" si="42"/>
        <v>44464</v>
      </c>
      <c r="F1354">
        <f t="shared" si="43"/>
        <v>565</v>
      </c>
    </row>
    <row r="1355" spans="1:6" x14ac:dyDescent="0.55000000000000004">
      <c r="A1355">
        <v>1.004436856264552E+19</v>
      </c>
      <c r="B1355" t="s">
        <v>849</v>
      </c>
      <c r="C1355" t="s">
        <v>5</v>
      </c>
      <c r="D1355">
        <v>2150</v>
      </c>
      <c r="E1355" s="4">
        <f t="shared" si="42"/>
        <v>44856</v>
      </c>
      <c r="F1355">
        <f t="shared" si="43"/>
        <v>173</v>
      </c>
    </row>
    <row r="1356" spans="1:6" x14ac:dyDescent="0.55000000000000004">
      <c r="A1356">
        <v>1.238916070570668E+19</v>
      </c>
      <c r="B1356" t="s">
        <v>850</v>
      </c>
      <c r="C1356" t="s">
        <v>13</v>
      </c>
      <c r="D1356">
        <v>1948</v>
      </c>
      <c r="E1356" s="4">
        <f t="shared" si="42"/>
        <v>44422</v>
      </c>
      <c r="F1356">
        <f t="shared" si="43"/>
        <v>607</v>
      </c>
    </row>
    <row r="1357" spans="1:6" x14ac:dyDescent="0.55000000000000004">
      <c r="A1357">
        <v>4.7412492185996429E+17</v>
      </c>
      <c r="B1357" t="s">
        <v>66</v>
      </c>
      <c r="C1357" t="s">
        <v>13</v>
      </c>
      <c r="D1357">
        <v>4472</v>
      </c>
      <c r="E1357" s="4">
        <f t="shared" si="42"/>
        <v>44789</v>
      </c>
      <c r="F1357">
        <f t="shared" si="43"/>
        <v>240</v>
      </c>
    </row>
    <row r="1358" spans="1:6" x14ac:dyDescent="0.55000000000000004">
      <c r="A1358">
        <v>1.3614030583383269E+19</v>
      </c>
      <c r="B1358" t="s">
        <v>671</v>
      </c>
      <c r="C1358" t="s">
        <v>7</v>
      </c>
      <c r="D1358">
        <v>129</v>
      </c>
      <c r="E1358" s="4">
        <f t="shared" si="42"/>
        <v>44719</v>
      </c>
      <c r="F1358">
        <f t="shared" si="43"/>
        <v>310</v>
      </c>
    </row>
    <row r="1359" spans="1:6" x14ac:dyDescent="0.55000000000000004">
      <c r="A1359">
        <v>1.270326170498807E+19</v>
      </c>
      <c r="B1359" t="s">
        <v>150</v>
      </c>
      <c r="C1359" t="s">
        <v>10</v>
      </c>
      <c r="D1359">
        <v>1314</v>
      </c>
      <c r="E1359" s="4">
        <f t="shared" si="42"/>
        <v>44258</v>
      </c>
      <c r="F1359">
        <f t="shared" si="43"/>
        <v>771</v>
      </c>
    </row>
    <row r="1360" spans="1:6" x14ac:dyDescent="0.55000000000000004">
      <c r="A1360">
        <v>1.646635473202792E+19</v>
      </c>
      <c r="B1360" t="s">
        <v>851</v>
      </c>
      <c r="C1360" t="s">
        <v>10</v>
      </c>
      <c r="D1360">
        <v>1084</v>
      </c>
      <c r="E1360" s="4">
        <f t="shared" si="42"/>
        <v>43873</v>
      </c>
      <c r="F1360">
        <f t="shared" si="43"/>
        <v>1156</v>
      </c>
    </row>
    <row r="1361" spans="1:6" x14ac:dyDescent="0.55000000000000004">
      <c r="A1361">
        <v>1.2294883668211849E+19</v>
      </c>
      <c r="B1361" t="s">
        <v>852</v>
      </c>
      <c r="C1361" t="s">
        <v>10</v>
      </c>
      <c r="D1361">
        <v>15714</v>
      </c>
      <c r="E1361" s="4">
        <f t="shared" si="42"/>
        <v>43789</v>
      </c>
      <c r="F1361">
        <f t="shared" si="43"/>
        <v>1240</v>
      </c>
    </row>
    <row r="1362" spans="1:6" x14ac:dyDescent="0.55000000000000004">
      <c r="A1362">
        <v>1.4613603978610659E+19</v>
      </c>
      <c r="B1362" t="s">
        <v>853</v>
      </c>
      <c r="C1362" t="s">
        <v>10</v>
      </c>
      <c r="D1362">
        <v>1490</v>
      </c>
      <c r="E1362" s="4">
        <f t="shared" si="42"/>
        <v>44664</v>
      </c>
      <c r="F1362">
        <f t="shared" si="43"/>
        <v>365</v>
      </c>
    </row>
    <row r="1363" spans="1:6" x14ac:dyDescent="0.55000000000000004">
      <c r="A1363">
        <v>1.1319362061343341E+19</v>
      </c>
      <c r="B1363" t="s">
        <v>854</v>
      </c>
      <c r="C1363" t="s">
        <v>5</v>
      </c>
      <c r="D1363">
        <v>449</v>
      </c>
      <c r="E1363" s="4">
        <f t="shared" si="42"/>
        <v>44313</v>
      </c>
      <c r="F1363">
        <f t="shared" si="43"/>
        <v>716</v>
      </c>
    </row>
    <row r="1364" spans="1:6" x14ac:dyDescent="0.55000000000000004">
      <c r="A1364">
        <v>3.480663857075008E+18</v>
      </c>
      <c r="B1364" t="s">
        <v>385</v>
      </c>
      <c r="C1364" t="s">
        <v>10</v>
      </c>
      <c r="D1364">
        <v>5091</v>
      </c>
      <c r="E1364" s="4">
        <f t="shared" si="42"/>
        <v>44765</v>
      </c>
      <c r="F1364">
        <f t="shared" si="43"/>
        <v>264</v>
      </c>
    </row>
    <row r="1365" spans="1:6" x14ac:dyDescent="0.55000000000000004">
      <c r="A1365">
        <v>1.4806822993018491E+19</v>
      </c>
      <c r="B1365" t="s">
        <v>855</v>
      </c>
      <c r="C1365" t="s">
        <v>13</v>
      </c>
      <c r="D1365">
        <v>821</v>
      </c>
      <c r="E1365" s="4">
        <f t="shared" si="42"/>
        <v>44807</v>
      </c>
      <c r="F1365">
        <f t="shared" si="43"/>
        <v>222</v>
      </c>
    </row>
    <row r="1366" spans="1:6" x14ac:dyDescent="0.55000000000000004">
      <c r="A1366">
        <v>4.1447631003015081E+18</v>
      </c>
      <c r="B1366" t="s">
        <v>856</v>
      </c>
      <c r="C1366" t="s">
        <v>13</v>
      </c>
      <c r="D1366">
        <v>3300</v>
      </c>
      <c r="E1366" s="4">
        <f t="shared" si="42"/>
        <v>43664</v>
      </c>
      <c r="F1366">
        <f t="shared" si="43"/>
        <v>1365</v>
      </c>
    </row>
    <row r="1367" spans="1:6" x14ac:dyDescent="0.55000000000000004">
      <c r="A1367">
        <v>1.0390051833668731E+19</v>
      </c>
      <c r="B1367" t="s">
        <v>535</v>
      </c>
      <c r="C1367" t="s">
        <v>13</v>
      </c>
      <c r="D1367">
        <v>3184</v>
      </c>
      <c r="E1367" s="4">
        <f t="shared" si="42"/>
        <v>44275</v>
      </c>
      <c r="F1367">
        <f t="shared" si="43"/>
        <v>754</v>
      </c>
    </row>
    <row r="1368" spans="1:6" x14ac:dyDescent="0.55000000000000004">
      <c r="A1368">
        <v>4.29177626358705E+18</v>
      </c>
      <c r="B1368" t="s">
        <v>275</v>
      </c>
      <c r="C1368" t="s">
        <v>13</v>
      </c>
      <c r="D1368">
        <v>276</v>
      </c>
      <c r="E1368" s="4">
        <f t="shared" si="42"/>
        <v>44922</v>
      </c>
      <c r="F1368">
        <f t="shared" si="43"/>
        <v>107</v>
      </c>
    </row>
    <row r="1369" spans="1:6" x14ac:dyDescent="0.55000000000000004">
      <c r="A1369">
        <v>5.4525141882851154E+18</v>
      </c>
      <c r="B1369" t="s">
        <v>672</v>
      </c>
      <c r="C1369" t="s">
        <v>10</v>
      </c>
      <c r="D1369">
        <v>900</v>
      </c>
      <c r="E1369" s="4">
        <f t="shared" si="42"/>
        <v>43897</v>
      </c>
      <c r="F1369">
        <f t="shared" si="43"/>
        <v>1132</v>
      </c>
    </row>
    <row r="1370" spans="1:6" x14ac:dyDescent="0.55000000000000004">
      <c r="A1370">
        <v>5.3973038049061745E+18</v>
      </c>
      <c r="B1370" t="s">
        <v>857</v>
      </c>
      <c r="C1370" t="s">
        <v>13</v>
      </c>
      <c r="D1370">
        <v>804216.2</v>
      </c>
      <c r="E1370" s="4">
        <f t="shared" si="42"/>
        <v>44150</v>
      </c>
      <c r="F1370">
        <f t="shared" si="43"/>
        <v>879</v>
      </c>
    </row>
    <row r="1371" spans="1:6" x14ac:dyDescent="0.55000000000000004">
      <c r="A1371">
        <v>7.2685606215086868E+18</v>
      </c>
      <c r="B1371" t="s">
        <v>678</v>
      </c>
      <c r="C1371" t="s">
        <v>13</v>
      </c>
      <c r="D1371">
        <v>1449</v>
      </c>
      <c r="E1371" s="4">
        <f t="shared" si="42"/>
        <v>44731</v>
      </c>
      <c r="F1371">
        <f t="shared" si="43"/>
        <v>298</v>
      </c>
    </row>
    <row r="1372" spans="1:6" x14ac:dyDescent="0.55000000000000004">
      <c r="A1372">
        <v>1.234620301174427E+19</v>
      </c>
      <c r="B1372" t="s">
        <v>762</v>
      </c>
      <c r="C1372" t="s">
        <v>10</v>
      </c>
      <c r="D1372">
        <v>269</v>
      </c>
      <c r="E1372" s="4">
        <f t="shared" si="42"/>
        <v>44385</v>
      </c>
      <c r="F1372">
        <f t="shared" si="43"/>
        <v>644</v>
      </c>
    </row>
    <row r="1373" spans="1:6" x14ac:dyDescent="0.55000000000000004">
      <c r="A1373">
        <v>1.7418151020740131E+19</v>
      </c>
      <c r="B1373" t="s">
        <v>314</v>
      </c>
      <c r="C1373" t="s">
        <v>13</v>
      </c>
      <c r="D1373">
        <v>1242</v>
      </c>
      <c r="E1373" s="4">
        <f t="shared" si="42"/>
        <v>44687</v>
      </c>
      <c r="F1373">
        <f t="shared" si="43"/>
        <v>342</v>
      </c>
    </row>
    <row r="1374" spans="1:6" x14ac:dyDescent="0.55000000000000004">
      <c r="A1374">
        <v>4.850517775836585E+18</v>
      </c>
      <c r="B1374" t="s">
        <v>858</v>
      </c>
      <c r="C1374" t="s">
        <v>10</v>
      </c>
      <c r="D1374">
        <v>183</v>
      </c>
      <c r="E1374" s="4">
        <f t="shared" si="42"/>
        <v>44714</v>
      </c>
      <c r="F1374">
        <f t="shared" si="43"/>
        <v>315</v>
      </c>
    </row>
    <row r="1375" spans="1:6" x14ac:dyDescent="0.55000000000000004">
      <c r="A1375">
        <v>6.1701038095527096E+18</v>
      </c>
      <c r="B1375" t="s">
        <v>859</v>
      </c>
      <c r="C1375" t="s">
        <v>26</v>
      </c>
      <c r="D1375">
        <v>726</v>
      </c>
      <c r="E1375" s="4">
        <f t="shared" si="42"/>
        <v>44874</v>
      </c>
      <c r="F1375">
        <f t="shared" si="43"/>
        <v>155</v>
      </c>
    </row>
    <row r="1376" spans="1:6" x14ac:dyDescent="0.55000000000000004">
      <c r="A1376">
        <v>7.0152092503222774E+18</v>
      </c>
      <c r="B1376" t="s">
        <v>107</v>
      </c>
      <c r="C1376" t="s">
        <v>10</v>
      </c>
      <c r="D1376">
        <v>1404</v>
      </c>
      <c r="E1376" s="4">
        <f t="shared" si="42"/>
        <v>45019</v>
      </c>
      <c r="F1376">
        <f t="shared" si="43"/>
        <v>10</v>
      </c>
    </row>
    <row r="1377" spans="1:6" x14ac:dyDescent="0.55000000000000004">
      <c r="A1377">
        <v>8.864182973289599E+18</v>
      </c>
      <c r="B1377" t="s">
        <v>806</v>
      </c>
      <c r="C1377" t="s">
        <v>7</v>
      </c>
      <c r="D1377">
        <v>151</v>
      </c>
      <c r="E1377" s="4">
        <f t="shared" si="42"/>
        <v>44540</v>
      </c>
      <c r="F1377">
        <f t="shared" si="43"/>
        <v>489</v>
      </c>
    </row>
    <row r="1378" spans="1:6" x14ac:dyDescent="0.55000000000000004">
      <c r="A1378">
        <v>7.9630113413524603E+18</v>
      </c>
      <c r="B1378" t="s">
        <v>860</v>
      </c>
      <c r="C1378" t="s">
        <v>10</v>
      </c>
      <c r="D1378">
        <v>402</v>
      </c>
      <c r="E1378" s="4">
        <f t="shared" si="42"/>
        <v>43899</v>
      </c>
      <c r="F1378">
        <f t="shared" si="43"/>
        <v>1130</v>
      </c>
    </row>
    <row r="1379" spans="1:6" x14ac:dyDescent="0.55000000000000004">
      <c r="A1379">
        <v>3.0682120085675418E+18</v>
      </c>
      <c r="B1379" t="s">
        <v>715</v>
      </c>
      <c r="C1379" t="s">
        <v>10</v>
      </c>
      <c r="D1379">
        <v>870</v>
      </c>
      <c r="E1379" s="4">
        <f t="shared" si="42"/>
        <v>43826</v>
      </c>
      <c r="F1379">
        <f t="shared" si="43"/>
        <v>1203</v>
      </c>
    </row>
    <row r="1380" spans="1:6" x14ac:dyDescent="0.55000000000000004">
      <c r="A1380">
        <v>1.830235197192389E+19</v>
      </c>
      <c r="B1380" t="s">
        <v>240</v>
      </c>
      <c r="C1380" t="s">
        <v>10</v>
      </c>
      <c r="D1380">
        <v>710</v>
      </c>
      <c r="E1380" s="4">
        <f t="shared" si="42"/>
        <v>44678</v>
      </c>
      <c r="F1380">
        <f t="shared" si="43"/>
        <v>351</v>
      </c>
    </row>
    <row r="1381" spans="1:6" x14ac:dyDescent="0.55000000000000004">
      <c r="A1381">
        <v>1.6808117805538869E+19</v>
      </c>
      <c r="B1381" t="s">
        <v>459</v>
      </c>
      <c r="C1381" t="s">
        <v>10</v>
      </c>
      <c r="D1381">
        <v>475</v>
      </c>
      <c r="E1381" s="4">
        <f t="shared" si="42"/>
        <v>43876</v>
      </c>
      <c r="F1381">
        <f t="shared" si="43"/>
        <v>1153</v>
      </c>
    </row>
    <row r="1382" spans="1:6" x14ac:dyDescent="0.55000000000000004">
      <c r="A1382">
        <v>1.211195581225029E+19</v>
      </c>
      <c r="B1382" t="s">
        <v>364</v>
      </c>
      <c r="C1382" t="s">
        <v>13</v>
      </c>
      <c r="D1382">
        <v>1032</v>
      </c>
      <c r="E1382" s="4">
        <f t="shared" si="42"/>
        <v>44668</v>
      </c>
      <c r="F1382">
        <f t="shared" si="43"/>
        <v>361</v>
      </c>
    </row>
    <row r="1383" spans="1:6" x14ac:dyDescent="0.55000000000000004">
      <c r="A1383">
        <v>1.345861267394763E+19</v>
      </c>
      <c r="B1383" t="s">
        <v>861</v>
      </c>
      <c r="C1383" t="s">
        <v>13</v>
      </c>
      <c r="D1383">
        <v>547</v>
      </c>
      <c r="E1383" s="4">
        <f t="shared" si="42"/>
        <v>44686</v>
      </c>
      <c r="F1383">
        <f t="shared" si="43"/>
        <v>343</v>
      </c>
    </row>
    <row r="1384" spans="1:6" x14ac:dyDescent="0.55000000000000004">
      <c r="A1384">
        <v>1.3195827660689961E+19</v>
      </c>
      <c r="B1384" t="s">
        <v>862</v>
      </c>
      <c r="C1384" t="s">
        <v>46</v>
      </c>
      <c r="D1384">
        <v>572</v>
      </c>
      <c r="E1384" s="4">
        <f t="shared" si="42"/>
        <v>44394</v>
      </c>
      <c r="F1384">
        <f t="shared" si="43"/>
        <v>635</v>
      </c>
    </row>
    <row r="1385" spans="1:6" x14ac:dyDescent="0.55000000000000004">
      <c r="A1385">
        <v>3.4691662447143552E+18</v>
      </c>
      <c r="B1385" t="s">
        <v>863</v>
      </c>
      <c r="C1385" t="s">
        <v>10</v>
      </c>
      <c r="D1385">
        <v>1448</v>
      </c>
      <c r="E1385" s="4">
        <f t="shared" si="42"/>
        <v>44881</v>
      </c>
      <c r="F1385">
        <f t="shared" si="43"/>
        <v>148</v>
      </c>
    </row>
    <row r="1386" spans="1:6" x14ac:dyDescent="0.55000000000000004">
      <c r="A1386">
        <v>1.2356092702888061E+19</v>
      </c>
      <c r="B1386" t="s">
        <v>864</v>
      </c>
      <c r="C1386" t="s">
        <v>13</v>
      </c>
      <c r="D1386">
        <v>7003</v>
      </c>
      <c r="E1386" s="4">
        <f t="shared" si="42"/>
        <v>44401</v>
      </c>
      <c r="F1386">
        <f t="shared" si="43"/>
        <v>628</v>
      </c>
    </row>
    <row r="1387" spans="1:6" x14ac:dyDescent="0.55000000000000004">
      <c r="A1387">
        <v>1.479679806587535E+19</v>
      </c>
      <c r="B1387" t="s">
        <v>865</v>
      </c>
      <c r="C1387" t="s">
        <v>10</v>
      </c>
      <c r="D1387">
        <v>435</v>
      </c>
      <c r="E1387" s="4">
        <f t="shared" si="42"/>
        <v>44011</v>
      </c>
      <c r="F1387">
        <f t="shared" si="43"/>
        <v>1018</v>
      </c>
    </row>
    <row r="1388" spans="1:6" x14ac:dyDescent="0.55000000000000004">
      <c r="A1388">
        <v>2.350766272328E+18</v>
      </c>
      <c r="B1388" t="s">
        <v>866</v>
      </c>
      <c r="C1388" t="s">
        <v>50</v>
      </c>
      <c r="D1388">
        <v>97</v>
      </c>
      <c r="E1388" s="4">
        <f t="shared" si="42"/>
        <v>44862</v>
      </c>
      <c r="F1388">
        <f t="shared" si="43"/>
        <v>167</v>
      </c>
    </row>
    <row r="1389" spans="1:6" x14ac:dyDescent="0.55000000000000004">
      <c r="A1389">
        <v>1.647551731788708E+19</v>
      </c>
      <c r="B1389" t="s">
        <v>593</v>
      </c>
      <c r="C1389" t="s">
        <v>26</v>
      </c>
      <c r="D1389">
        <v>565</v>
      </c>
      <c r="E1389" s="4">
        <f t="shared" si="42"/>
        <v>44500</v>
      </c>
      <c r="F1389">
        <f t="shared" si="43"/>
        <v>529</v>
      </c>
    </row>
    <row r="1390" spans="1:6" x14ac:dyDescent="0.55000000000000004">
      <c r="A1390">
        <v>4.0018623992861558E+18</v>
      </c>
      <c r="B1390" t="s">
        <v>867</v>
      </c>
      <c r="C1390" t="s">
        <v>10</v>
      </c>
      <c r="D1390">
        <v>3139</v>
      </c>
      <c r="E1390" s="4">
        <f t="shared" si="42"/>
        <v>44417</v>
      </c>
      <c r="F1390">
        <f t="shared" si="43"/>
        <v>612</v>
      </c>
    </row>
    <row r="1391" spans="1:6" x14ac:dyDescent="0.55000000000000004">
      <c r="A1391">
        <v>1.80353009413986E+19</v>
      </c>
      <c r="B1391" t="s">
        <v>293</v>
      </c>
      <c r="C1391" t="s">
        <v>10</v>
      </c>
      <c r="D1391">
        <v>2793</v>
      </c>
      <c r="E1391" s="4">
        <f t="shared" si="42"/>
        <v>44598</v>
      </c>
      <c r="F1391">
        <f t="shared" si="43"/>
        <v>431</v>
      </c>
    </row>
    <row r="1392" spans="1:6" x14ac:dyDescent="0.55000000000000004">
      <c r="A1392">
        <v>7.1727134401660109E+18</v>
      </c>
      <c r="B1392" t="s">
        <v>233</v>
      </c>
      <c r="C1392" t="s">
        <v>7</v>
      </c>
      <c r="D1392">
        <v>482</v>
      </c>
      <c r="E1392" s="4">
        <f t="shared" si="42"/>
        <v>43914</v>
      </c>
      <c r="F1392">
        <f t="shared" si="43"/>
        <v>1115</v>
      </c>
    </row>
    <row r="1393" spans="1:6" x14ac:dyDescent="0.55000000000000004">
      <c r="A1393">
        <v>1.4545690347344841E+19</v>
      </c>
      <c r="B1393" t="s">
        <v>595</v>
      </c>
      <c r="C1393" t="s">
        <v>10</v>
      </c>
      <c r="D1393">
        <v>1170</v>
      </c>
      <c r="E1393" s="4">
        <f t="shared" si="42"/>
        <v>44969</v>
      </c>
      <c r="F1393">
        <f t="shared" si="43"/>
        <v>60</v>
      </c>
    </row>
    <row r="1394" spans="1:6" x14ac:dyDescent="0.55000000000000004">
      <c r="A1394">
        <v>4.2618102748152248E+18</v>
      </c>
      <c r="B1394" t="s">
        <v>647</v>
      </c>
      <c r="C1394" t="s">
        <v>10</v>
      </c>
      <c r="D1394">
        <v>579</v>
      </c>
      <c r="E1394" s="4">
        <f t="shared" si="42"/>
        <v>44920</v>
      </c>
      <c r="F1394">
        <f t="shared" si="43"/>
        <v>109</v>
      </c>
    </row>
    <row r="1395" spans="1:6" x14ac:dyDescent="0.55000000000000004">
      <c r="A1395">
        <v>1.1774399960171579E+18</v>
      </c>
      <c r="B1395" t="s">
        <v>627</v>
      </c>
      <c r="C1395" t="s">
        <v>10</v>
      </c>
      <c r="D1395">
        <v>796</v>
      </c>
      <c r="E1395" s="4">
        <f t="shared" si="42"/>
        <v>44810</v>
      </c>
      <c r="F1395">
        <f t="shared" si="43"/>
        <v>219</v>
      </c>
    </row>
    <row r="1396" spans="1:6" x14ac:dyDescent="0.55000000000000004">
      <c r="A1396">
        <v>7.7927665970016543E+18</v>
      </c>
      <c r="B1396" t="s">
        <v>610</v>
      </c>
      <c r="C1396" t="s">
        <v>13</v>
      </c>
      <c r="D1396">
        <v>597</v>
      </c>
      <c r="E1396" s="4">
        <f t="shared" si="42"/>
        <v>44484</v>
      </c>
      <c r="F1396">
        <f t="shared" si="43"/>
        <v>545</v>
      </c>
    </row>
    <row r="1397" spans="1:6" x14ac:dyDescent="0.55000000000000004">
      <c r="A1397">
        <v>1.0248370963254919E+19</v>
      </c>
      <c r="B1397" t="s">
        <v>792</v>
      </c>
      <c r="C1397" t="s">
        <v>26</v>
      </c>
      <c r="D1397">
        <v>389</v>
      </c>
      <c r="E1397" s="4">
        <f t="shared" si="42"/>
        <v>44325</v>
      </c>
      <c r="F1397">
        <f t="shared" si="43"/>
        <v>704</v>
      </c>
    </row>
    <row r="1398" spans="1:6" x14ac:dyDescent="0.55000000000000004">
      <c r="A1398">
        <v>6.633261323295703E+18</v>
      </c>
      <c r="B1398" t="s">
        <v>833</v>
      </c>
      <c r="C1398" t="s">
        <v>13</v>
      </c>
      <c r="D1398">
        <v>1001</v>
      </c>
      <c r="E1398" s="4">
        <f t="shared" si="42"/>
        <v>44865</v>
      </c>
      <c r="F1398">
        <f t="shared" si="43"/>
        <v>164</v>
      </c>
    </row>
    <row r="1399" spans="1:6" x14ac:dyDescent="0.55000000000000004">
      <c r="A1399">
        <v>5.3973038049061745E+18</v>
      </c>
      <c r="B1399" t="s">
        <v>868</v>
      </c>
      <c r="C1399" t="s">
        <v>13</v>
      </c>
      <c r="D1399">
        <v>1792407.54</v>
      </c>
      <c r="E1399" s="4">
        <f t="shared" si="42"/>
        <v>42914</v>
      </c>
      <c r="F1399">
        <f t="shared" si="43"/>
        <v>2115</v>
      </c>
    </row>
    <row r="1400" spans="1:6" x14ac:dyDescent="0.55000000000000004">
      <c r="A1400">
        <v>1.650922240021025E+19</v>
      </c>
      <c r="B1400" t="s">
        <v>869</v>
      </c>
      <c r="C1400" t="s">
        <v>13</v>
      </c>
      <c r="D1400">
        <v>1563</v>
      </c>
      <c r="E1400" s="4">
        <f t="shared" si="42"/>
        <v>44973</v>
      </c>
      <c r="F1400">
        <f t="shared" si="43"/>
        <v>56</v>
      </c>
    </row>
    <row r="1401" spans="1:6" x14ac:dyDescent="0.55000000000000004">
      <c r="A1401">
        <v>1.474417025059576E+19</v>
      </c>
      <c r="B1401" t="s">
        <v>870</v>
      </c>
      <c r="C1401" t="s">
        <v>10</v>
      </c>
      <c r="D1401">
        <v>413</v>
      </c>
      <c r="E1401" s="4">
        <f t="shared" si="42"/>
        <v>44062</v>
      </c>
      <c r="F1401">
        <f t="shared" si="43"/>
        <v>967</v>
      </c>
    </row>
    <row r="1402" spans="1:6" x14ac:dyDescent="0.55000000000000004">
      <c r="A1402">
        <v>3.0577265044639652E+18</v>
      </c>
      <c r="B1402" t="s">
        <v>871</v>
      </c>
      <c r="C1402" t="s">
        <v>5</v>
      </c>
      <c r="D1402">
        <v>654</v>
      </c>
      <c r="E1402" s="4">
        <f t="shared" si="42"/>
        <v>44492</v>
      </c>
      <c r="F1402">
        <f t="shared" si="43"/>
        <v>537</v>
      </c>
    </row>
    <row r="1403" spans="1:6" x14ac:dyDescent="0.55000000000000004">
      <c r="A1403">
        <v>4.8701968054532291E+18</v>
      </c>
      <c r="B1403" t="s">
        <v>596</v>
      </c>
      <c r="C1403" t="s">
        <v>13</v>
      </c>
      <c r="D1403">
        <v>1340</v>
      </c>
      <c r="E1403" s="4">
        <f t="shared" si="42"/>
        <v>44529</v>
      </c>
      <c r="F1403">
        <f t="shared" si="43"/>
        <v>500</v>
      </c>
    </row>
    <row r="1404" spans="1:6" x14ac:dyDescent="0.55000000000000004">
      <c r="A1404">
        <v>3.3563322919753088E+18</v>
      </c>
      <c r="B1404" t="s">
        <v>374</v>
      </c>
      <c r="C1404" t="s">
        <v>10</v>
      </c>
      <c r="D1404">
        <v>110</v>
      </c>
      <c r="E1404" s="4">
        <f t="shared" si="42"/>
        <v>44610</v>
      </c>
      <c r="F1404">
        <f t="shared" si="43"/>
        <v>419</v>
      </c>
    </row>
    <row r="1405" spans="1:6" x14ac:dyDescent="0.55000000000000004">
      <c r="A1405">
        <v>9.4805907407423304E+18</v>
      </c>
      <c r="B1405" t="s">
        <v>872</v>
      </c>
      <c r="C1405" t="s">
        <v>13</v>
      </c>
      <c r="D1405">
        <v>1015</v>
      </c>
      <c r="E1405" s="4">
        <f t="shared" si="42"/>
        <v>43845</v>
      </c>
      <c r="F1405">
        <f t="shared" si="43"/>
        <v>1184</v>
      </c>
    </row>
    <row r="1406" spans="1:6" x14ac:dyDescent="0.55000000000000004">
      <c r="A1406">
        <v>8.934561437004929E+18</v>
      </c>
      <c r="B1406" t="s">
        <v>390</v>
      </c>
      <c r="C1406" t="s">
        <v>10</v>
      </c>
      <c r="D1406">
        <v>1125</v>
      </c>
      <c r="E1406" s="4">
        <f t="shared" si="42"/>
        <v>44885</v>
      </c>
      <c r="F1406">
        <f t="shared" si="43"/>
        <v>144</v>
      </c>
    </row>
    <row r="1407" spans="1:6" x14ac:dyDescent="0.55000000000000004">
      <c r="A1407">
        <v>1.2405799779277251E+19</v>
      </c>
      <c r="B1407" t="s">
        <v>125</v>
      </c>
      <c r="C1407" t="s">
        <v>13</v>
      </c>
      <c r="D1407">
        <v>4490</v>
      </c>
      <c r="E1407" s="4">
        <f t="shared" si="42"/>
        <v>44316</v>
      </c>
      <c r="F1407">
        <f t="shared" si="43"/>
        <v>713</v>
      </c>
    </row>
    <row r="1408" spans="1:6" x14ac:dyDescent="0.55000000000000004">
      <c r="A1408">
        <v>1.4399118701500129E+19</v>
      </c>
      <c r="B1408" t="s">
        <v>827</v>
      </c>
      <c r="C1408" t="s">
        <v>10</v>
      </c>
      <c r="D1408">
        <v>1657</v>
      </c>
      <c r="E1408" s="4">
        <f t="shared" si="42"/>
        <v>43960</v>
      </c>
      <c r="F1408">
        <f t="shared" si="43"/>
        <v>1069</v>
      </c>
    </row>
    <row r="1409" spans="1:6" x14ac:dyDescent="0.55000000000000004">
      <c r="A1409">
        <v>1.262782042322577E+17</v>
      </c>
      <c r="B1409" t="s">
        <v>783</v>
      </c>
      <c r="C1409" t="s">
        <v>10</v>
      </c>
      <c r="D1409">
        <v>2153</v>
      </c>
      <c r="E1409" s="4">
        <f t="shared" si="42"/>
        <v>44986</v>
      </c>
      <c r="F1409">
        <f t="shared" si="43"/>
        <v>43</v>
      </c>
    </row>
    <row r="1410" spans="1:6" x14ac:dyDescent="0.55000000000000004">
      <c r="A1410">
        <v>6.0647484128367104E+18</v>
      </c>
      <c r="B1410" t="s">
        <v>45</v>
      </c>
      <c r="C1410" t="s">
        <v>10</v>
      </c>
      <c r="D1410">
        <v>1399</v>
      </c>
      <c r="E1410" s="4">
        <f t="shared" si="42"/>
        <v>44331</v>
      </c>
      <c r="F1410">
        <f t="shared" si="43"/>
        <v>698</v>
      </c>
    </row>
    <row r="1411" spans="1:6" x14ac:dyDescent="0.55000000000000004">
      <c r="A1411">
        <v>3.746593368969024E+18</v>
      </c>
      <c r="B1411" t="s">
        <v>58</v>
      </c>
      <c r="C1411" t="s">
        <v>26</v>
      </c>
      <c r="D1411">
        <v>155</v>
      </c>
      <c r="E1411" s="4">
        <f t="shared" ref="E1411:E1474" si="44">DATEVALUE(B1411)</f>
        <v>44381</v>
      </c>
      <c r="F1411">
        <f t="shared" ref="F1411:F1474" si="45">$H$1-E1411</f>
        <v>648</v>
      </c>
    </row>
    <row r="1412" spans="1:6" x14ac:dyDescent="0.55000000000000004">
      <c r="A1412">
        <v>1.13681671892592E+18</v>
      </c>
      <c r="B1412" t="s">
        <v>383</v>
      </c>
      <c r="C1412" t="s">
        <v>7</v>
      </c>
      <c r="D1412">
        <v>58</v>
      </c>
      <c r="E1412" s="4">
        <f t="shared" si="44"/>
        <v>44087</v>
      </c>
      <c r="F1412">
        <f t="shared" si="45"/>
        <v>942</v>
      </c>
    </row>
    <row r="1413" spans="1:6" x14ac:dyDescent="0.55000000000000004">
      <c r="A1413">
        <v>6.1057971100813087E+18</v>
      </c>
      <c r="B1413" t="s">
        <v>873</v>
      </c>
      <c r="C1413" t="s">
        <v>7</v>
      </c>
      <c r="D1413">
        <v>642</v>
      </c>
      <c r="E1413" s="4">
        <f t="shared" si="44"/>
        <v>44127</v>
      </c>
      <c r="F1413">
        <f t="shared" si="45"/>
        <v>902</v>
      </c>
    </row>
    <row r="1414" spans="1:6" x14ac:dyDescent="0.55000000000000004">
      <c r="A1414">
        <v>1.2808864611926041E+19</v>
      </c>
      <c r="B1414" t="s">
        <v>81</v>
      </c>
      <c r="C1414" t="s">
        <v>26</v>
      </c>
      <c r="D1414">
        <v>817</v>
      </c>
      <c r="E1414" s="4">
        <f t="shared" si="44"/>
        <v>44086</v>
      </c>
      <c r="F1414">
        <f t="shared" si="45"/>
        <v>943</v>
      </c>
    </row>
    <row r="1415" spans="1:6" x14ac:dyDescent="0.55000000000000004">
      <c r="A1415">
        <v>1.706242839478902E+19</v>
      </c>
      <c r="B1415" t="s">
        <v>858</v>
      </c>
      <c r="C1415" t="s">
        <v>5</v>
      </c>
      <c r="D1415">
        <v>1048</v>
      </c>
      <c r="E1415" s="4">
        <f t="shared" si="44"/>
        <v>44714</v>
      </c>
      <c r="F1415">
        <f t="shared" si="45"/>
        <v>315</v>
      </c>
    </row>
    <row r="1416" spans="1:6" x14ac:dyDescent="0.55000000000000004">
      <c r="A1416">
        <v>7.5196572512331551E+18</v>
      </c>
      <c r="B1416" t="s">
        <v>544</v>
      </c>
      <c r="C1416" t="s">
        <v>13</v>
      </c>
      <c r="D1416">
        <v>701</v>
      </c>
      <c r="E1416" s="4">
        <f t="shared" si="44"/>
        <v>44217</v>
      </c>
      <c r="F1416">
        <f t="shared" si="45"/>
        <v>812</v>
      </c>
    </row>
    <row r="1417" spans="1:6" x14ac:dyDescent="0.55000000000000004">
      <c r="A1417">
        <v>1.6500053159019121E+19</v>
      </c>
      <c r="B1417" t="s">
        <v>874</v>
      </c>
      <c r="C1417" t="s">
        <v>10</v>
      </c>
      <c r="D1417">
        <v>2690</v>
      </c>
      <c r="E1417" s="4">
        <f t="shared" si="44"/>
        <v>44961</v>
      </c>
      <c r="F1417">
        <f t="shared" si="45"/>
        <v>68</v>
      </c>
    </row>
    <row r="1418" spans="1:6" x14ac:dyDescent="0.55000000000000004">
      <c r="A1418">
        <v>7.623556224936533E+18</v>
      </c>
      <c r="B1418" t="s">
        <v>875</v>
      </c>
      <c r="C1418" t="s">
        <v>46</v>
      </c>
      <c r="D1418">
        <v>242</v>
      </c>
      <c r="E1418" s="4">
        <f t="shared" si="44"/>
        <v>44486</v>
      </c>
      <c r="F1418">
        <f t="shared" si="45"/>
        <v>543</v>
      </c>
    </row>
    <row r="1419" spans="1:6" x14ac:dyDescent="0.55000000000000004">
      <c r="A1419">
        <v>1.7016907167677581E+18</v>
      </c>
      <c r="B1419" t="s">
        <v>547</v>
      </c>
      <c r="C1419" t="s">
        <v>13</v>
      </c>
      <c r="D1419">
        <v>484</v>
      </c>
      <c r="E1419" s="4">
        <f t="shared" si="44"/>
        <v>44618</v>
      </c>
      <c r="F1419">
        <f t="shared" si="45"/>
        <v>411</v>
      </c>
    </row>
    <row r="1420" spans="1:6" x14ac:dyDescent="0.55000000000000004">
      <c r="A1420">
        <v>1.3594245574007099E+19</v>
      </c>
      <c r="B1420" t="s">
        <v>697</v>
      </c>
      <c r="C1420" t="s">
        <v>5</v>
      </c>
      <c r="D1420">
        <v>990</v>
      </c>
      <c r="E1420" s="4">
        <f t="shared" si="44"/>
        <v>44584</v>
      </c>
      <c r="F1420">
        <f t="shared" si="45"/>
        <v>445</v>
      </c>
    </row>
    <row r="1421" spans="1:6" x14ac:dyDescent="0.55000000000000004">
      <c r="A1421">
        <v>9.4199328702490051E+18</v>
      </c>
      <c r="B1421" t="s">
        <v>876</v>
      </c>
      <c r="C1421" t="s">
        <v>7</v>
      </c>
      <c r="D1421">
        <v>25</v>
      </c>
      <c r="E1421" s="4">
        <f t="shared" si="44"/>
        <v>44573</v>
      </c>
      <c r="F1421">
        <f t="shared" si="45"/>
        <v>456</v>
      </c>
    </row>
    <row r="1422" spans="1:6" x14ac:dyDescent="0.55000000000000004">
      <c r="A1422">
        <v>8.9006622298564833E+18</v>
      </c>
      <c r="B1422" t="s">
        <v>729</v>
      </c>
      <c r="C1422" t="s">
        <v>7</v>
      </c>
      <c r="D1422">
        <v>249</v>
      </c>
      <c r="E1422" s="4">
        <f t="shared" si="44"/>
        <v>44228</v>
      </c>
      <c r="F1422">
        <f t="shared" si="45"/>
        <v>801</v>
      </c>
    </row>
    <row r="1423" spans="1:6" x14ac:dyDescent="0.55000000000000004">
      <c r="A1423">
        <v>9.0899097415313111E+18</v>
      </c>
      <c r="B1423" t="s">
        <v>195</v>
      </c>
      <c r="C1423" t="s">
        <v>13</v>
      </c>
      <c r="D1423">
        <v>1595</v>
      </c>
      <c r="E1423" s="4">
        <f t="shared" si="44"/>
        <v>44640</v>
      </c>
      <c r="F1423">
        <f t="shared" si="45"/>
        <v>389</v>
      </c>
    </row>
    <row r="1424" spans="1:6" x14ac:dyDescent="0.55000000000000004">
      <c r="A1424">
        <v>1.266730028235143E+19</v>
      </c>
      <c r="B1424" t="s">
        <v>110</v>
      </c>
      <c r="C1424" t="s">
        <v>10</v>
      </c>
      <c r="D1424">
        <v>2075</v>
      </c>
      <c r="E1424" s="4">
        <f t="shared" si="44"/>
        <v>44210</v>
      </c>
      <c r="F1424">
        <f t="shared" si="45"/>
        <v>819</v>
      </c>
    </row>
    <row r="1425" spans="1:6" x14ac:dyDescent="0.55000000000000004">
      <c r="A1425">
        <v>6.9166335837545892E+18</v>
      </c>
      <c r="B1425" t="s">
        <v>230</v>
      </c>
      <c r="C1425" t="s">
        <v>10</v>
      </c>
      <c r="D1425">
        <v>320</v>
      </c>
      <c r="E1425" s="4">
        <f t="shared" si="44"/>
        <v>44252</v>
      </c>
      <c r="F1425">
        <f t="shared" si="45"/>
        <v>777</v>
      </c>
    </row>
    <row r="1426" spans="1:6" x14ac:dyDescent="0.55000000000000004">
      <c r="A1426">
        <v>1.729483180093397E+18</v>
      </c>
      <c r="B1426" t="s">
        <v>809</v>
      </c>
      <c r="C1426" t="s">
        <v>7</v>
      </c>
      <c r="D1426">
        <v>304</v>
      </c>
      <c r="E1426" s="4">
        <f t="shared" si="44"/>
        <v>43764</v>
      </c>
      <c r="F1426">
        <f t="shared" si="45"/>
        <v>1265</v>
      </c>
    </row>
    <row r="1427" spans="1:6" x14ac:dyDescent="0.55000000000000004">
      <c r="A1427">
        <v>1.4613603978610659E+19</v>
      </c>
      <c r="B1427" t="s">
        <v>641</v>
      </c>
      <c r="C1427" t="s">
        <v>46</v>
      </c>
      <c r="D1427">
        <v>330</v>
      </c>
      <c r="E1427" s="4">
        <f t="shared" si="44"/>
        <v>44634</v>
      </c>
      <c r="F1427">
        <f t="shared" si="45"/>
        <v>395</v>
      </c>
    </row>
    <row r="1428" spans="1:6" x14ac:dyDescent="0.55000000000000004">
      <c r="A1428">
        <v>5.8825871455281633E+18</v>
      </c>
      <c r="B1428" t="s">
        <v>877</v>
      </c>
      <c r="C1428" t="s">
        <v>10</v>
      </c>
      <c r="D1428">
        <v>2541</v>
      </c>
      <c r="E1428" s="4">
        <f t="shared" si="44"/>
        <v>44796</v>
      </c>
      <c r="F1428">
        <f t="shared" si="45"/>
        <v>233</v>
      </c>
    </row>
    <row r="1429" spans="1:6" x14ac:dyDescent="0.55000000000000004">
      <c r="A1429">
        <v>3.746593368969024E+18</v>
      </c>
      <c r="B1429" t="s">
        <v>563</v>
      </c>
      <c r="C1429" t="s">
        <v>7</v>
      </c>
      <c r="D1429">
        <v>152</v>
      </c>
      <c r="E1429" s="4">
        <f t="shared" si="44"/>
        <v>43816</v>
      </c>
      <c r="F1429">
        <f t="shared" si="45"/>
        <v>1213</v>
      </c>
    </row>
    <row r="1430" spans="1:6" x14ac:dyDescent="0.55000000000000004">
      <c r="A1430">
        <v>4.9500099252429445E+18</v>
      </c>
      <c r="B1430" t="s">
        <v>878</v>
      </c>
      <c r="C1430" t="s">
        <v>5</v>
      </c>
      <c r="D1430">
        <v>770</v>
      </c>
      <c r="E1430" s="4">
        <f t="shared" si="44"/>
        <v>44880</v>
      </c>
      <c r="F1430">
        <f t="shared" si="45"/>
        <v>149</v>
      </c>
    </row>
    <row r="1431" spans="1:6" x14ac:dyDescent="0.55000000000000004">
      <c r="A1431">
        <v>1.640784717446102E+19</v>
      </c>
      <c r="B1431" t="s">
        <v>338</v>
      </c>
      <c r="C1431" t="s">
        <v>46</v>
      </c>
      <c r="D1431">
        <v>317</v>
      </c>
      <c r="E1431" s="4">
        <f t="shared" si="44"/>
        <v>43853</v>
      </c>
      <c r="F1431">
        <f t="shared" si="45"/>
        <v>1176</v>
      </c>
    </row>
    <row r="1432" spans="1:6" x14ac:dyDescent="0.55000000000000004">
      <c r="A1432">
        <v>5.6630641825212416E+18</v>
      </c>
      <c r="B1432" t="s">
        <v>343</v>
      </c>
      <c r="C1432" t="s">
        <v>13</v>
      </c>
      <c r="D1432">
        <v>1333</v>
      </c>
      <c r="E1432" s="4">
        <f t="shared" si="44"/>
        <v>44297</v>
      </c>
      <c r="F1432">
        <f t="shared" si="45"/>
        <v>732</v>
      </c>
    </row>
    <row r="1433" spans="1:6" x14ac:dyDescent="0.55000000000000004">
      <c r="A1433">
        <v>1.5564916972621199E+19</v>
      </c>
      <c r="B1433" t="s">
        <v>38</v>
      </c>
      <c r="C1433" t="s">
        <v>13</v>
      </c>
      <c r="D1433">
        <v>349</v>
      </c>
      <c r="E1433" s="4">
        <f t="shared" si="44"/>
        <v>44541</v>
      </c>
      <c r="F1433">
        <f t="shared" si="45"/>
        <v>488</v>
      </c>
    </row>
    <row r="1434" spans="1:6" x14ac:dyDescent="0.55000000000000004">
      <c r="A1434">
        <v>7.7545241007708902E+17</v>
      </c>
      <c r="B1434" t="s">
        <v>615</v>
      </c>
      <c r="C1434" t="s">
        <v>10</v>
      </c>
      <c r="D1434">
        <v>342</v>
      </c>
      <c r="E1434" s="4">
        <f t="shared" si="44"/>
        <v>44051</v>
      </c>
      <c r="F1434">
        <f t="shared" si="45"/>
        <v>978</v>
      </c>
    </row>
    <row r="1435" spans="1:6" x14ac:dyDescent="0.55000000000000004">
      <c r="A1435">
        <v>1.2350054782657731E+19</v>
      </c>
      <c r="B1435" t="s">
        <v>445</v>
      </c>
      <c r="C1435" t="s">
        <v>13</v>
      </c>
      <c r="D1435">
        <v>661</v>
      </c>
      <c r="E1435" s="4">
        <f t="shared" si="44"/>
        <v>44070</v>
      </c>
      <c r="F1435">
        <f t="shared" si="45"/>
        <v>959</v>
      </c>
    </row>
    <row r="1436" spans="1:6" x14ac:dyDescent="0.55000000000000004">
      <c r="A1436">
        <v>5.3973038049061745E+18</v>
      </c>
      <c r="B1436" t="s">
        <v>879</v>
      </c>
      <c r="C1436" t="s">
        <v>50</v>
      </c>
      <c r="D1436">
        <v>729</v>
      </c>
      <c r="E1436" s="4">
        <f t="shared" si="44"/>
        <v>43950</v>
      </c>
      <c r="F1436">
        <f t="shared" si="45"/>
        <v>1079</v>
      </c>
    </row>
    <row r="1437" spans="1:6" x14ac:dyDescent="0.55000000000000004">
      <c r="A1437">
        <v>1.732389790384988E+19</v>
      </c>
      <c r="B1437" t="s">
        <v>447</v>
      </c>
      <c r="C1437" t="s">
        <v>7</v>
      </c>
      <c r="D1437">
        <v>318</v>
      </c>
      <c r="E1437" s="4">
        <f t="shared" si="44"/>
        <v>44709</v>
      </c>
      <c r="F1437">
        <f t="shared" si="45"/>
        <v>320</v>
      </c>
    </row>
    <row r="1438" spans="1:6" x14ac:dyDescent="0.55000000000000004">
      <c r="A1438">
        <v>6.2599499234929787E+18</v>
      </c>
      <c r="B1438" t="s">
        <v>843</v>
      </c>
      <c r="C1438" t="s">
        <v>10</v>
      </c>
      <c r="D1438">
        <v>358</v>
      </c>
      <c r="E1438" s="4">
        <f t="shared" si="44"/>
        <v>44758</v>
      </c>
      <c r="F1438">
        <f t="shared" si="45"/>
        <v>271</v>
      </c>
    </row>
    <row r="1439" spans="1:6" x14ac:dyDescent="0.55000000000000004">
      <c r="A1439">
        <v>7.0956688496924426E+18</v>
      </c>
      <c r="B1439" t="s">
        <v>645</v>
      </c>
      <c r="C1439" t="s">
        <v>13</v>
      </c>
      <c r="D1439">
        <v>1106</v>
      </c>
      <c r="E1439" s="4">
        <f t="shared" si="44"/>
        <v>44897</v>
      </c>
      <c r="F1439">
        <f t="shared" si="45"/>
        <v>132</v>
      </c>
    </row>
    <row r="1440" spans="1:6" x14ac:dyDescent="0.55000000000000004">
      <c r="A1440">
        <v>4.2667909490277059E+18</v>
      </c>
      <c r="B1440" t="s">
        <v>824</v>
      </c>
      <c r="C1440" t="s">
        <v>26</v>
      </c>
      <c r="D1440">
        <v>278</v>
      </c>
      <c r="E1440" s="4">
        <f t="shared" si="44"/>
        <v>44482</v>
      </c>
      <c r="F1440">
        <f t="shared" si="45"/>
        <v>547</v>
      </c>
    </row>
    <row r="1441" spans="1:6" x14ac:dyDescent="0.55000000000000004">
      <c r="A1441">
        <v>1.145588362923189E+19</v>
      </c>
      <c r="B1441" t="s">
        <v>609</v>
      </c>
      <c r="C1441" t="s">
        <v>7</v>
      </c>
      <c r="D1441">
        <v>590</v>
      </c>
      <c r="E1441" s="4">
        <f t="shared" si="44"/>
        <v>44429</v>
      </c>
      <c r="F1441">
        <f t="shared" si="45"/>
        <v>600</v>
      </c>
    </row>
    <row r="1442" spans="1:6" x14ac:dyDescent="0.55000000000000004">
      <c r="A1442">
        <v>1.5997309967392891E+19</v>
      </c>
      <c r="B1442" t="s">
        <v>347</v>
      </c>
      <c r="C1442" t="s">
        <v>13</v>
      </c>
      <c r="D1442">
        <v>1233</v>
      </c>
      <c r="E1442" s="4">
        <f t="shared" si="44"/>
        <v>44857</v>
      </c>
      <c r="F1442">
        <f t="shared" si="45"/>
        <v>172</v>
      </c>
    </row>
    <row r="1443" spans="1:6" x14ac:dyDescent="0.55000000000000004">
      <c r="A1443">
        <v>1.64516283654221E+19</v>
      </c>
      <c r="B1443" t="s">
        <v>795</v>
      </c>
      <c r="C1443" t="s">
        <v>7</v>
      </c>
      <c r="D1443">
        <v>1500</v>
      </c>
      <c r="E1443" s="4">
        <f t="shared" si="44"/>
        <v>44698</v>
      </c>
      <c r="F1443">
        <f t="shared" si="45"/>
        <v>331</v>
      </c>
    </row>
    <row r="1444" spans="1:6" x14ac:dyDescent="0.55000000000000004">
      <c r="A1444">
        <v>1.2818850421819841E+19</v>
      </c>
      <c r="B1444" t="s">
        <v>357</v>
      </c>
      <c r="C1444" t="s">
        <v>13</v>
      </c>
      <c r="D1444">
        <v>1402</v>
      </c>
      <c r="E1444" s="4">
        <f t="shared" si="44"/>
        <v>44892</v>
      </c>
      <c r="F1444">
        <f t="shared" si="45"/>
        <v>137</v>
      </c>
    </row>
    <row r="1445" spans="1:6" x14ac:dyDescent="0.55000000000000004">
      <c r="A1445">
        <v>1.148626856843024E+19</v>
      </c>
      <c r="B1445" t="s">
        <v>719</v>
      </c>
      <c r="C1445" t="s">
        <v>10</v>
      </c>
      <c r="D1445">
        <v>162</v>
      </c>
      <c r="E1445" s="4">
        <f t="shared" si="44"/>
        <v>44045</v>
      </c>
      <c r="F1445">
        <f t="shared" si="45"/>
        <v>984</v>
      </c>
    </row>
    <row r="1446" spans="1:6" x14ac:dyDescent="0.55000000000000004">
      <c r="A1446">
        <v>8.0188609024188938E+18</v>
      </c>
      <c r="B1446" t="s">
        <v>730</v>
      </c>
      <c r="C1446" t="s">
        <v>5</v>
      </c>
      <c r="D1446">
        <v>9165</v>
      </c>
      <c r="E1446" s="4">
        <f t="shared" si="44"/>
        <v>44647</v>
      </c>
      <c r="F1446">
        <f t="shared" si="45"/>
        <v>382</v>
      </c>
    </row>
    <row r="1447" spans="1:6" x14ac:dyDescent="0.55000000000000004">
      <c r="A1447">
        <v>1.152119540767922E+19</v>
      </c>
      <c r="B1447" t="s">
        <v>880</v>
      </c>
      <c r="C1447" t="s">
        <v>10</v>
      </c>
      <c r="D1447">
        <v>4130</v>
      </c>
      <c r="E1447" s="4">
        <f t="shared" si="44"/>
        <v>44430</v>
      </c>
      <c r="F1447">
        <f t="shared" si="45"/>
        <v>599</v>
      </c>
    </row>
    <row r="1448" spans="1:6" x14ac:dyDescent="0.55000000000000004">
      <c r="A1448">
        <v>7.8620508395246733E+17</v>
      </c>
      <c r="B1448" t="s">
        <v>881</v>
      </c>
      <c r="C1448" t="s">
        <v>10</v>
      </c>
      <c r="D1448">
        <v>4506</v>
      </c>
      <c r="E1448" s="4">
        <f t="shared" si="44"/>
        <v>43608</v>
      </c>
      <c r="F1448">
        <f t="shared" si="45"/>
        <v>1421</v>
      </c>
    </row>
    <row r="1449" spans="1:6" x14ac:dyDescent="0.55000000000000004">
      <c r="A1449">
        <v>7.4412097813958564E+18</v>
      </c>
      <c r="B1449" t="s">
        <v>882</v>
      </c>
      <c r="C1449" t="s">
        <v>13</v>
      </c>
      <c r="D1449">
        <v>177</v>
      </c>
      <c r="E1449" s="4">
        <f t="shared" si="44"/>
        <v>44941</v>
      </c>
      <c r="F1449">
        <f t="shared" si="45"/>
        <v>88</v>
      </c>
    </row>
    <row r="1450" spans="1:6" x14ac:dyDescent="0.55000000000000004">
      <c r="A1450">
        <v>1.6742988234076729E+19</v>
      </c>
      <c r="B1450" t="s">
        <v>848</v>
      </c>
      <c r="C1450" t="s">
        <v>10</v>
      </c>
      <c r="D1450">
        <v>1378</v>
      </c>
      <c r="E1450" s="4">
        <f t="shared" si="44"/>
        <v>44464</v>
      </c>
      <c r="F1450">
        <f t="shared" si="45"/>
        <v>565</v>
      </c>
    </row>
    <row r="1451" spans="1:6" x14ac:dyDescent="0.55000000000000004">
      <c r="A1451">
        <v>5.3973038049061745E+18</v>
      </c>
      <c r="B1451" t="s">
        <v>293</v>
      </c>
      <c r="C1451" t="s">
        <v>7</v>
      </c>
      <c r="D1451">
        <v>53008.33</v>
      </c>
      <c r="E1451" s="4">
        <f t="shared" si="44"/>
        <v>44598</v>
      </c>
      <c r="F1451">
        <f t="shared" si="45"/>
        <v>431</v>
      </c>
    </row>
    <row r="1452" spans="1:6" x14ac:dyDescent="0.55000000000000004">
      <c r="A1452">
        <v>1.086420106069846E+19</v>
      </c>
      <c r="B1452" t="s">
        <v>108</v>
      </c>
      <c r="C1452" t="s">
        <v>13</v>
      </c>
      <c r="D1452">
        <v>4890</v>
      </c>
      <c r="E1452" s="4">
        <f t="shared" si="44"/>
        <v>44904</v>
      </c>
      <c r="F1452">
        <f t="shared" si="45"/>
        <v>125</v>
      </c>
    </row>
    <row r="1453" spans="1:6" x14ac:dyDescent="0.55000000000000004">
      <c r="A1453">
        <v>6.3035102497799158E+18</v>
      </c>
      <c r="B1453" t="s">
        <v>173</v>
      </c>
      <c r="C1453" t="s">
        <v>10</v>
      </c>
      <c r="D1453">
        <v>1935</v>
      </c>
      <c r="E1453" s="4">
        <f t="shared" si="44"/>
        <v>44774</v>
      </c>
      <c r="F1453">
        <f t="shared" si="45"/>
        <v>255</v>
      </c>
    </row>
    <row r="1454" spans="1:6" x14ac:dyDescent="0.55000000000000004">
      <c r="A1454">
        <v>1.4729740907852411E+19</v>
      </c>
      <c r="B1454" t="s">
        <v>475</v>
      </c>
      <c r="C1454" t="s">
        <v>13</v>
      </c>
      <c r="D1454">
        <v>13024</v>
      </c>
      <c r="E1454" s="4">
        <f t="shared" si="44"/>
        <v>44847</v>
      </c>
      <c r="F1454">
        <f t="shared" si="45"/>
        <v>182</v>
      </c>
    </row>
    <row r="1455" spans="1:6" x14ac:dyDescent="0.55000000000000004">
      <c r="A1455">
        <v>5.3973038049061745E+18</v>
      </c>
      <c r="B1455" t="s">
        <v>883</v>
      </c>
      <c r="C1455" t="s">
        <v>50</v>
      </c>
      <c r="D1455">
        <v>50957.4</v>
      </c>
      <c r="E1455" s="4">
        <f t="shared" si="44"/>
        <v>42818</v>
      </c>
      <c r="F1455">
        <f t="shared" si="45"/>
        <v>2211</v>
      </c>
    </row>
    <row r="1456" spans="1:6" x14ac:dyDescent="0.55000000000000004">
      <c r="A1456">
        <v>8.8657964298209526E+18</v>
      </c>
      <c r="B1456" t="s">
        <v>217</v>
      </c>
      <c r="C1456" t="s">
        <v>10</v>
      </c>
      <c r="D1456">
        <v>497</v>
      </c>
      <c r="E1456" s="4">
        <f t="shared" si="44"/>
        <v>44239</v>
      </c>
      <c r="F1456">
        <f t="shared" si="45"/>
        <v>790</v>
      </c>
    </row>
    <row r="1457" spans="1:6" x14ac:dyDescent="0.55000000000000004">
      <c r="A1457">
        <v>5.5255863221200271E+18</v>
      </c>
      <c r="B1457" t="s">
        <v>884</v>
      </c>
      <c r="C1457" t="s">
        <v>13</v>
      </c>
      <c r="D1457">
        <v>405</v>
      </c>
      <c r="E1457" s="4">
        <f t="shared" si="44"/>
        <v>44966</v>
      </c>
      <c r="F1457">
        <f t="shared" si="45"/>
        <v>63</v>
      </c>
    </row>
    <row r="1458" spans="1:6" x14ac:dyDescent="0.55000000000000004">
      <c r="A1458">
        <v>1.479575150262513E+19</v>
      </c>
      <c r="B1458" t="s">
        <v>452</v>
      </c>
      <c r="C1458" t="s">
        <v>13</v>
      </c>
      <c r="D1458">
        <v>3263</v>
      </c>
      <c r="E1458" s="4">
        <f t="shared" si="44"/>
        <v>44163</v>
      </c>
      <c r="F1458">
        <f t="shared" si="45"/>
        <v>866</v>
      </c>
    </row>
    <row r="1459" spans="1:6" x14ac:dyDescent="0.55000000000000004">
      <c r="A1459">
        <v>1.049400920101052E+19</v>
      </c>
      <c r="B1459" t="s">
        <v>671</v>
      </c>
      <c r="C1459" t="s">
        <v>26</v>
      </c>
      <c r="D1459">
        <v>1430</v>
      </c>
      <c r="E1459" s="4">
        <f t="shared" si="44"/>
        <v>44719</v>
      </c>
      <c r="F1459">
        <f t="shared" si="45"/>
        <v>310</v>
      </c>
    </row>
    <row r="1460" spans="1:6" x14ac:dyDescent="0.55000000000000004">
      <c r="A1460">
        <v>1.28522957187927E+19</v>
      </c>
      <c r="B1460" t="s">
        <v>245</v>
      </c>
      <c r="C1460" t="s">
        <v>10</v>
      </c>
      <c r="D1460">
        <v>960</v>
      </c>
      <c r="E1460" s="4">
        <f t="shared" si="44"/>
        <v>44748</v>
      </c>
      <c r="F1460">
        <f t="shared" si="45"/>
        <v>281</v>
      </c>
    </row>
    <row r="1461" spans="1:6" x14ac:dyDescent="0.55000000000000004">
      <c r="A1461">
        <v>1.3286129435852599E+19</v>
      </c>
      <c r="B1461" t="s">
        <v>857</v>
      </c>
      <c r="C1461" t="s">
        <v>7</v>
      </c>
      <c r="D1461">
        <v>191</v>
      </c>
      <c r="E1461" s="4">
        <f t="shared" si="44"/>
        <v>44150</v>
      </c>
      <c r="F1461">
        <f t="shared" si="45"/>
        <v>879</v>
      </c>
    </row>
    <row r="1462" spans="1:6" x14ac:dyDescent="0.55000000000000004">
      <c r="A1462">
        <v>1.842367595461267E+19</v>
      </c>
      <c r="B1462" t="s">
        <v>885</v>
      </c>
      <c r="C1462" t="s">
        <v>26</v>
      </c>
      <c r="D1462">
        <v>459</v>
      </c>
      <c r="E1462" s="4">
        <f t="shared" si="44"/>
        <v>43794</v>
      </c>
      <c r="F1462">
        <f t="shared" si="45"/>
        <v>1235</v>
      </c>
    </row>
    <row r="1463" spans="1:6" x14ac:dyDescent="0.55000000000000004">
      <c r="A1463">
        <v>6.4384708484770816E+17</v>
      </c>
      <c r="B1463" t="s">
        <v>886</v>
      </c>
      <c r="C1463" t="s">
        <v>26</v>
      </c>
      <c r="D1463">
        <v>689</v>
      </c>
      <c r="E1463" s="4">
        <f t="shared" si="44"/>
        <v>44614</v>
      </c>
      <c r="F1463">
        <f t="shared" si="45"/>
        <v>415</v>
      </c>
    </row>
    <row r="1464" spans="1:6" x14ac:dyDescent="0.55000000000000004">
      <c r="A1464">
        <v>1.695130641619191E+18</v>
      </c>
      <c r="B1464" t="s">
        <v>887</v>
      </c>
      <c r="C1464" t="s">
        <v>46</v>
      </c>
      <c r="D1464">
        <v>280</v>
      </c>
      <c r="E1464" s="4">
        <f t="shared" si="44"/>
        <v>44846</v>
      </c>
      <c r="F1464">
        <f t="shared" si="45"/>
        <v>183</v>
      </c>
    </row>
    <row r="1465" spans="1:6" x14ac:dyDescent="0.55000000000000004">
      <c r="A1465">
        <v>2.5609919502683709E+18</v>
      </c>
      <c r="B1465" t="s">
        <v>888</v>
      </c>
      <c r="C1465" t="s">
        <v>10</v>
      </c>
      <c r="D1465">
        <v>402</v>
      </c>
      <c r="E1465" s="4">
        <f t="shared" si="44"/>
        <v>43867</v>
      </c>
      <c r="F1465">
        <f t="shared" si="45"/>
        <v>1162</v>
      </c>
    </row>
    <row r="1466" spans="1:6" x14ac:dyDescent="0.55000000000000004">
      <c r="A1466">
        <v>8.9703828931595837E+18</v>
      </c>
      <c r="B1466" t="s">
        <v>90</v>
      </c>
      <c r="C1466" t="s">
        <v>10</v>
      </c>
      <c r="D1466">
        <v>2787</v>
      </c>
      <c r="E1466" s="4">
        <f t="shared" si="44"/>
        <v>44899</v>
      </c>
      <c r="F1466">
        <f t="shared" si="45"/>
        <v>130</v>
      </c>
    </row>
    <row r="1467" spans="1:6" x14ac:dyDescent="0.55000000000000004">
      <c r="A1467">
        <v>1.5926796688468109E+19</v>
      </c>
      <c r="B1467" t="s">
        <v>621</v>
      </c>
      <c r="C1467" t="s">
        <v>10</v>
      </c>
      <c r="D1467">
        <v>390</v>
      </c>
      <c r="E1467" s="4">
        <f t="shared" si="44"/>
        <v>44888</v>
      </c>
      <c r="F1467">
        <f t="shared" si="45"/>
        <v>141</v>
      </c>
    </row>
    <row r="1468" spans="1:6" x14ac:dyDescent="0.55000000000000004">
      <c r="A1468">
        <v>1.822140064359714E+19</v>
      </c>
      <c r="B1468" t="s">
        <v>889</v>
      </c>
      <c r="C1468" t="s">
        <v>13</v>
      </c>
      <c r="D1468">
        <v>234</v>
      </c>
      <c r="E1468" s="4">
        <f t="shared" si="44"/>
        <v>44453</v>
      </c>
      <c r="F1468">
        <f t="shared" si="45"/>
        <v>576</v>
      </c>
    </row>
    <row r="1469" spans="1:6" x14ac:dyDescent="0.55000000000000004">
      <c r="A1469">
        <v>2.0614502803442918E+17</v>
      </c>
      <c r="B1469" t="s">
        <v>849</v>
      </c>
      <c r="C1469" t="s">
        <v>13</v>
      </c>
      <c r="D1469">
        <v>595</v>
      </c>
      <c r="E1469" s="4">
        <f t="shared" si="44"/>
        <v>44856</v>
      </c>
      <c r="F1469">
        <f t="shared" si="45"/>
        <v>173</v>
      </c>
    </row>
    <row r="1470" spans="1:6" x14ac:dyDescent="0.55000000000000004">
      <c r="A1470">
        <v>3.0412224008892979E+18</v>
      </c>
      <c r="B1470" t="s">
        <v>890</v>
      </c>
      <c r="C1470" t="s">
        <v>7</v>
      </c>
      <c r="D1470">
        <v>132</v>
      </c>
      <c r="E1470" s="4">
        <f t="shared" si="44"/>
        <v>43755</v>
      </c>
      <c r="F1470">
        <f t="shared" si="45"/>
        <v>1274</v>
      </c>
    </row>
    <row r="1471" spans="1:6" x14ac:dyDescent="0.55000000000000004">
      <c r="A1471">
        <v>1.5017793853101789E+19</v>
      </c>
      <c r="B1471" t="s">
        <v>706</v>
      </c>
      <c r="C1471" t="s">
        <v>26</v>
      </c>
      <c r="D1471">
        <v>584</v>
      </c>
      <c r="E1471" s="4">
        <f t="shared" si="44"/>
        <v>44646</v>
      </c>
      <c r="F1471">
        <f t="shared" si="45"/>
        <v>383</v>
      </c>
    </row>
    <row r="1472" spans="1:6" x14ac:dyDescent="0.55000000000000004">
      <c r="A1472">
        <v>6.6553452039854715E+18</v>
      </c>
      <c r="B1472" t="s">
        <v>891</v>
      </c>
      <c r="C1472" t="s">
        <v>46</v>
      </c>
      <c r="D1472">
        <v>133</v>
      </c>
      <c r="E1472" s="4">
        <f t="shared" si="44"/>
        <v>44235</v>
      </c>
      <c r="F1472">
        <f t="shared" si="45"/>
        <v>794</v>
      </c>
    </row>
    <row r="1473" spans="1:6" x14ac:dyDescent="0.55000000000000004">
      <c r="A1473">
        <v>1.069061187023498E+19</v>
      </c>
      <c r="B1473" t="s">
        <v>650</v>
      </c>
      <c r="C1473" t="s">
        <v>13</v>
      </c>
      <c r="D1473">
        <v>446</v>
      </c>
      <c r="E1473" s="4">
        <f t="shared" si="44"/>
        <v>44799</v>
      </c>
      <c r="F1473">
        <f t="shared" si="45"/>
        <v>230</v>
      </c>
    </row>
    <row r="1474" spans="1:6" x14ac:dyDescent="0.55000000000000004">
      <c r="A1474">
        <v>9.6483656327770194E+18</v>
      </c>
      <c r="B1474" t="s">
        <v>627</v>
      </c>
      <c r="C1474" t="s">
        <v>13</v>
      </c>
      <c r="D1474">
        <v>660</v>
      </c>
      <c r="E1474" s="4">
        <f t="shared" si="44"/>
        <v>44810</v>
      </c>
      <c r="F1474">
        <f t="shared" si="45"/>
        <v>219</v>
      </c>
    </row>
    <row r="1475" spans="1:6" x14ac:dyDescent="0.55000000000000004">
      <c r="A1475">
        <v>9.6122222484694364E+18</v>
      </c>
      <c r="B1475" t="s">
        <v>298</v>
      </c>
      <c r="C1475" t="s">
        <v>13</v>
      </c>
      <c r="D1475">
        <v>1727</v>
      </c>
      <c r="E1475" s="4">
        <f t="shared" ref="E1475:E1538" si="46">DATEVALUE(B1475)</f>
        <v>44682</v>
      </c>
      <c r="F1475">
        <f t="shared" ref="F1475:F1538" si="47">$H$1-E1475</f>
        <v>347</v>
      </c>
    </row>
    <row r="1476" spans="1:6" x14ac:dyDescent="0.55000000000000004">
      <c r="A1476">
        <v>7.1131906820418394E+17</v>
      </c>
      <c r="B1476" t="s">
        <v>892</v>
      </c>
      <c r="C1476" t="s">
        <v>13</v>
      </c>
      <c r="D1476">
        <v>6410</v>
      </c>
      <c r="E1476" s="4">
        <f t="shared" si="46"/>
        <v>43718</v>
      </c>
      <c r="F1476">
        <f t="shared" si="47"/>
        <v>1311</v>
      </c>
    </row>
    <row r="1477" spans="1:6" x14ac:dyDescent="0.55000000000000004">
      <c r="A1477">
        <v>1.1804135673327311E+19</v>
      </c>
      <c r="B1477" t="s">
        <v>227</v>
      </c>
      <c r="C1477" t="s">
        <v>10</v>
      </c>
      <c r="D1477">
        <v>4251</v>
      </c>
      <c r="E1477" s="4">
        <f t="shared" si="46"/>
        <v>45007</v>
      </c>
      <c r="F1477">
        <f t="shared" si="47"/>
        <v>22</v>
      </c>
    </row>
    <row r="1478" spans="1:6" x14ac:dyDescent="0.55000000000000004">
      <c r="A1478">
        <v>1.0616930994602881E+19</v>
      </c>
      <c r="B1478" t="s">
        <v>893</v>
      </c>
      <c r="C1478" t="s">
        <v>10</v>
      </c>
      <c r="D1478">
        <v>1810</v>
      </c>
      <c r="E1478" s="4">
        <f t="shared" si="46"/>
        <v>44243</v>
      </c>
      <c r="F1478">
        <f t="shared" si="47"/>
        <v>786</v>
      </c>
    </row>
    <row r="1479" spans="1:6" x14ac:dyDescent="0.55000000000000004">
      <c r="A1479">
        <v>2816901033034348</v>
      </c>
      <c r="B1479" t="s">
        <v>674</v>
      </c>
      <c r="C1479" t="s">
        <v>13</v>
      </c>
      <c r="D1479">
        <v>260</v>
      </c>
      <c r="E1479" s="4">
        <f t="shared" si="46"/>
        <v>44050</v>
      </c>
      <c r="F1479">
        <f t="shared" si="47"/>
        <v>979</v>
      </c>
    </row>
    <row r="1480" spans="1:6" x14ac:dyDescent="0.55000000000000004">
      <c r="A1480">
        <v>1.119319007137118E+19</v>
      </c>
      <c r="B1480" t="s">
        <v>475</v>
      </c>
      <c r="C1480" t="s">
        <v>10</v>
      </c>
      <c r="D1480">
        <v>600</v>
      </c>
      <c r="E1480" s="4">
        <f t="shared" si="46"/>
        <v>44847</v>
      </c>
      <c r="F1480">
        <f t="shared" si="47"/>
        <v>182</v>
      </c>
    </row>
    <row r="1481" spans="1:6" x14ac:dyDescent="0.55000000000000004">
      <c r="A1481">
        <v>5.3973038049061745E+18</v>
      </c>
      <c r="B1481" t="s">
        <v>391</v>
      </c>
      <c r="C1481" t="s">
        <v>26</v>
      </c>
      <c r="D1481">
        <v>199045</v>
      </c>
      <c r="E1481" s="4">
        <f t="shared" si="46"/>
        <v>43704</v>
      </c>
      <c r="F1481">
        <f t="shared" si="47"/>
        <v>1325</v>
      </c>
    </row>
    <row r="1482" spans="1:6" x14ac:dyDescent="0.55000000000000004">
      <c r="A1482">
        <v>1.048674536434862E+18</v>
      </c>
      <c r="B1482" t="s">
        <v>200</v>
      </c>
      <c r="C1482" t="s">
        <v>13</v>
      </c>
      <c r="D1482">
        <v>1141</v>
      </c>
      <c r="E1482" s="4">
        <f t="shared" si="46"/>
        <v>44720</v>
      </c>
      <c r="F1482">
        <f t="shared" si="47"/>
        <v>309</v>
      </c>
    </row>
    <row r="1483" spans="1:6" x14ac:dyDescent="0.55000000000000004">
      <c r="A1483">
        <v>6.319029113315626E+18</v>
      </c>
      <c r="B1483" t="s">
        <v>522</v>
      </c>
      <c r="C1483" t="s">
        <v>13</v>
      </c>
      <c r="D1483">
        <v>1203</v>
      </c>
      <c r="E1483" s="4">
        <f t="shared" si="46"/>
        <v>44815</v>
      </c>
      <c r="F1483">
        <f t="shared" si="47"/>
        <v>214</v>
      </c>
    </row>
    <row r="1484" spans="1:6" x14ac:dyDescent="0.55000000000000004">
      <c r="A1484">
        <v>3.3239069988387597E+17</v>
      </c>
      <c r="B1484" t="s">
        <v>894</v>
      </c>
      <c r="C1484" t="s">
        <v>13</v>
      </c>
      <c r="D1484">
        <v>2870</v>
      </c>
      <c r="E1484" s="4">
        <f t="shared" si="46"/>
        <v>44214</v>
      </c>
      <c r="F1484">
        <f t="shared" si="47"/>
        <v>815</v>
      </c>
    </row>
    <row r="1485" spans="1:6" x14ac:dyDescent="0.55000000000000004">
      <c r="A1485">
        <v>5.048051833006036E+18</v>
      </c>
      <c r="B1485" t="s">
        <v>457</v>
      </c>
      <c r="C1485" t="s">
        <v>13</v>
      </c>
      <c r="D1485">
        <v>651</v>
      </c>
      <c r="E1485" s="4">
        <f t="shared" si="46"/>
        <v>43860</v>
      </c>
      <c r="F1485">
        <f t="shared" si="47"/>
        <v>1169</v>
      </c>
    </row>
    <row r="1486" spans="1:6" x14ac:dyDescent="0.55000000000000004">
      <c r="A1486">
        <v>3.5334419115239562E+18</v>
      </c>
      <c r="B1486" t="s">
        <v>390</v>
      </c>
      <c r="C1486" t="s">
        <v>13</v>
      </c>
      <c r="D1486">
        <v>850</v>
      </c>
      <c r="E1486" s="4">
        <f t="shared" si="46"/>
        <v>44885</v>
      </c>
      <c r="F1486">
        <f t="shared" si="47"/>
        <v>144</v>
      </c>
    </row>
    <row r="1487" spans="1:6" x14ac:dyDescent="0.55000000000000004">
      <c r="A1487">
        <v>5.8580331839227464E+18</v>
      </c>
      <c r="B1487" t="s">
        <v>895</v>
      </c>
      <c r="C1487" t="s">
        <v>7</v>
      </c>
      <c r="D1487">
        <v>780</v>
      </c>
      <c r="E1487" s="4">
        <f t="shared" si="46"/>
        <v>44999</v>
      </c>
      <c r="F1487">
        <f t="shared" si="47"/>
        <v>30</v>
      </c>
    </row>
    <row r="1488" spans="1:6" x14ac:dyDescent="0.55000000000000004">
      <c r="A1488">
        <v>1.0364042101909621E+19</v>
      </c>
      <c r="B1488" t="s">
        <v>896</v>
      </c>
      <c r="C1488" t="s">
        <v>10</v>
      </c>
      <c r="D1488">
        <v>1410</v>
      </c>
      <c r="E1488" s="4">
        <f t="shared" si="46"/>
        <v>43944</v>
      </c>
      <c r="F1488">
        <f t="shared" si="47"/>
        <v>1085</v>
      </c>
    </row>
    <row r="1489" spans="1:6" x14ac:dyDescent="0.55000000000000004">
      <c r="A1489">
        <v>2.08047286874141E+18</v>
      </c>
      <c r="B1489" t="s">
        <v>897</v>
      </c>
      <c r="C1489" t="s">
        <v>10</v>
      </c>
      <c r="D1489">
        <v>103</v>
      </c>
      <c r="E1489" s="4">
        <f t="shared" si="46"/>
        <v>44132</v>
      </c>
      <c r="F1489">
        <f t="shared" si="47"/>
        <v>897</v>
      </c>
    </row>
    <row r="1490" spans="1:6" x14ac:dyDescent="0.55000000000000004">
      <c r="A1490">
        <v>1.733921156462797E+19</v>
      </c>
      <c r="B1490" t="s">
        <v>413</v>
      </c>
      <c r="C1490" t="s">
        <v>13</v>
      </c>
      <c r="D1490">
        <v>413</v>
      </c>
      <c r="E1490" s="4">
        <f t="shared" si="46"/>
        <v>44433</v>
      </c>
      <c r="F1490">
        <f t="shared" si="47"/>
        <v>596</v>
      </c>
    </row>
    <row r="1491" spans="1:6" x14ac:dyDescent="0.55000000000000004">
      <c r="A1491">
        <v>9.7425249189334835E+18</v>
      </c>
      <c r="B1491" t="s">
        <v>898</v>
      </c>
      <c r="C1491" t="s">
        <v>13</v>
      </c>
      <c r="D1491">
        <v>1055</v>
      </c>
      <c r="E1491" s="4">
        <f t="shared" si="46"/>
        <v>44208</v>
      </c>
      <c r="F1491">
        <f t="shared" si="47"/>
        <v>821</v>
      </c>
    </row>
    <row r="1492" spans="1:6" x14ac:dyDescent="0.55000000000000004">
      <c r="A1492">
        <v>1.1868077272663519E+19</v>
      </c>
      <c r="B1492" t="s">
        <v>563</v>
      </c>
      <c r="C1492" t="s">
        <v>13</v>
      </c>
      <c r="D1492">
        <v>493</v>
      </c>
      <c r="E1492" s="4">
        <f t="shared" si="46"/>
        <v>43816</v>
      </c>
      <c r="F1492">
        <f t="shared" si="47"/>
        <v>1213</v>
      </c>
    </row>
    <row r="1493" spans="1:6" x14ac:dyDescent="0.55000000000000004">
      <c r="A1493">
        <v>1.6172746630619489E+18</v>
      </c>
      <c r="B1493" t="s">
        <v>44</v>
      </c>
      <c r="C1493" t="s">
        <v>26</v>
      </c>
      <c r="D1493">
        <v>380</v>
      </c>
      <c r="E1493" s="4">
        <f t="shared" si="46"/>
        <v>44867</v>
      </c>
      <c r="F1493">
        <f t="shared" si="47"/>
        <v>162</v>
      </c>
    </row>
    <row r="1494" spans="1:6" x14ac:dyDescent="0.55000000000000004">
      <c r="A1494">
        <v>1.7913055859585129E+18</v>
      </c>
      <c r="B1494" t="s">
        <v>899</v>
      </c>
      <c r="C1494" t="s">
        <v>50</v>
      </c>
      <c r="D1494">
        <v>114</v>
      </c>
      <c r="E1494" s="4">
        <f t="shared" si="46"/>
        <v>43693</v>
      </c>
      <c r="F1494">
        <f t="shared" si="47"/>
        <v>1336</v>
      </c>
    </row>
    <row r="1495" spans="1:6" x14ac:dyDescent="0.55000000000000004">
      <c r="A1495">
        <v>1.4935171356186991E+19</v>
      </c>
      <c r="B1495" t="s">
        <v>144</v>
      </c>
      <c r="C1495" t="s">
        <v>10</v>
      </c>
      <c r="D1495">
        <v>293</v>
      </c>
      <c r="E1495" s="4">
        <f t="shared" si="46"/>
        <v>44636</v>
      </c>
      <c r="F1495">
        <f t="shared" si="47"/>
        <v>393</v>
      </c>
    </row>
    <row r="1496" spans="1:6" x14ac:dyDescent="0.55000000000000004">
      <c r="A1496">
        <v>1.3834599210482901E+19</v>
      </c>
      <c r="B1496" t="s">
        <v>814</v>
      </c>
      <c r="C1496" t="s">
        <v>7</v>
      </c>
      <c r="D1496">
        <v>2190</v>
      </c>
      <c r="E1496" s="4">
        <f t="shared" si="46"/>
        <v>44873</v>
      </c>
      <c r="F1496">
        <f t="shared" si="47"/>
        <v>156</v>
      </c>
    </row>
    <row r="1497" spans="1:6" x14ac:dyDescent="0.55000000000000004">
      <c r="A1497">
        <v>1.745068178098175E+18</v>
      </c>
      <c r="B1497" t="s">
        <v>900</v>
      </c>
      <c r="C1497" t="s">
        <v>13</v>
      </c>
      <c r="D1497">
        <v>1290</v>
      </c>
      <c r="E1497" s="4">
        <f t="shared" si="46"/>
        <v>44344</v>
      </c>
      <c r="F1497">
        <f t="shared" si="47"/>
        <v>685</v>
      </c>
    </row>
    <row r="1498" spans="1:6" x14ac:dyDescent="0.55000000000000004">
      <c r="A1498">
        <v>1.637289501695036E+19</v>
      </c>
      <c r="B1498" t="s">
        <v>225</v>
      </c>
      <c r="C1498" t="s">
        <v>13</v>
      </c>
      <c r="D1498">
        <v>385</v>
      </c>
      <c r="E1498" s="4">
        <f t="shared" si="46"/>
        <v>43830</v>
      </c>
      <c r="F1498">
        <f t="shared" si="47"/>
        <v>1199</v>
      </c>
    </row>
    <row r="1499" spans="1:6" x14ac:dyDescent="0.55000000000000004">
      <c r="A1499">
        <v>8.2150272856721132E+18</v>
      </c>
      <c r="B1499" t="s">
        <v>131</v>
      </c>
      <c r="C1499" t="s">
        <v>7</v>
      </c>
      <c r="D1499">
        <v>1380</v>
      </c>
      <c r="E1499" s="4">
        <f t="shared" si="46"/>
        <v>44559</v>
      </c>
      <c r="F1499">
        <f t="shared" si="47"/>
        <v>470</v>
      </c>
    </row>
    <row r="1500" spans="1:6" x14ac:dyDescent="0.55000000000000004">
      <c r="A1500">
        <v>1.1684577053237201E+19</v>
      </c>
      <c r="B1500" t="s">
        <v>259</v>
      </c>
      <c r="C1500" t="s">
        <v>10</v>
      </c>
      <c r="D1500">
        <v>509</v>
      </c>
      <c r="E1500" s="4">
        <f t="shared" si="46"/>
        <v>44555</v>
      </c>
      <c r="F1500">
        <f t="shared" si="47"/>
        <v>474</v>
      </c>
    </row>
    <row r="1501" spans="1:6" x14ac:dyDescent="0.55000000000000004">
      <c r="A1501">
        <v>1.357094978375269E+19</v>
      </c>
      <c r="B1501" t="s">
        <v>543</v>
      </c>
      <c r="C1501" t="s">
        <v>10</v>
      </c>
      <c r="D1501">
        <v>1373</v>
      </c>
      <c r="E1501" s="4">
        <f t="shared" si="46"/>
        <v>44998</v>
      </c>
      <c r="F1501">
        <f t="shared" si="47"/>
        <v>31</v>
      </c>
    </row>
    <row r="1502" spans="1:6" x14ac:dyDescent="0.55000000000000004">
      <c r="A1502">
        <v>9.9765413218044355E+18</v>
      </c>
      <c r="B1502" t="s">
        <v>37</v>
      </c>
      <c r="C1502" t="s">
        <v>10</v>
      </c>
      <c r="D1502">
        <v>494</v>
      </c>
      <c r="E1502" s="4">
        <f t="shared" si="46"/>
        <v>44663</v>
      </c>
      <c r="F1502">
        <f t="shared" si="47"/>
        <v>366</v>
      </c>
    </row>
    <row r="1503" spans="1:6" x14ac:dyDescent="0.55000000000000004">
      <c r="A1503">
        <v>8.0129491002368553E+18</v>
      </c>
      <c r="B1503" t="s">
        <v>901</v>
      </c>
      <c r="C1503" t="s">
        <v>10</v>
      </c>
      <c r="D1503">
        <v>999</v>
      </c>
      <c r="E1503" s="4">
        <f t="shared" si="46"/>
        <v>43862</v>
      </c>
      <c r="F1503">
        <f t="shared" si="47"/>
        <v>1167</v>
      </c>
    </row>
    <row r="1504" spans="1:6" x14ac:dyDescent="0.55000000000000004">
      <c r="A1504">
        <v>4.2265606458392428E+18</v>
      </c>
      <c r="B1504" t="s">
        <v>129</v>
      </c>
      <c r="C1504" t="s">
        <v>13</v>
      </c>
      <c r="D1504">
        <v>4360</v>
      </c>
      <c r="E1504" s="4">
        <f t="shared" si="46"/>
        <v>44854</v>
      </c>
      <c r="F1504">
        <f t="shared" si="47"/>
        <v>175</v>
      </c>
    </row>
    <row r="1505" spans="1:6" x14ac:dyDescent="0.55000000000000004">
      <c r="A1505">
        <v>9.9012415893607588E+18</v>
      </c>
      <c r="B1505" t="s">
        <v>859</v>
      </c>
      <c r="C1505" t="s">
        <v>13</v>
      </c>
      <c r="D1505">
        <v>438</v>
      </c>
      <c r="E1505" s="4">
        <f t="shared" si="46"/>
        <v>44874</v>
      </c>
      <c r="F1505">
        <f t="shared" si="47"/>
        <v>155</v>
      </c>
    </row>
    <row r="1506" spans="1:6" x14ac:dyDescent="0.55000000000000004">
      <c r="A1506">
        <v>8.6908928397613404E+18</v>
      </c>
      <c r="B1506" t="s">
        <v>398</v>
      </c>
      <c r="C1506" t="s">
        <v>10</v>
      </c>
      <c r="D1506">
        <v>602</v>
      </c>
      <c r="E1506" s="4">
        <f t="shared" si="46"/>
        <v>43904</v>
      </c>
      <c r="F1506">
        <f t="shared" si="47"/>
        <v>1125</v>
      </c>
    </row>
    <row r="1507" spans="1:6" x14ac:dyDescent="0.55000000000000004">
      <c r="A1507">
        <v>5.8453089461778842E+18</v>
      </c>
      <c r="B1507" t="s">
        <v>902</v>
      </c>
      <c r="C1507" t="s">
        <v>13</v>
      </c>
      <c r="D1507">
        <v>1309</v>
      </c>
      <c r="E1507" s="4">
        <f t="shared" si="46"/>
        <v>44730</v>
      </c>
      <c r="F1507">
        <f t="shared" si="47"/>
        <v>299</v>
      </c>
    </row>
    <row r="1508" spans="1:6" x14ac:dyDescent="0.55000000000000004">
      <c r="A1508">
        <v>1.1055199992902341E+19</v>
      </c>
      <c r="B1508" t="s">
        <v>355</v>
      </c>
      <c r="C1508" t="s">
        <v>10</v>
      </c>
      <c r="D1508">
        <v>1890</v>
      </c>
      <c r="E1508" s="4">
        <f t="shared" si="46"/>
        <v>44330</v>
      </c>
      <c r="F1508">
        <f t="shared" si="47"/>
        <v>699</v>
      </c>
    </row>
    <row r="1509" spans="1:6" x14ac:dyDescent="0.55000000000000004">
      <c r="A1509">
        <v>6.5261375982636462E+18</v>
      </c>
      <c r="B1509" t="s">
        <v>378</v>
      </c>
      <c r="C1509" t="s">
        <v>7</v>
      </c>
      <c r="D1509">
        <v>19</v>
      </c>
      <c r="E1509" s="4">
        <f t="shared" si="46"/>
        <v>44472</v>
      </c>
      <c r="F1509">
        <f t="shared" si="47"/>
        <v>557</v>
      </c>
    </row>
    <row r="1510" spans="1:6" x14ac:dyDescent="0.55000000000000004">
      <c r="A1510">
        <v>9.8594125700887286E+18</v>
      </c>
      <c r="B1510" t="s">
        <v>903</v>
      </c>
      <c r="C1510" t="s">
        <v>13</v>
      </c>
      <c r="D1510">
        <v>1307</v>
      </c>
      <c r="E1510" s="4">
        <f t="shared" si="46"/>
        <v>43894</v>
      </c>
      <c r="F1510">
        <f t="shared" si="47"/>
        <v>1135</v>
      </c>
    </row>
    <row r="1511" spans="1:6" x14ac:dyDescent="0.55000000000000004">
      <c r="A1511">
        <v>8.5831141854623764E+18</v>
      </c>
      <c r="B1511" t="s">
        <v>904</v>
      </c>
      <c r="C1511" t="s">
        <v>26</v>
      </c>
      <c r="D1511">
        <v>200</v>
      </c>
      <c r="E1511" s="4">
        <f t="shared" si="46"/>
        <v>43751</v>
      </c>
      <c r="F1511">
        <f t="shared" si="47"/>
        <v>1278</v>
      </c>
    </row>
    <row r="1512" spans="1:6" x14ac:dyDescent="0.55000000000000004">
      <c r="A1512">
        <v>9.8164444941960991E+18</v>
      </c>
      <c r="B1512" t="s">
        <v>596</v>
      </c>
      <c r="C1512" t="s">
        <v>13</v>
      </c>
      <c r="D1512">
        <v>3543</v>
      </c>
      <c r="E1512" s="4">
        <f t="shared" si="46"/>
        <v>44529</v>
      </c>
      <c r="F1512">
        <f t="shared" si="47"/>
        <v>500</v>
      </c>
    </row>
    <row r="1513" spans="1:6" x14ac:dyDescent="0.55000000000000004">
      <c r="A1513">
        <v>8.8409319117374515E+18</v>
      </c>
      <c r="B1513" t="s">
        <v>852</v>
      </c>
      <c r="C1513" t="s">
        <v>10</v>
      </c>
      <c r="D1513">
        <v>8256</v>
      </c>
      <c r="E1513" s="4">
        <f t="shared" si="46"/>
        <v>43789</v>
      </c>
      <c r="F1513">
        <f t="shared" si="47"/>
        <v>1240</v>
      </c>
    </row>
    <row r="1514" spans="1:6" x14ac:dyDescent="0.55000000000000004">
      <c r="A1514">
        <v>9.9662904005672284E+18</v>
      </c>
      <c r="B1514" t="s">
        <v>902</v>
      </c>
      <c r="C1514" t="s">
        <v>10</v>
      </c>
      <c r="D1514">
        <v>3966</v>
      </c>
      <c r="E1514" s="4">
        <f t="shared" si="46"/>
        <v>44730</v>
      </c>
      <c r="F1514">
        <f t="shared" si="47"/>
        <v>299</v>
      </c>
    </row>
    <row r="1515" spans="1:6" x14ac:dyDescent="0.55000000000000004">
      <c r="A1515">
        <v>1.4935171356186991E+19</v>
      </c>
      <c r="B1515" t="s">
        <v>105</v>
      </c>
      <c r="C1515" t="s">
        <v>13</v>
      </c>
      <c r="D1515">
        <v>8015</v>
      </c>
      <c r="E1515" s="4">
        <f t="shared" si="46"/>
        <v>44989</v>
      </c>
      <c r="F1515">
        <f t="shared" si="47"/>
        <v>40</v>
      </c>
    </row>
    <row r="1516" spans="1:6" x14ac:dyDescent="0.55000000000000004">
      <c r="A1516">
        <v>9.7907267103041267E+17</v>
      </c>
      <c r="B1516" t="s">
        <v>118</v>
      </c>
      <c r="C1516" t="s">
        <v>26</v>
      </c>
      <c r="D1516">
        <v>174</v>
      </c>
      <c r="E1516" s="4">
        <f t="shared" si="46"/>
        <v>43757</v>
      </c>
      <c r="F1516">
        <f t="shared" si="47"/>
        <v>1272</v>
      </c>
    </row>
    <row r="1517" spans="1:6" x14ac:dyDescent="0.55000000000000004">
      <c r="A1517">
        <v>1.131142693729382E+19</v>
      </c>
      <c r="B1517" t="s">
        <v>905</v>
      </c>
      <c r="C1517" t="s">
        <v>10</v>
      </c>
      <c r="D1517">
        <v>2736</v>
      </c>
      <c r="E1517" s="4">
        <f t="shared" si="46"/>
        <v>44491</v>
      </c>
      <c r="F1517">
        <f t="shared" si="47"/>
        <v>538</v>
      </c>
    </row>
    <row r="1518" spans="1:6" x14ac:dyDescent="0.55000000000000004">
      <c r="A1518">
        <v>3.4405352088394808E+18</v>
      </c>
      <c r="B1518" t="s">
        <v>780</v>
      </c>
      <c r="C1518" t="s">
        <v>10</v>
      </c>
      <c r="D1518">
        <v>2779</v>
      </c>
      <c r="E1518" s="4">
        <f t="shared" si="46"/>
        <v>44650</v>
      </c>
      <c r="F1518">
        <f t="shared" si="47"/>
        <v>379</v>
      </c>
    </row>
    <row r="1519" spans="1:6" x14ac:dyDescent="0.55000000000000004">
      <c r="A1519">
        <v>9.4126919788709043E+17</v>
      </c>
      <c r="B1519" t="s">
        <v>860</v>
      </c>
      <c r="C1519" t="s">
        <v>26</v>
      </c>
      <c r="D1519">
        <v>234</v>
      </c>
      <c r="E1519" s="4">
        <f t="shared" si="46"/>
        <v>43899</v>
      </c>
      <c r="F1519">
        <f t="shared" si="47"/>
        <v>1130</v>
      </c>
    </row>
    <row r="1520" spans="1:6" x14ac:dyDescent="0.55000000000000004">
      <c r="A1520">
        <v>1.627222207656344E+19</v>
      </c>
      <c r="B1520" t="s">
        <v>906</v>
      </c>
      <c r="C1520" t="s">
        <v>10</v>
      </c>
      <c r="D1520">
        <v>299</v>
      </c>
      <c r="E1520" s="4">
        <f t="shared" si="46"/>
        <v>44603</v>
      </c>
      <c r="F1520">
        <f t="shared" si="47"/>
        <v>426</v>
      </c>
    </row>
    <row r="1521" spans="1:6" x14ac:dyDescent="0.55000000000000004">
      <c r="A1521">
        <v>1.724830351432611E+19</v>
      </c>
      <c r="B1521" t="s">
        <v>792</v>
      </c>
      <c r="C1521" t="s">
        <v>13</v>
      </c>
      <c r="D1521">
        <v>11097</v>
      </c>
      <c r="E1521" s="4">
        <f t="shared" si="46"/>
        <v>44325</v>
      </c>
      <c r="F1521">
        <f t="shared" si="47"/>
        <v>704</v>
      </c>
    </row>
    <row r="1522" spans="1:6" x14ac:dyDescent="0.55000000000000004">
      <c r="A1522">
        <v>1.7955982481916549E+19</v>
      </c>
      <c r="B1522" t="s">
        <v>424</v>
      </c>
      <c r="C1522" t="s">
        <v>7</v>
      </c>
      <c r="D1522">
        <v>1300</v>
      </c>
      <c r="E1522" s="4">
        <f t="shared" si="46"/>
        <v>44048</v>
      </c>
      <c r="F1522">
        <f t="shared" si="47"/>
        <v>981</v>
      </c>
    </row>
    <row r="1523" spans="1:6" x14ac:dyDescent="0.55000000000000004">
      <c r="A1523">
        <v>4.6670717563226644E+18</v>
      </c>
      <c r="B1523" t="s">
        <v>907</v>
      </c>
      <c r="C1523" t="s">
        <v>5</v>
      </c>
      <c r="D1523">
        <v>190</v>
      </c>
      <c r="E1523" s="4">
        <f t="shared" si="46"/>
        <v>44797</v>
      </c>
      <c r="F1523">
        <f t="shared" si="47"/>
        <v>232</v>
      </c>
    </row>
    <row r="1524" spans="1:6" x14ac:dyDescent="0.55000000000000004">
      <c r="A1524">
        <v>3.8028052198150661E+18</v>
      </c>
      <c r="B1524" t="s">
        <v>651</v>
      </c>
      <c r="C1524" t="s">
        <v>13</v>
      </c>
      <c r="D1524">
        <v>14560</v>
      </c>
      <c r="E1524" s="4">
        <f t="shared" si="46"/>
        <v>44921</v>
      </c>
      <c r="F1524">
        <f t="shared" si="47"/>
        <v>108</v>
      </c>
    </row>
    <row r="1525" spans="1:6" x14ac:dyDescent="0.55000000000000004">
      <c r="A1525">
        <v>4.1401714480403871E+18</v>
      </c>
      <c r="B1525" t="s">
        <v>365</v>
      </c>
      <c r="C1525" t="s">
        <v>10</v>
      </c>
      <c r="D1525">
        <v>1176</v>
      </c>
      <c r="E1525" s="4">
        <f t="shared" si="46"/>
        <v>44918</v>
      </c>
      <c r="F1525">
        <f t="shared" si="47"/>
        <v>111</v>
      </c>
    </row>
    <row r="1526" spans="1:6" x14ac:dyDescent="0.55000000000000004">
      <c r="A1526">
        <v>4.2265606458392428E+18</v>
      </c>
      <c r="B1526" t="s">
        <v>268</v>
      </c>
      <c r="C1526" t="s">
        <v>10</v>
      </c>
      <c r="D1526">
        <v>2428</v>
      </c>
      <c r="E1526" s="4">
        <f t="shared" si="46"/>
        <v>44620</v>
      </c>
      <c r="F1526">
        <f t="shared" si="47"/>
        <v>409</v>
      </c>
    </row>
    <row r="1527" spans="1:6" x14ac:dyDescent="0.55000000000000004">
      <c r="A1527">
        <v>1.592196729020561E+19</v>
      </c>
      <c r="B1527" t="s">
        <v>908</v>
      </c>
      <c r="C1527" t="s">
        <v>50</v>
      </c>
      <c r="D1527">
        <v>69</v>
      </c>
      <c r="E1527" s="4">
        <f t="shared" si="46"/>
        <v>43806</v>
      </c>
      <c r="F1527">
        <f t="shared" si="47"/>
        <v>1223</v>
      </c>
    </row>
    <row r="1528" spans="1:6" x14ac:dyDescent="0.55000000000000004">
      <c r="A1528">
        <v>3.4990096452295839E+18</v>
      </c>
      <c r="B1528" t="s">
        <v>861</v>
      </c>
      <c r="C1528" t="s">
        <v>10</v>
      </c>
      <c r="D1528">
        <v>117</v>
      </c>
      <c r="E1528" s="4">
        <f t="shared" si="46"/>
        <v>44686</v>
      </c>
      <c r="F1528">
        <f t="shared" si="47"/>
        <v>343</v>
      </c>
    </row>
    <row r="1529" spans="1:6" x14ac:dyDescent="0.55000000000000004">
      <c r="A1529">
        <v>5.7494670863138181E+18</v>
      </c>
      <c r="B1529" t="s">
        <v>909</v>
      </c>
      <c r="C1529" t="s">
        <v>7</v>
      </c>
      <c r="D1529">
        <v>283</v>
      </c>
      <c r="E1529" s="4">
        <f t="shared" si="46"/>
        <v>44496</v>
      </c>
      <c r="F1529">
        <f t="shared" si="47"/>
        <v>533</v>
      </c>
    </row>
    <row r="1530" spans="1:6" x14ac:dyDescent="0.55000000000000004">
      <c r="A1530">
        <v>1.114228487803357E+19</v>
      </c>
      <c r="B1530" t="s">
        <v>805</v>
      </c>
      <c r="C1530" t="s">
        <v>10</v>
      </c>
      <c r="D1530">
        <v>3122</v>
      </c>
      <c r="E1530" s="4">
        <f t="shared" si="46"/>
        <v>44868</v>
      </c>
      <c r="F1530">
        <f t="shared" si="47"/>
        <v>161</v>
      </c>
    </row>
    <row r="1531" spans="1:6" x14ac:dyDescent="0.55000000000000004">
      <c r="A1531">
        <v>1.334069472886059E+19</v>
      </c>
      <c r="B1531" t="s">
        <v>910</v>
      </c>
      <c r="C1531" t="s">
        <v>10</v>
      </c>
      <c r="D1531">
        <v>640</v>
      </c>
      <c r="E1531" s="4">
        <f t="shared" si="46"/>
        <v>44858</v>
      </c>
      <c r="F1531">
        <f t="shared" si="47"/>
        <v>171</v>
      </c>
    </row>
    <row r="1532" spans="1:6" x14ac:dyDescent="0.55000000000000004">
      <c r="A1532">
        <v>1.094188770247988E+19</v>
      </c>
      <c r="B1532" t="s">
        <v>911</v>
      </c>
      <c r="C1532" t="s">
        <v>13</v>
      </c>
      <c r="D1532">
        <v>2210</v>
      </c>
      <c r="E1532" s="4">
        <f t="shared" si="46"/>
        <v>44030</v>
      </c>
      <c r="F1532">
        <f t="shared" si="47"/>
        <v>999</v>
      </c>
    </row>
    <row r="1533" spans="1:6" x14ac:dyDescent="0.55000000000000004">
      <c r="A1533">
        <v>1.2730106014305079E+19</v>
      </c>
      <c r="B1533" t="s">
        <v>912</v>
      </c>
      <c r="C1533" t="s">
        <v>13</v>
      </c>
      <c r="D1533">
        <v>326</v>
      </c>
      <c r="E1533" s="4">
        <f t="shared" si="46"/>
        <v>44530</v>
      </c>
      <c r="F1533">
        <f t="shared" si="47"/>
        <v>499</v>
      </c>
    </row>
    <row r="1534" spans="1:6" x14ac:dyDescent="0.55000000000000004">
      <c r="A1534">
        <v>1.23873043178089E+19</v>
      </c>
      <c r="B1534" t="s">
        <v>909</v>
      </c>
      <c r="C1534" t="s">
        <v>46</v>
      </c>
      <c r="D1534">
        <v>586</v>
      </c>
      <c r="E1534" s="4">
        <f t="shared" si="46"/>
        <v>44496</v>
      </c>
      <c r="F1534">
        <f t="shared" si="47"/>
        <v>533</v>
      </c>
    </row>
    <row r="1535" spans="1:6" x14ac:dyDescent="0.55000000000000004">
      <c r="A1535">
        <v>1.1747066878444419E+19</v>
      </c>
      <c r="B1535" t="s">
        <v>913</v>
      </c>
      <c r="C1535" t="s">
        <v>50</v>
      </c>
      <c r="D1535">
        <v>74</v>
      </c>
      <c r="E1535" s="4">
        <f t="shared" si="46"/>
        <v>44233</v>
      </c>
      <c r="F1535">
        <f t="shared" si="47"/>
        <v>796</v>
      </c>
    </row>
    <row r="1536" spans="1:6" x14ac:dyDescent="0.55000000000000004">
      <c r="A1536">
        <v>1.6942746840926949E+19</v>
      </c>
      <c r="B1536" t="s">
        <v>914</v>
      </c>
      <c r="C1536" t="s">
        <v>5</v>
      </c>
      <c r="D1536">
        <v>2883</v>
      </c>
      <c r="E1536" s="4">
        <f t="shared" si="46"/>
        <v>44505</v>
      </c>
      <c r="F1536">
        <f t="shared" si="47"/>
        <v>524</v>
      </c>
    </row>
    <row r="1537" spans="1:6" x14ac:dyDescent="0.55000000000000004">
      <c r="A1537">
        <v>1.1993843456880841E+19</v>
      </c>
      <c r="B1537" t="s">
        <v>467</v>
      </c>
      <c r="C1537" t="s">
        <v>10</v>
      </c>
      <c r="D1537">
        <v>542</v>
      </c>
      <c r="E1537" s="4">
        <f t="shared" si="46"/>
        <v>44204</v>
      </c>
      <c r="F1537">
        <f t="shared" si="47"/>
        <v>825</v>
      </c>
    </row>
    <row r="1538" spans="1:6" x14ac:dyDescent="0.55000000000000004">
      <c r="A1538">
        <v>6.8994182060755128E+18</v>
      </c>
      <c r="B1538" t="s">
        <v>841</v>
      </c>
      <c r="C1538" t="s">
        <v>50</v>
      </c>
      <c r="D1538">
        <v>29</v>
      </c>
      <c r="E1538" s="4">
        <f t="shared" si="46"/>
        <v>44231</v>
      </c>
      <c r="F1538">
        <f t="shared" si="47"/>
        <v>798</v>
      </c>
    </row>
    <row r="1539" spans="1:6" x14ac:dyDescent="0.55000000000000004">
      <c r="A1539">
        <v>3.3189942654190188E+18</v>
      </c>
      <c r="B1539" t="s">
        <v>884</v>
      </c>
      <c r="C1539" t="s">
        <v>10</v>
      </c>
      <c r="D1539">
        <v>257</v>
      </c>
      <c r="E1539" s="4">
        <f t="shared" ref="E1539:E1602" si="48">DATEVALUE(B1539)</f>
        <v>44966</v>
      </c>
      <c r="F1539">
        <f t="shared" ref="F1539:F1602" si="49">$H$1-E1539</f>
        <v>63</v>
      </c>
    </row>
    <row r="1540" spans="1:6" x14ac:dyDescent="0.55000000000000004">
      <c r="A1540">
        <v>3.5415691263301038E+18</v>
      </c>
      <c r="B1540" t="s">
        <v>641</v>
      </c>
      <c r="C1540" t="s">
        <v>10</v>
      </c>
      <c r="D1540">
        <v>2120</v>
      </c>
      <c r="E1540" s="4">
        <f t="shared" si="48"/>
        <v>44634</v>
      </c>
      <c r="F1540">
        <f t="shared" si="49"/>
        <v>395</v>
      </c>
    </row>
    <row r="1541" spans="1:6" x14ac:dyDescent="0.55000000000000004">
      <c r="A1541">
        <v>5.1961716275844608E+18</v>
      </c>
      <c r="B1541" t="s">
        <v>216</v>
      </c>
      <c r="C1541" t="s">
        <v>10</v>
      </c>
      <c r="D1541">
        <v>1118</v>
      </c>
      <c r="E1541" s="4">
        <f t="shared" si="48"/>
        <v>44027</v>
      </c>
      <c r="F1541">
        <f t="shared" si="49"/>
        <v>1002</v>
      </c>
    </row>
    <row r="1542" spans="1:6" x14ac:dyDescent="0.55000000000000004">
      <c r="A1542">
        <v>1.479239400317328E+19</v>
      </c>
      <c r="B1542" t="s">
        <v>277</v>
      </c>
      <c r="C1542" t="s">
        <v>13</v>
      </c>
      <c r="D1542">
        <v>8717</v>
      </c>
      <c r="E1542" s="4">
        <f t="shared" si="48"/>
        <v>44871</v>
      </c>
      <c r="F1542">
        <f t="shared" si="49"/>
        <v>158</v>
      </c>
    </row>
    <row r="1543" spans="1:6" x14ac:dyDescent="0.55000000000000004">
      <c r="A1543">
        <v>1.8069216572077091E+19</v>
      </c>
      <c r="B1543" t="s">
        <v>791</v>
      </c>
      <c r="C1543" t="s">
        <v>13</v>
      </c>
      <c r="D1543">
        <v>2024</v>
      </c>
      <c r="E1543" s="4">
        <f t="shared" si="48"/>
        <v>45015</v>
      </c>
      <c r="F1543">
        <f t="shared" si="49"/>
        <v>14</v>
      </c>
    </row>
    <row r="1544" spans="1:6" x14ac:dyDescent="0.55000000000000004">
      <c r="A1544">
        <v>9.1256882912497848E+18</v>
      </c>
      <c r="B1544" t="s">
        <v>248</v>
      </c>
      <c r="C1544" t="s">
        <v>13</v>
      </c>
      <c r="D1544">
        <v>5778</v>
      </c>
      <c r="E1544" s="4">
        <f t="shared" si="48"/>
        <v>44518</v>
      </c>
      <c r="F1544">
        <f t="shared" si="49"/>
        <v>511</v>
      </c>
    </row>
    <row r="1545" spans="1:6" x14ac:dyDescent="0.55000000000000004">
      <c r="A1545">
        <v>8.4915234036773478E+18</v>
      </c>
      <c r="B1545" t="s">
        <v>84</v>
      </c>
      <c r="C1545" t="s">
        <v>13</v>
      </c>
      <c r="D1545">
        <v>800</v>
      </c>
      <c r="E1545" s="4">
        <f t="shared" si="48"/>
        <v>44230</v>
      </c>
      <c r="F1545">
        <f t="shared" si="49"/>
        <v>799</v>
      </c>
    </row>
    <row r="1546" spans="1:6" x14ac:dyDescent="0.55000000000000004">
      <c r="A1546">
        <v>1.389027299754768E+19</v>
      </c>
      <c r="B1546" t="s">
        <v>915</v>
      </c>
      <c r="C1546" t="s">
        <v>13</v>
      </c>
      <c r="D1546">
        <v>14400</v>
      </c>
      <c r="E1546" s="4">
        <f t="shared" si="48"/>
        <v>43766</v>
      </c>
      <c r="F1546">
        <f t="shared" si="49"/>
        <v>1263</v>
      </c>
    </row>
    <row r="1547" spans="1:6" x14ac:dyDescent="0.55000000000000004">
      <c r="A1547">
        <v>7.1104790862038682E+18</v>
      </c>
      <c r="B1547" t="s">
        <v>100</v>
      </c>
      <c r="C1547" t="s">
        <v>26</v>
      </c>
      <c r="D1547">
        <v>18200</v>
      </c>
      <c r="E1547" s="4">
        <f t="shared" si="48"/>
        <v>44909</v>
      </c>
      <c r="F1547">
        <f t="shared" si="49"/>
        <v>120</v>
      </c>
    </row>
    <row r="1548" spans="1:6" x14ac:dyDescent="0.55000000000000004">
      <c r="A1548">
        <v>8.2552264909253601E+18</v>
      </c>
      <c r="B1548" t="s">
        <v>475</v>
      </c>
      <c r="C1548" t="s">
        <v>46</v>
      </c>
      <c r="D1548">
        <v>624</v>
      </c>
      <c r="E1548" s="4">
        <f t="shared" si="48"/>
        <v>44847</v>
      </c>
      <c r="F1548">
        <f t="shared" si="49"/>
        <v>182</v>
      </c>
    </row>
    <row r="1549" spans="1:6" x14ac:dyDescent="0.55000000000000004">
      <c r="A1549">
        <v>1.256304617985765E+19</v>
      </c>
      <c r="B1549" t="s">
        <v>913</v>
      </c>
      <c r="C1549" t="s">
        <v>13</v>
      </c>
      <c r="D1549">
        <v>1248</v>
      </c>
      <c r="E1549" s="4">
        <f t="shared" si="48"/>
        <v>44233</v>
      </c>
      <c r="F1549">
        <f t="shared" si="49"/>
        <v>796</v>
      </c>
    </row>
    <row r="1550" spans="1:6" x14ac:dyDescent="0.55000000000000004">
      <c r="A1550">
        <v>4.6013205350899379E+17</v>
      </c>
      <c r="B1550" t="s">
        <v>102</v>
      </c>
      <c r="C1550" t="s">
        <v>13</v>
      </c>
      <c r="D1550">
        <v>1890</v>
      </c>
      <c r="E1550" s="4">
        <f t="shared" si="48"/>
        <v>44913</v>
      </c>
      <c r="F1550">
        <f t="shared" si="49"/>
        <v>116</v>
      </c>
    </row>
    <row r="1551" spans="1:6" x14ac:dyDescent="0.55000000000000004">
      <c r="A1551">
        <v>1.5844455560597929E+18</v>
      </c>
      <c r="B1551" t="s">
        <v>916</v>
      </c>
      <c r="C1551" t="s">
        <v>7</v>
      </c>
      <c r="D1551">
        <v>847</v>
      </c>
      <c r="E1551" s="4">
        <f t="shared" si="48"/>
        <v>44176</v>
      </c>
      <c r="F1551">
        <f t="shared" si="49"/>
        <v>853</v>
      </c>
    </row>
    <row r="1552" spans="1:6" x14ac:dyDescent="0.55000000000000004">
      <c r="A1552">
        <v>2.5423728986190152E+18</v>
      </c>
      <c r="B1552" t="s">
        <v>204</v>
      </c>
      <c r="C1552" t="s">
        <v>7</v>
      </c>
      <c r="D1552">
        <v>13</v>
      </c>
      <c r="E1552" s="4">
        <f t="shared" si="48"/>
        <v>44849</v>
      </c>
      <c r="F1552">
        <f t="shared" si="49"/>
        <v>180</v>
      </c>
    </row>
    <row r="1553" spans="1:6" x14ac:dyDescent="0.55000000000000004">
      <c r="A1553">
        <v>6.1701038095527096E+18</v>
      </c>
      <c r="B1553" t="s">
        <v>87</v>
      </c>
      <c r="C1553" t="s">
        <v>7</v>
      </c>
      <c r="D1553">
        <v>354</v>
      </c>
      <c r="E1553" s="4">
        <f t="shared" si="48"/>
        <v>44727</v>
      </c>
      <c r="F1553">
        <f t="shared" si="49"/>
        <v>302</v>
      </c>
    </row>
    <row r="1554" spans="1:6" x14ac:dyDescent="0.55000000000000004">
      <c r="A1554">
        <v>4.9679677734774938E+18</v>
      </c>
      <c r="B1554" t="s">
        <v>917</v>
      </c>
      <c r="C1554" t="s">
        <v>10</v>
      </c>
      <c r="D1554">
        <v>180</v>
      </c>
      <c r="E1554" s="4">
        <f t="shared" si="48"/>
        <v>43797</v>
      </c>
      <c r="F1554">
        <f t="shared" si="49"/>
        <v>1232</v>
      </c>
    </row>
    <row r="1555" spans="1:6" x14ac:dyDescent="0.55000000000000004">
      <c r="A1555">
        <v>4.8328095164550554E+18</v>
      </c>
      <c r="B1555" t="s">
        <v>169</v>
      </c>
      <c r="C1555" t="s">
        <v>10</v>
      </c>
      <c r="D1555">
        <v>398</v>
      </c>
      <c r="E1555" s="4">
        <f t="shared" si="48"/>
        <v>44291</v>
      </c>
      <c r="F1555">
        <f t="shared" si="49"/>
        <v>738</v>
      </c>
    </row>
    <row r="1556" spans="1:6" x14ac:dyDescent="0.55000000000000004">
      <c r="A1556">
        <v>1.76949978522245E+19</v>
      </c>
      <c r="B1556" t="s">
        <v>918</v>
      </c>
      <c r="C1556" t="s">
        <v>10</v>
      </c>
      <c r="D1556">
        <v>190</v>
      </c>
      <c r="E1556" s="4">
        <f t="shared" si="48"/>
        <v>44515</v>
      </c>
      <c r="F1556">
        <f t="shared" si="49"/>
        <v>514</v>
      </c>
    </row>
    <row r="1557" spans="1:6" x14ac:dyDescent="0.55000000000000004">
      <c r="A1557">
        <v>1.463134652866695E+19</v>
      </c>
      <c r="B1557" t="s">
        <v>791</v>
      </c>
      <c r="C1557" t="s">
        <v>5</v>
      </c>
      <c r="D1557">
        <v>990</v>
      </c>
      <c r="E1557" s="4">
        <f t="shared" si="48"/>
        <v>45015</v>
      </c>
      <c r="F1557">
        <f t="shared" si="49"/>
        <v>14</v>
      </c>
    </row>
    <row r="1558" spans="1:6" x14ac:dyDescent="0.55000000000000004">
      <c r="A1558">
        <v>5.3973038049061745E+18</v>
      </c>
      <c r="B1558" t="s">
        <v>919</v>
      </c>
      <c r="C1558" t="s">
        <v>10</v>
      </c>
      <c r="D1558">
        <v>562291</v>
      </c>
      <c r="E1558" s="4">
        <f t="shared" si="48"/>
        <v>42432</v>
      </c>
      <c r="F1558">
        <f t="shared" si="49"/>
        <v>2597</v>
      </c>
    </row>
    <row r="1559" spans="1:6" x14ac:dyDescent="0.55000000000000004">
      <c r="A1559">
        <v>1.604934454293963E+19</v>
      </c>
      <c r="B1559" t="s">
        <v>873</v>
      </c>
      <c r="C1559" t="s">
        <v>10</v>
      </c>
      <c r="D1559">
        <v>957</v>
      </c>
      <c r="E1559" s="4">
        <f t="shared" si="48"/>
        <v>44127</v>
      </c>
      <c r="F1559">
        <f t="shared" si="49"/>
        <v>902</v>
      </c>
    </row>
    <row r="1560" spans="1:6" x14ac:dyDescent="0.55000000000000004">
      <c r="A1560">
        <v>6.3061077703786875E+18</v>
      </c>
      <c r="B1560" t="s">
        <v>492</v>
      </c>
      <c r="C1560" t="s">
        <v>13</v>
      </c>
      <c r="D1560">
        <v>721</v>
      </c>
      <c r="E1560" s="4">
        <f t="shared" si="48"/>
        <v>44710</v>
      </c>
      <c r="F1560">
        <f t="shared" si="49"/>
        <v>319</v>
      </c>
    </row>
    <row r="1561" spans="1:6" x14ac:dyDescent="0.55000000000000004">
      <c r="A1561">
        <v>8.1358042860853842E+18</v>
      </c>
      <c r="B1561" t="s">
        <v>248</v>
      </c>
      <c r="C1561" t="s">
        <v>10</v>
      </c>
      <c r="D1561">
        <v>1169</v>
      </c>
      <c r="E1561" s="4">
        <f t="shared" si="48"/>
        <v>44518</v>
      </c>
      <c r="F1561">
        <f t="shared" si="49"/>
        <v>511</v>
      </c>
    </row>
    <row r="1562" spans="1:6" x14ac:dyDescent="0.55000000000000004">
      <c r="A1562">
        <v>1.2563713193918501E+19</v>
      </c>
      <c r="B1562" t="s">
        <v>920</v>
      </c>
      <c r="C1562" t="s">
        <v>7</v>
      </c>
      <c r="D1562">
        <v>96</v>
      </c>
      <c r="E1562" s="4">
        <f t="shared" si="48"/>
        <v>44043</v>
      </c>
      <c r="F1562">
        <f t="shared" si="49"/>
        <v>986</v>
      </c>
    </row>
    <row r="1563" spans="1:6" x14ac:dyDescent="0.55000000000000004">
      <c r="A1563">
        <v>7.7537419316894781E+18</v>
      </c>
      <c r="B1563" t="s">
        <v>392</v>
      </c>
      <c r="C1563" t="s">
        <v>10</v>
      </c>
      <c r="D1563">
        <v>796</v>
      </c>
      <c r="E1563" s="4">
        <f t="shared" si="48"/>
        <v>45013</v>
      </c>
      <c r="F1563">
        <f t="shared" si="49"/>
        <v>16</v>
      </c>
    </row>
    <row r="1564" spans="1:6" x14ac:dyDescent="0.55000000000000004">
      <c r="A1564">
        <v>6.5055564192307231E+18</v>
      </c>
      <c r="B1564" t="s">
        <v>714</v>
      </c>
      <c r="C1564" t="s">
        <v>50</v>
      </c>
      <c r="D1564">
        <v>539</v>
      </c>
      <c r="E1564" s="4">
        <f t="shared" si="48"/>
        <v>44935</v>
      </c>
      <c r="F1564">
        <f t="shared" si="49"/>
        <v>94</v>
      </c>
    </row>
    <row r="1565" spans="1:6" x14ac:dyDescent="0.55000000000000004">
      <c r="A1565">
        <v>1.164141837793793E+19</v>
      </c>
      <c r="B1565" t="s">
        <v>37</v>
      </c>
      <c r="C1565" t="s">
        <v>10</v>
      </c>
      <c r="D1565">
        <v>1590</v>
      </c>
      <c r="E1565" s="4">
        <f t="shared" si="48"/>
        <v>44663</v>
      </c>
      <c r="F1565">
        <f t="shared" si="49"/>
        <v>366</v>
      </c>
    </row>
    <row r="1566" spans="1:6" x14ac:dyDescent="0.55000000000000004">
      <c r="A1566">
        <v>1.16270284136449E+19</v>
      </c>
      <c r="B1566" t="s">
        <v>750</v>
      </c>
      <c r="C1566" t="s">
        <v>10</v>
      </c>
      <c r="D1566">
        <v>2157</v>
      </c>
      <c r="E1566" s="4">
        <f t="shared" si="48"/>
        <v>44321</v>
      </c>
      <c r="F1566">
        <f t="shared" si="49"/>
        <v>708</v>
      </c>
    </row>
    <row r="1567" spans="1:6" x14ac:dyDescent="0.55000000000000004">
      <c r="A1567">
        <v>1.769683217212792E+19</v>
      </c>
      <c r="B1567" t="s">
        <v>921</v>
      </c>
      <c r="C1567" t="s">
        <v>10</v>
      </c>
      <c r="D1567">
        <v>3735</v>
      </c>
      <c r="E1567" s="4">
        <f t="shared" si="48"/>
        <v>44172</v>
      </c>
      <c r="F1567">
        <f t="shared" si="49"/>
        <v>857</v>
      </c>
    </row>
    <row r="1568" spans="1:6" x14ac:dyDescent="0.55000000000000004">
      <c r="A1568">
        <v>4.2908079193108336E+16</v>
      </c>
      <c r="B1568" t="s">
        <v>922</v>
      </c>
      <c r="C1568" t="s">
        <v>13</v>
      </c>
      <c r="D1568">
        <v>723</v>
      </c>
      <c r="E1568" s="4">
        <f t="shared" si="48"/>
        <v>44216</v>
      </c>
      <c r="F1568">
        <f t="shared" si="49"/>
        <v>813</v>
      </c>
    </row>
    <row r="1569" spans="1:6" x14ac:dyDescent="0.55000000000000004">
      <c r="A1569">
        <v>3.723064905456257E+18</v>
      </c>
      <c r="B1569" t="s">
        <v>772</v>
      </c>
      <c r="C1569" t="s">
        <v>10</v>
      </c>
      <c r="D1569">
        <v>120</v>
      </c>
      <c r="E1569" s="4">
        <f t="shared" si="48"/>
        <v>43877</v>
      </c>
      <c r="F1569">
        <f t="shared" si="49"/>
        <v>1152</v>
      </c>
    </row>
    <row r="1570" spans="1:6" x14ac:dyDescent="0.55000000000000004">
      <c r="A1570">
        <v>7.8213919786076019E+17</v>
      </c>
      <c r="B1570" t="s">
        <v>394</v>
      </c>
      <c r="C1570" t="s">
        <v>13</v>
      </c>
      <c r="D1570">
        <v>296</v>
      </c>
      <c r="E1570" s="4">
        <f t="shared" si="48"/>
        <v>44819</v>
      </c>
      <c r="F1570">
        <f t="shared" si="49"/>
        <v>210</v>
      </c>
    </row>
    <row r="1571" spans="1:6" x14ac:dyDescent="0.55000000000000004">
      <c r="A1571">
        <v>1.207189860297103E+19</v>
      </c>
      <c r="B1571" t="s">
        <v>923</v>
      </c>
      <c r="C1571" t="s">
        <v>13</v>
      </c>
      <c r="D1571">
        <v>1752</v>
      </c>
      <c r="E1571" s="4">
        <f t="shared" si="48"/>
        <v>44782</v>
      </c>
      <c r="F1571">
        <f t="shared" si="49"/>
        <v>247</v>
      </c>
    </row>
    <row r="1572" spans="1:6" x14ac:dyDescent="0.55000000000000004">
      <c r="A1572">
        <v>1.281723145494827E+19</v>
      </c>
      <c r="B1572" t="s">
        <v>924</v>
      </c>
      <c r="C1572" t="s">
        <v>10</v>
      </c>
      <c r="D1572">
        <v>198</v>
      </c>
      <c r="E1572" s="4">
        <f t="shared" si="48"/>
        <v>44670</v>
      </c>
      <c r="F1572">
        <f t="shared" si="49"/>
        <v>359</v>
      </c>
    </row>
    <row r="1573" spans="1:6" x14ac:dyDescent="0.55000000000000004">
      <c r="A1573">
        <v>9.7780975587307356E+18</v>
      </c>
      <c r="B1573" t="s">
        <v>925</v>
      </c>
      <c r="C1573" t="s">
        <v>10</v>
      </c>
      <c r="D1573">
        <v>299</v>
      </c>
      <c r="E1573" s="4">
        <f t="shared" si="48"/>
        <v>44185</v>
      </c>
      <c r="F1573">
        <f t="shared" si="49"/>
        <v>844</v>
      </c>
    </row>
    <row r="1574" spans="1:6" x14ac:dyDescent="0.55000000000000004">
      <c r="A1574">
        <v>1.3123330818423609E+19</v>
      </c>
      <c r="B1574" t="s">
        <v>587</v>
      </c>
      <c r="C1574" t="s">
        <v>13</v>
      </c>
      <c r="D1574">
        <v>889</v>
      </c>
      <c r="E1574" s="4">
        <f t="shared" si="48"/>
        <v>44729</v>
      </c>
      <c r="F1574">
        <f t="shared" si="49"/>
        <v>300</v>
      </c>
    </row>
    <row r="1575" spans="1:6" x14ac:dyDescent="0.55000000000000004">
      <c r="A1575">
        <v>4.6112523702828739E+18</v>
      </c>
      <c r="B1575" t="s">
        <v>203</v>
      </c>
      <c r="C1575" t="s">
        <v>46</v>
      </c>
      <c r="D1575">
        <v>1170</v>
      </c>
      <c r="E1575" s="4">
        <f t="shared" si="48"/>
        <v>44875</v>
      </c>
      <c r="F1575">
        <f t="shared" si="49"/>
        <v>154</v>
      </c>
    </row>
    <row r="1576" spans="1:6" x14ac:dyDescent="0.55000000000000004">
      <c r="A1576">
        <v>4.2728264437008538E+18</v>
      </c>
      <c r="B1576" t="s">
        <v>251</v>
      </c>
      <c r="C1576" t="s">
        <v>10</v>
      </c>
      <c r="D1576">
        <v>580</v>
      </c>
      <c r="E1576" s="4">
        <f t="shared" si="48"/>
        <v>44863</v>
      </c>
      <c r="F1576">
        <f t="shared" si="49"/>
        <v>166</v>
      </c>
    </row>
    <row r="1577" spans="1:6" x14ac:dyDescent="0.55000000000000004">
      <c r="A1577">
        <v>1.346306073628568E+19</v>
      </c>
      <c r="B1577" t="s">
        <v>926</v>
      </c>
      <c r="C1577" t="s">
        <v>7</v>
      </c>
      <c r="D1577">
        <v>36</v>
      </c>
      <c r="E1577" s="4">
        <f t="shared" si="48"/>
        <v>43968</v>
      </c>
      <c r="F1577">
        <f t="shared" si="49"/>
        <v>1061</v>
      </c>
    </row>
    <row r="1578" spans="1:6" x14ac:dyDescent="0.55000000000000004">
      <c r="A1578">
        <v>6.2994961456809595E+18</v>
      </c>
      <c r="B1578" t="s">
        <v>426</v>
      </c>
      <c r="C1578" t="s">
        <v>7</v>
      </c>
      <c r="D1578">
        <v>440</v>
      </c>
      <c r="E1578" s="4">
        <f t="shared" si="48"/>
        <v>44073</v>
      </c>
      <c r="F1578">
        <f t="shared" si="49"/>
        <v>956</v>
      </c>
    </row>
    <row r="1579" spans="1:6" x14ac:dyDescent="0.55000000000000004">
      <c r="A1579">
        <v>5.3784676578982953E+18</v>
      </c>
      <c r="B1579" t="s">
        <v>209</v>
      </c>
      <c r="C1579" t="s">
        <v>13</v>
      </c>
      <c r="D1579">
        <v>1291</v>
      </c>
      <c r="E1579" s="4">
        <f t="shared" si="48"/>
        <v>44940</v>
      </c>
      <c r="F1579">
        <f t="shared" si="49"/>
        <v>89</v>
      </c>
    </row>
    <row r="1580" spans="1:6" x14ac:dyDescent="0.55000000000000004">
      <c r="A1580">
        <v>1.190775768037523E+19</v>
      </c>
      <c r="B1580" t="s">
        <v>927</v>
      </c>
      <c r="C1580" t="s">
        <v>10</v>
      </c>
      <c r="D1580">
        <v>435</v>
      </c>
      <c r="E1580" s="4">
        <f t="shared" si="48"/>
        <v>44775</v>
      </c>
      <c r="F1580">
        <f t="shared" si="49"/>
        <v>254</v>
      </c>
    </row>
    <row r="1581" spans="1:6" x14ac:dyDescent="0.55000000000000004">
      <c r="A1581">
        <v>1.627590938849545E+19</v>
      </c>
      <c r="B1581" t="s">
        <v>355</v>
      </c>
      <c r="C1581" t="s">
        <v>13</v>
      </c>
      <c r="D1581">
        <v>2390</v>
      </c>
      <c r="E1581" s="4">
        <f t="shared" si="48"/>
        <v>44330</v>
      </c>
      <c r="F1581">
        <f t="shared" si="49"/>
        <v>699</v>
      </c>
    </row>
    <row r="1582" spans="1:6" x14ac:dyDescent="0.55000000000000004">
      <c r="A1582">
        <v>2.5539692136129722E+17</v>
      </c>
      <c r="B1582" t="s">
        <v>830</v>
      </c>
      <c r="C1582" t="s">
        <v>50</v>
      </c>
      <c r="D1582">
        <v>39</v>
      </c>
      <c r="E1582" s="4">
        <f t="shared" si="48"/>
        <v>44685</v>
      </c>
      <c r="F1582">
        <f t="shared" si="49"/>
        <v>344</v>
      </c>
    </row>
    <row r="1583" spans="1:6" x14ac:dyDescent="0.55000000000000004">
      <c r="A1583">
        <v>6.2343246215722609E+18</v>
      </c>
      <c r="B1583" t="s">
        <v>928</v>
      </c>
      <c r="C1583" t="s">
        <v>10</v>
      </c>
      <c r="D1583">
        <v>1265</v>
      </c>
      <c r="E1583" s="4">
        <f t="shared" si="48"/>
        <v>43868</v>
      </c>
      <c r="F1583">
        <f t="shared" si="49"/>
        <v>1161</v>
      </c>
    </row>
    <row r="1584" spans="1:6" x14ac:dyDescent="0.55000000000000004">
      <c r="A1584">
        <v>5.3711356378921155E+18</v>
      </c>
      <c r="B1584" t="s">
        <v>66</v>
      </c>
      <c r="C1584" t="s">
        <v>13</v>
      </c>
      <c r="D1584">
        <v>7799</v>
      </c>
      <c r="E1584" s="4">
        <f t="shared" si="48"/>
        <v>44789</v>
      </c>
      <c r="F1584">
        <f t="shared" si="49"/>
        <v>240</v>
      </c>
    </row>
    <row r="1585" spans="1:6" x14ac:dyDescent="0.55000000000000004">
      <c r="A1585">
        <v>6.9649657700650465E+18</v>
      </c>
      <c r="B1585" t="s">
        <v>531</v>
      </c>
      <c r="C1585" t="s">
        <v>13</v>
      </c>
      <c r="D1585">
        <v>8810</v>
      </c>
      <c r="E1585" s="4">
        <f t="shared" si="48"/>
        <v>45028</v>
      </c>
      <c r="F1585">
        <f t="shared" si="49"/>
        <v>1</v>
      </c>
    </row>
    <row r="1586" spans="1:6" x14ac:dyDescent="0.55000000000000004">
      <c r="A1586">
        <v>1.107480986434713E+19</v>
      </c>
      <c r="B1586" t="s">
        <v>562</v>
      </c>
      <c r="C1586" t="s">
        <v>13</v>
      </c>
      <c r="D1586">
        <v>620</v>
      </c>
      <c r="E1586" s="4">
        <f t="shared" si="48"/>
        <v>44052</v>
      </c>
      <c r="F1586">
        <f t="shared" si="49"/>
        <v>977</v>
      </c>
    </row>
    <row r="1587" spans="1:6" x14ac:dyDescent="0.55000000000000004">
      <c r="A1587">
        <v>5.3973038049061745E+18</v>
      </c>
      <c r="B1587" t="s">
        <v>929</v>
      </c>
      <c r="C1587" t="s">
        <v>10</v>
      </c>
      <c r="D1587">
        <v>1248900.6000000001</v>
      </c>
      <c r="E1587" s="4">
        <f t="shared" si="48"/>
        <v>43416</v>
      </c>
      <c r="F1587">
        <f t="shared" si="49"/>
        <v>1613</v>
      </c>
    </row>
    <row r="1588" spans="1:6" x14ac:dyDescent="0.55000000000000004">
      <c r="A1588">
        <v>6.88461090437325E+18</v>
      </c>
      <c r="B1588" t="s">
        <v>853</v>
      </c>
      <c r="C1588" t="s">
        <v>5</v>
      </c>
      <c r="D1588">
        <v>3000</v>
      </c>
      <c r="E1588" s="4">
        <f t="shared" si="48"/>
        <v>44664</v>
      </c>
      <c r="F1588">
        <f t="shared" si="49"/>
        <v>365</v>
      </c>
    </row>
    <row r="1589" spans="1:6" x14ac:dyDescent="0.55000000000000004">
      <c r="A1589">
        <v>1.0033289922119229E+19</v>
      </c>
      <c r="B1589" t="s">
        <v>165</v>
      </c>
      <c r="C1589" t="s">
        <v>10</v>
      </c>
      <c r="D1589">
        <v>1319</v>
      </c>
      <c r="E1589" s="4">
        <f t="shared" si="48"/>
        <v>44513</v>
      </c>
      <c r="F1589">
        <f t="shared" si="49"/>
        <v>516</v>
      </c>
    </row>
    <row r="1590" spans="1:6" x14ac:dyDescent="0.55000000000000004">
      <c r="A1590">
        <v>1.3203014623844721E+19</v>
      </c>
      <c r="B1590" t="s">
        <v>475</v>
      </c>
      <c r="C1590" t="s">
        <v>13</v>
      </c>
      <c r="D1590">
        <v>445</v>
      </c>
      <c r="E1590" s="4">
        <f t="shared" si="48"/>
        <v>44847</v>
      </c>
      <c r="F1590">
        <f t="shared" si="49"/>
        <v>182</v>
      </c>
    </row>
    <row r="1591" spans="1:6" x14ac:dyDescent="0.55000000000000004">
      <c r="A1591">
        <v>5.3366388308756603E+18</v>
      </c>
      <c r="B1591" t="s">
        <v>21</v>
      </c>
      <c r="C1591" t="s">
        <v>13</v>
      </c>
      <c r="D1591">
        <v>3080</v>
      </c>
      <c r="E1591" s="4">
        <f t="shared" si="48"/>
        <v>44563</v>
      </c>
      <c r="F1591">
        <f t="shared" si="49"/>
        <v>466</v>
      </c>
    </row>
    <row r="1592" spans="1:6" x14ac:dyDescent="0.55000000000000004">
      <c r="A1592">
        <v>8.5938988973577247E+18</v>
      </c>
      <c r="B1592" t="s">
        <v>851</v>
      </c>
      <c r="C1592" t="s">
        <v>10</v>
      </c>
      <c r="D1592">
        <v>1354</v>
      </c>
      <c r="E1592" s="4">
        <f t="shared" si="48"/>
        <v>43873</v>
      </c>
      <c r="F1592">
        <f t="shared" si="49"/>
        <v>1156</v>
      </c>
    </row>
    <row r="1593" spans="1:6" x14ac:dyDescent="0.55000000000000004">
      <c r="A1593">
        <v>2.8877773766432451E+18</v>
      </c>
      <c r="B1593" t="s">
        <v>930</v>
      </c>
      <c r="C1593" t="s">
        <v>10</v>
      </c>
      <c r="D1593">
        <v>199</v>
      </c>
      <c r="E1593" s="4">
        <f t="shared" si="48"/>
        <v>44688</v>
      </c>
      <c r="F1593">
        <f t="shared" si="49"/>
        <v>341</v>
      </c>
    </row>
    <row r="1594" spans="1:6" x14ac:dyDescent="0.55000000000000004">
      <c r="A1594">
        <v>1.7614093725734171E+19</v>
      </c>
      <c r="B1594" t="s">
        <v>117</v>
      </c>
      <c r="C1594" t="s">
        <v>10</v>
      </c>
      <c r="D1594">
        <v>6975</v>
      </c>
      <c r="E1594" s="4">
        <f t="shared" si="48"/>
        <v>44122</v>
      </c>
      <c r="F1594">
        <f t="shared" si="49"/>
        <v>907</v>
      </c>
    </row>
    <row r="1595" spans="1:6" x14ac:dyDescent="0.55000000000000004">
      <c r="A1595">
        <v>1.6854811492381499E+19</v>
      </c>
      <c r="B1595" t="s">
        <v>931</v>
      </c>
      <c r="C1595" t="s">
        <v>5</v>
      </c>
      <c r="D1595">
        <v>1761</v>
      </c>
      <c r="E1595" s="4">
        <f t="shared" si="48"/>
        <v>44356</v>
      </c>
      <c r="F1595">
        <f t="shared" si="49"/>
        <v>673</v>
      </c>
    </row>
    <row r="1596" spans="1:6" x14ac:dyDescent="0.55000000000000004">
      <c r="A1596">
        <v>7.0952950250837617E+18</v>
      </c>
      <c r="B1596" t="s">
        <v>153</v>
      </c>
      <c r="C1596" t="s">
        <v>13</v>
      </c>
      <c r="D1596">
        <v>660</v>
      </c>
      <c r="E1596" s="4">
        <f t="shared" si="48"/>
        <v>44327</v>
      </c>
      <c r="F1596">
        <f t="shared" si="49"/>
        <v>702</v>
      </c>
    </row>
    <row r="1597" spans="1:6" x14ac:dyDescent="0.55000000000000004">
      <c r="A1597">
        <v>9.4514269476234404E+18</v>
      </c>
      <c r="B1597" t="s">
        <v>805</v>
      </c>
      <c r="C1597" t="s">
        <v>10</v>
      </c>
      <c r="D1597">
        <v>3601</v>
      </c>
      <c r="E1597" s="4">
        <f t="shared" si="48"/>
        <v>44868</v>
      </c>
      <c r="F1597">
        <f t="shared" si="49"/>
        <v>161</v>
      </c>
    </row>
    <row r="1598" spans="1:6" x14ac:dyDescent="0.55000000000000004">
      <c r="A1598">
        <v>3.2594632490669732E+18</v>
      </c>
      <c r="B1598" t="s">
        <v>165</v>
      </c>
      <c r="C1598" t="s">
        <v>5</v>
      </c>
      <c r="D1598">
        <v>644</v>
      </c>
      <c r="E1598" s="4">
        <f t="shared" si="48"/>
        <v>44513</v>
      </c>
      <c r="F1598">
        <f t="shared" si="49"/>
        <v>516</v>
      </c>
    </row>
    <row r="1599" spans="1:6" x14ac:dyDescent="0.55000000000000004">
      <c r="A1599">
        <v>8.9832999901843036E+18</v>
      </c>
      <c r="B1599" t="s">
        <v>136</v>
      </c>
      <c r="C1599" t="s">
        <v>13</v>
      </c>
      <c r="D1599">
        <v>249</v>
      </c>
      <c r="E1599" s="4">
        <f t="shared" si="48"/>
        <v>44955</v>
      </c>
      <c r="F1599">
        <f t="shared" si="49"/>
        <v>74</v>
      </c>
    </row>
    <row r="1600" spans="1:6" x14ac:dyDescent="0.55000000000000004">
      <c r="A1600">
        <v>1.2743829300151161E+19</v>
      </c>
      <c r="B1600" t="s">
        <v>857</v>
      </c>
      <c r="C1600" t="s">
        <v>26</v>
      </c>
      <c r="D1600">
        <v>387</v>
      </c>
      <c r="E1600" s="4">
        <f t="shared" si="48"/>
        <v>44150</v>
      </c>
      <c r="F1600">
        <f t="shared" si="49"/>
        <v>879</v>
      </c>
    </row>
    <row r="1601" spans="1:6" x14ac:dyDescent="0.55000000000000004">
      <c r="A1601">
        <v>6.3481624462595748E+18</v>
      </c>
      <c r="B1601" t="s">
        <v>736</v>
      </c>
      <c r="C1601" t="s">
        <v>10</v>
      </c>
      <c r="D1601">
        <v>670</v>
      </c>
      <c r="E1601" s="4">
        <f t="shared" si="48"/>
        <v>44702</v>
      </c>
      <c r="F1601">
        <f t="shared" si="49"/>
        <v>327</v>
      </c>
    </row>
    <row r="1602" spans="1:6" x14ac:dyDescent="0.55000000000000004">
      <c r="A1602">
        <v>1.671170596198391E+19</v>
      </c>
      <c r="B1602" t="s">
        <v>94</v>
      </c>
      <c r="C1602" t="s">
        <v>10</v>
      </c>
      <c r="D1602">
        <v>129</v>
      </c>
      <c r="E1602" s="4">
        <f t="shared" si="48"/>
        <v>44600</v>
      </c>
      <c r="F1602">
        <f t="shared" si="49"/>
        <v>429</v>
      </c>
    </row>
    <row r="1603" spans="1:6" x14ac:dyDescent="0.55000000000000004">
      <c r="A1603">
        <v>5.8495625339273144E+18</v>
      </c>
      <c r="B1603" t="s">
        <v>702</v>
      </c>
      <c r="C1603" t="s">
        <v>10</v>
      </c>
      <c r="D1603">
        <v>160</v>
      </c>
      <c r="E1603" s="4">
        <f t="shared" ref="E1603:E1666" si="50">DATEVALUE(B1603)</f>
        <v>44721</v>
      </c>
      <c r="F1603">
        <f t="shared" ref="F1603:F1666" si="51">$H$1-E1603</f>
        <v>308</v>
      </c>
    </row>
    <row r="1604" spans="1:6" x14ac:dyDescent="0.55000000000000004">
      <c r="A1604">
        <v>1.6357872062173041E+19</v>
      </c>
      <c r="B1604" t="s">
        <v>416</v>
      </c>
      <c r="C1604" t="s">
        <v>13</v>
      </c>
      <c r="D1604">
        <v>2190</v>
      </c>
      <c r="E1604" s="4">
        <f t="shared" si="50"/>
        <v>43772</v>
      </c>
      <c r="F1604">
        <f t="shared" si="51"/>
        <v>1257</v>
      </c>
    </row>
    <row r="1605" spans="1:6" x14ac:dyDescent="0.55000000000000004">
      <c r="A1605">
        <v>1.6771555217699459E+19</v>
      </c>
      <c r="B1605" t="s">
        <v>932</v>
      </c>
      <c r="C1605" t="s">
        <v>7</v>
      </c>
      <c r="D1605">
        <v>806</v>
      </c>
      <c r="E1605" s="4">
        <f t="shared" si="50"/>
        <v>44806</v>
      </c>
      <c r="F1605">
        <f t="shared" si="51"/>
        <v>223</v>
      </c>
    </row>
    <row r="1606" spans="1:6" x14ac:dyDescent="0.55000000000000004">
      <c r="A1606">
        <v>1.6622913504659589E+19</v>
      </c>
      <c r="B1606" t="s">
        <v>920</v>
      </c>
      <c r="C1606" t="s">
        <v>13</v>
      </c>
      <c r="D1606">
        <v>6210</v>
      </c>
      <c r="E1606" s="4">
        <f t="shared" si="50"/>
        <v>44043</v>
      </c>
      <c r="F1606">
        <f t="shared" si="51"/>
        <v>986</v>
      </c>
    </row>
    <row r="1607" spans="1:6" x14ac:dyDescent="0.55000000000000004">
      <c r="A1607">
        <v>6.4055489536641393E+18</v>
      </c>
      <c r="B1607" t="s">
        <v>347</v>
      </c>
      <c r="C1607" t="s">
        <v>10</v>
      </c>
      <c r="D1607">
        <v>2600</v>
      </c>
      <c r="E1607" s="4">
        <f t="shared" si="50"/>
        <v>44857</v>
      </c>
      <c r="F1607">
        <f t="shared" si="51"/>
        <v>172</v>
      </c>
    </row>
    <row r="1608" spans="1:6" x14ac:dyDescent="0.55000000000000004">
      <c r="A1608">
        <v>1.4940908673437481E+19</v>
      </c>
      <c r="B1608" t="s">
        <v>708</v>
      </c>
      <c r="C1608" t="s">
        <v>13</v>
      </c>
      <c r="D1608">
        <v>5640</v>
      </c>
      <c r="E1608" s="4">
        <f t="shared" si="50"/>
        <v>44822</v>
      </c>
      <c r="F1608">
        <f t="shared" si="51"/>
        <v>207</v>
      </c>
    </row>
    <row r="1609" spans="1:6" x14ac:dyDescent="0.55000000000000004">
      <c r="A1609">
        <v>1.482565375584491E+18</v>
      </c>
      <c r="B1609" t="s">
        <v>571</v>
      </c>
      <c r="C1609" t="s">
        <v>10</v>
      </c>
      <c r="D1609">
        <v>398</v>
      </c>
      <c r="E1609" s="4">
        <f t="shared" si="50"/>
        <v>44718</v>
      </c>
      <c r="F1609">
        <f t="shared" si="51"/>
        <v>311</v>
      </c>
    </row>
    <row r="1610" spans="1:6" x14ac:dyDescent="0.55000000000000004">
      <c r="A1610">
        <v>5.3973038049061745E+18</v>
      </c>
      <c r="B1610" t="s">
        <v>933</v>
      </c>
      <c r="C1610" t="s">
        <v>46</v>
      </c>
      <c r="D1610">
        <v>160550.20000000001</v>
      </c>
      <c r="E1610" s="4">
        <f t="shared" si="50"/>
        <v>42771</v>
      </c>
      <c r="F1610">
        <f t="shared" si="51"/>
        <v>2258</v>
      </c>
    </row>
    <row r="1611" spans="1:6" x14ac:dyDescent="0.55000000000000004">
      <c r="A1611">
        <v>1.56524110507473E+19</v>
      </c>
      <c r="B1611" t="s">
        <v>363</v>
      </c>
      <c r="C1611" t="s">
        <v>10</v>
      </c>
      <c r="D1611">
        <v>6640</v>
      </c>
      <c r="E1611" s="4">
        <f t="shared" si="50"/>
        <v>44454</v>
      </c>
      <c r="F1611">
        <f t="shared" si="51"/>
        <v>575</v>
      </c>
    </row>
    <row r="1612" spans="1:6" x14ac:dyDescent="0.55000000000000004">
      <c r="A1612">
        <v>8.3047703636024269E+18</v>
      </c>
      <c r="B1612" t="s">
        <v>813</v>
      </c>
      <c r="C1612" t="s">
        <v>10</v>
      </c>
      <c r="D1612">
        <v>326</v>
      </c>
      <c r="E1612" s="4">
        <f t="shared" si="50"/>
        <v>44461</v>
      </c>
      <c r="F1612">
        <f t="shared" si="51"/>
        <v>568</v>
      </c>
    </row>
    <row r="1613" spans="1:6" x14ac:dyDescent="0.55000000000000004">
      <c r="A1613">
        <v>6.2608471938323026E+18</v>
      </c>
      <c r="B1613" t="s">
        <v>346</v>
      </c>
      <c r="C1613" t="s">
        <v>10</v>
      </c>
      <c r="D1613">
        <v>1069</v>
      </c>
      <c r="E1613" s="4">
        <f t="shared" si="50"/>
        <v>44192</v>
      </c>
      <c r="F1613">
        <f t="shared" si="51"/>
        <v>837</v>
      </c>
    </row>
    <row r="1614" spans="1:6" x14ac:dyDescent="0.55000000000000004">
      <c r="A1614">
        <v>3.4031196728040279E+18</v>
      </c>
      <c r="B1614" t="s">
        <v>310</v>
      </c>
      <c r="C1614" t="s">
        <v>10</v>
      </c>
      <c r="D1614">
        <v>510</v>
      </c>
      <c r="E1614" s="4">
        <f t="shared" si="50"/>
        <v>44427</v>
      </c>
      <c r="F1614">
        <f t="shared" si="51"/>
        <v>602</v>
      </c>
    </row>
    <row r="1615" spans="1:6" x14ac:dyDescent="0.55000000000000004">
      <c r="A1615">
        <v>1.7799815536532591E+19</v>
      </c>
      <c r="B1615" t="s">
        <v>835</v>
      </c>
      <c r="C1615" t="s">
        <v>7</v>
      </c>
      <c r="D1615">
        <v>0</v>
      </c>
      <c r="E1615" s="4">
        <f t="shared" si="50"/>
        <v>44844</v>
      </c>
      <c r="F1615">
        <f t="shared" si="51"/>
        <v>185</v>
      </c>
    </row>
    <row r="1616" spans="1:6" x14ac:dyDescent="0.55000000000000004">
      <c r="A1616">
        <v>1.412222505842285E+19</v>
      </c>
      <c r="B1616" t="s">
        <v>286</v>
      </c>
      <c r="C1616" t="s">
        <v>10</v>
      </c>
      <c r="D1616">
        <v>278</v>
      </c>
      <c r="E1616" s="4">
        <f t="shared" si="50"/>
        <v>44755</v>
      </c>
      <c r="F1616">
        <f t="shared" si="51"/>
        <v>274</v>
      </c>
    </row>
    <row r="1617" spans="1:6" x14ac:dyDescent="0.55000000000000004">
      <c r="A1617">
        <v>6.2799528260788367E+18</v>
      </c>
      <c r="B1617" t="s">
        <v>129</v>
      </c>
      <c r="C1617" t="s">
        <v>10</v>
      </c>
      <c r="D1617">
        <v>1893</v>
      </c>
      <c r="E1617" s="4">
        <f t="shared" si="50"/>
        <v>44854</v>
      </c>
      <c r="F1617">
        <f t="shared" si="51"/>
        <v>175</v>
      </c>
    </row>
    <row r="1618" spans="1:6" x14ac:dyDescent="0.55000000000000004">
      <c r="A1618">
        <v>4.7913437573787628E+18</v>
      </c>
      <c r="B1618" t="s">
        <v>115</v>
      </c>
      <c r="C1618" t="s">
        <v>50</v>
      </c>
      <c r="D1618">
        <v>53</v>
      </c>
      <c r="E1618" s="4">
        <f t="shared" si="50"/>
        <v>44580</v>
      </c>
      <c r="F1618">
        <f t="shared" si="51"/>
        <v>449</v>
      </c>
    </row>
    <row r="1619" spans="1:6" x14ac:dyDescent="0.55000000000000004">
      <c r="A1619">
        <v>1.351887796399998E+19</v>
      </c>
      <c r="B1619" t="s">
        <v>598</v>
      </c>
      <c r="C1619" t="s">
        <v>7</v>
      </c>
      <c r="D1619">
        <v>647</v>
      </c>
      <c r="E1619" s="4">
        <f t="shared" si="50"/>
        <v>44931</v>
      </c>
      <c r="F1619">
        <f t="shared" si="51"/>
        <v>98</v>
      </c>
    </row>
    <row r="1620" spans="1:6" x14ac:dyDescent="0.55000000000000004">
      <c r="A1620">
        <v>2.0142520458862761E+18</v>
      </c>
      <c r="B1620" t="s">
        <v>142</v>
      </c>
      <c r="C1620" t="s">
        <v>10</v>
      </c>
      <c r="D1620">
        <v>3799</v>
      </c>
      <c r="E1620" s="4">
        <f t="shared" si="50"/>
        <v>44272</v>
      </c>
      <c r="F1620">
        <f t="shared" si="51"/>
        <v>757</v>
      </c>
    </row>
    <row r="1621" spans="1:6" x14ac:dyDescent="0.55000000000000004">
      <c r="A1621">
        <v>9.0114498001082378E+18</v>
      </c>
      <c r="B1621" t="s">
        <v>833</v>
      </c>
      <c r="C1621" t="s">
        <v>50</v>
      </c>
      <c r="D1621">
        <v>144</v>
      </c>
      <c r="E1621" s="4">
        <f t="shared" si="50"/>
        <v>44865</v>
      </c>
      <c r="F1621">
        <f t="shared" si="51"/>
        <v>164</v>
      </c>
    </row>
    <row r="1622" spans="1:6" x14ac:dyDescent="0.55000000000000004">
      <c r="A1622">
        <v>6.1955041660847278E+18</v>
      </c>
      <c r="B1622" t="s">
        <v>934</v>
      </c>
      <c r="C1622" t="s">
        <v>50</v>
      </c>
      <c r="D1622">
        <v>138</v>
      </c>
      <c r="E1622" s="4">
        <f t="shared" si="50"/>
        <v>43802</v>
      </c>
      <c r="F1622">
        <f t="shared" si="51"/>
        <v>1227</v>
      </c>
    </row>
    <row r="1623" spans="1:6" x14ac:dyDescent="0.55000000000000004">
      <c r="A1623">
        <v>1.5068632717000239E+19</v>
      </c>
      <c r="B1623" t="s">
        <v>935</v>
      </c>
      <c r="C1623" t="s">
        <v>50</v>
      </c>
      <c r="D1623">
        <v>112</v>
      </c>
      <c r="E1623" s="4">
        <f t="shared" si="50"/>
        <v>43982</v>
      </c>
      <c r="F1623">
        <f t="shared" si="51"/>
        <v>1047</v>
      </c>
    </row>
    <row r="1624" spans="1:6" x14ac:dyDescent="0.55000000000000004">
      <c r="A1624">
        <v>7.2164494924781394E+18</v>
      </c>
      <c r="B1624" t="s">
        <v>778</v>
      </c>
      <c r="C1624" t="s">
        <v>7</v>
      </c>
      <c r="D1624">
        <v>1250</v>
      </c>
      <c r="E1624" s="4">
        <f t="shared" si="50"/>
        <v>44413</v>
      </c>
      <c r="F1624">
        <f t="shared" si="51"/>
        <v>616</v>
      </c>
    </row>
    <row r="1625" spans="1:6" x14ac:dyDescent="0.55000000000000004">
      <c r="A1625">
        <v>1.5159195632122561E+19</v>
      </c>
      <c r="B1625" t="s">
        <v>43</v>
      </c>
      <c r="C1625" t="s">
        <v>10</v>
      </c>
      <c r="D1625">
        <v>790</v>
      </c>
      <c r="E1625" s="4">
        <f t="shared" si="50"/>
        <v>44545</v>
      </c>
      <c r="F1625">
        <f t="shared" si="51"/>
        <v>484</v>
      </c>
    </row>
    <row r="1626" spans="1:6" x14ac:dyDescent="0.55000000000000004">
      <c r="A1626">
        <v>1.131142693729382E+19</v>
      </c>
      <c r="B1626" t="s">
        <v>210</v>
      </c>
      <c r="C1626" t="s">
        <v>5</v>
      </c>
      <c r="D1626">
        <v>668</v>
      </c>
      <c r="E1626" s="4">
        <f t="shared" si="50"/>
        <v>44082</v>
      </c>
      <c r="F1626">
        <f t="shared" si="51"/>
        <v>947</v>
      </c>
    </row>
    <row r="1627" spans="1:6" x14ac:dyDescent="0.55000000000000004">
      <c r="A1627">
        <v>2.5609919502683709E+18</v>
      </c>
      <c r="B1627" t="s">
        <v>936</v>
      </c>
      <c r="C1627" t="s">
        <v>13</v>
      </c>
      <c r="D1627">
        <v>256</v>
      </c>
      <c r="E1627" s="4">
        <f t="shared" si="50"/>
        <v>43917</v>
      </c>
      <c r="F1627">
        <f t="shared" si="51"/>
        <v>1112</v>
      </c>
    </row>
    <row r="1628" spans="1:6" x14ac:dyDescent="0.55000000000000004">
      <c r="A1628">
        <v>1.3513454545011419E+19</v>
      </c>
      <c r="B1628" t="s">
        <v>296</v>
      </c>
      <c r="C1628" t="s">
        <v>10</v>
      </c>
      <c r="D1628">
        <v>770</v>
      </c>
      <c r="E1628" s="4">
        <f t="shared" si="50"/>
        <v>44945</v>
      </c>
      <c r="F1628">
        <f t="shared" si="51"/>
        <v>84</v>
      </c>
    </row>
    <row r="1629" spans="1:6" x14ac:dyDescent="0.55000000000000004">
      <c r="A1629">
        <v>1.546974436012781E+19</v>
      </c>
      <c r="B1629" t="s">
        <v>932</v>
      </c>
      <c r="C1629" t="s">
        <v>10</v>
      </c>
      <c r="D1629">
        <v>345</v>
      </c>
      <c r="E1629" s="4">
        <f t="shared" si="50"/>
        <v>44806</v>
      </c>
      <c r="F1629">
        <f t="shared" si="51"/>
        <v>223</v>
      </c>
    </row>
    <row r="1630" spans="1:6" x14ac:dyDescent="0.55000000000000004">
      <c r="A1630">
        <v>8.607613251301118E+18</v>
      </c>
      <c r="B1630" t="s">
        <v>690</v>
      </c>
      <c r="C1630" t="s">
        <v>10</v>
      </c>
      <c r="D1630">
        <v>2075</v>
      </c>
      <c r="E1630" s="4">
        <f t="shared" si="50"/>
        <v>43838</v>
      </c>
      <c r="F1630">
        <f t="shared" si="51"/>
        <v>1191</v>
      </c>
    </row>
    <row r="1631" spans="1:6" x14ac:dyDescent="0.55000000000000004">
      <c r="A1631">
        <v>1.7953314412259219E+19</v>
      </c>
      <c r="B1631" t="s">
        <v>617</v>
      </c>
      <c r="C1631" t="s">
        <v>10</v>
      </c>
      <c r="D1631">
        <v>4390</v>
      </c>
      <c r="E1631" s="4">
        <f t="shared" si="50"/>
        <v>44574</v>
      </c>
      <c r="F1631">
        <f t="shared" si="51"/>
        <v>455</v>
      </c>
    </row>
    <row r="1632" spans="1:6" x14ac:dyDescent="0.55000000000000004">
      <c r="A1632">
        <v>4.2128249009435482E+17</v>
      </c>
      <c r="B1632" t="s">
        <v>40</v>
      </c>
      <c r="C1632" t="s">
        <v>7</v>
      </c>
      <c r="D1632">
        <v>2086</v>
      </c>
      <c r="E1632" s="4">
        <f t="shared" si="50"/>
        <v>44990</v>
      </c>
      <c r="F1632">
        <f t="shared" si="51"/>
        <v>39</v>
      </c>
    </row>
    <row r="1633" spans="1:6" x14ac:dyDescent="0.55000000000000004">
      <c r="A1633">
        <v>1.438948701201042E+19</v>
      </c>
      <c r="B1633" t="s">
        <v>937</v>
      </c>
      <c r="C1633" t="s">
        <v>10</v>
      </c>
      <c r="D1633">
        <v>1090</v>
      </c>
      <c r="E1633" s="4">
        <f t="shared" si="50"/>
        <v>44948</v>
      </c>
      <c r="F1633">
        <f t="shared" si="51"/>
        <v>81</v>
      </c>
    </row>
    <row r="1634" spans="1:6" x14ac:dyDescent="0.55000000000000004">
      <c r="A1634">
        <v>8.7623730887348511E+18</v>
      </c>
      <c r="B1634" t="s">
        <v>938</v>
      </c>
      <c r="C1634" t="s">
        <v>13</v>
      </c>
      <c r="D1634">
        <v>144</v>
      </c>
      <c r="E1634" s="4">
        <f t="shared" si="50"/>
        <v>44499</v>
      </c>
      <c r="F1634">
        <f t="shared" si="51"/>
        <v>530</v>
      </c>
    </row>
    <row r="1635" spans="1:6" x14ac:dyDescent="0.55000000000000004">
      <c r="A1635">
        <v>1.4508580946377179E+19</v>
      </c>
      <c r="B1635" t="s">
        <v>939</v>
      </c>
      <c r="C1635" t="s">
        <v>7</v>
      </c>
      <c r="D1635">
        <v>855</v>
      </c>
      <c r="E1635" s="4">
        <f t="shared" si="50"/>
        <v>44768</v>
      </c>
      <c r="F1635">
        <f t="shared" si="51"/>
        <v>261</v>
      </c>
    </row>
    <row r="1636" spans="1:6" x14ac:dyDescent="0.55000000000000004">
      <c r="A1636">
        <v>4.8196819098361508E+18</v>
      </c>
      <c r="B1636" t="s">
        <v>559</v>
      </c>
      <c r="C1636" t="s">
        <v>13</v>
      </c>
      <c r="D1636">
        <v>380</v>
      </c>
      <c r="E1636" s="4">
        <f t="shared" si="50"/>
        <v>44133</v>
      </c>
      <c r="F1636">
        <f t="shared" si="51"/>
        <v>896</v>
      </c>
    </row>
    <row r="1637" spans="1:6" x14ac:dyDescent="0.55000000000000004">
      <c r="A1637">
        <v>7.6079480927465441E+18</v>
      </c>
      <c r="B1637" t="s">
        <v>888</v>
      </c>
      <c r="C1637" t="s">
        <v>13</v>
      </c>
      <c r="D1637">
        <v>135</v>
      </c>
      <c r="E1637" s="4">
        <f t="shared" si="50"/>
        <v>43867</v>
      </c>
      <c r="F1637">
        <f t="shared" si="51"/>
        <v>1162</v>
      </c>
    </row>
    <row r="1638" spans="1:6" x14ac:dyDescent="0.55000000000000004">
      <c r="A1638">
        <v>8.196912481423874E+18</v>
      </c>
      <c r="B1638" t="s">
        <v>80</v>
      </c>
      <c r="C1638" t="s">
        <v>13</v>
      </c>
      <c r="D1638">
        <v>740</v>
      </c>
      <c r="E1638" s="4">
        <f t="shared" si="50"/>
        <v>44621</v>
      </c>
      <c r="F1638">
        <f t="shared" si="51"/>
        <v>408</v>
      </c>
    </row>
    <row r="1639" spans="1:6" x14ac:dyDescent="0.55000000000000004">
      <c r="A1639">
        <v>5.3973038049061745E+18</v>
      </c>
      <c r="B1639" t="s">
        <v>776</v>
      </c>
      <c r="C1639" t="s">
        <v>46</v>
      </c>
      <c r="D1639">
        <v>10350</v>
      </c>
      <c r="E1639" s="4">
        <f t="shared" si="50"/>
        <v>44077</v>
      </c>
      <c r="F1639">
        <f t="shared" si="51"/>
        <v>952</v>
      </c>
    </row>
    <row r="1640" spans="1:6" x14ac:dyDescent="0.55000000000000004">
      <c r="A1640">
        <v>1.736830604946673E+19</v>
      </c>
      <c r="B1640" t="s">
        <v>647</v>
      </c>
      <c r="C1640" t="s">
        <v>7</v>
      </c>
      <c r="D1640">
        <v>56</v>
      </c>
      <c r="E1640" s="4">
        <f t="shared" si="50"/>
        <v>44920</v>
      </c>
      <c r="F1640">
        <f t="shared" si="51"/>
        <v>109</v>
      </c>
    </row>
    <row r="1641" spans="1:6" x14ac:dyDescent="0.55000000000000004">
      <c r="A1641">
        <v>1.010356609631957E+19</v>
      </c>
      <c r="B1641" t="s">
        <v>940</v>
      </c>
      <c r="C1641" t="s">
        <v>5</v>
      </c>
      <c r="D1641">
        <v>217</v>
      </c>
      <c r="E1641" s="4">
        <f t="shared" si="50"/>
        <v>44776</v>
      </c>
      <c r="F1641">
        <f t="shared" si="51"/>
        <v>253</v>
      </c>
    </row>
    <row r="1642" spans="1:6" x14ac:dyDescent="0.55000000000000004">
      <c r="A1642">
        <v>1.7961524696104471E+19</v>
      </c>
      <c r="B1642" t="s">
        <v>19</v>
      </c>
      <c r="C1642" t="s">
        <v>7</v>
      </c>
      <c r="D1642">
        <v>129</v>
      </c>
      <c r="E1642" s="4">
        <f t="shared" si="50"/>
        <v>44739</v>
      </c>
      <c r="F1642">
        <f t="shared" si="51"/>
        <v>290</v>
      </c>
    </row>
    <row r="1643" spans="1:6" x14ac:dyDescent="0.55000000000000004">
      <c r="A1643">
        <v>1.634188583066522E+19</v>
      </c>
      <c r="B1643" t="s">
        <v>194</v>
      </c>
      <c r="C1643" t="s">
        <v>13</v>
      </c>
      <c r="D1643">
        <v>6315</v>
      </c>
      <c r="E1643" s="4">
        <f t="shared" si="50"/>
        <v>44988</v>
      </c>
      <c r="F1643">
        <f t="shared" si="51"/>
        <v>41</v>
      </c>
    </row>
    <row r="1644" spans="1:6" x14ac:dyDescent="0.55000000000000004">
      <c r="A1644">
        <v>1.7729421144758659E+19</v>
      </c>
      <c r="B1644" t="s">
        <v>226</v>
      </c>
      <c r="C1644" t="s">
        <v>26</v>
      </c>
      <c r="D1644">
        <v>563</v>
      </c>
      <c r="E1644" s="4">
        <f t="shared" si="50"/>
        <v>44613</v>
      </c>
      <c r="F1644">
        <f t="shared" si="51"/>
        <v>416</v>
      </c>
    </row>
    <row r="1645" spans="1:6" x14ac:dyDescent="0.55000000000000004">
      <c r="A1645">
        <v>1.386814484181495E+19</v>
      </c>
      <c r="B1645" t="s">
        <v>737</v>
      </c>
      <c r="C1645" t="s">
        <v>50</v>
      </c>
      <c r="D1645">
        <v>90</v>
      </c>
      <c r="E1645" s="4">
        <f t="shared" si="50"/>
        <v>44742</v>
      </c>
      <c r="F1645">
        <f t="shared" si="51"/>
        <v>287</v>
      </c>
    </row>
    <row r="1646" spans="1:6" x14ac:dyDescent="0.55000000000000004">
      <c r="A1646">
        <v>1.68054783561169E+19</v>
      </c>
      <c r="B1646" t="s">
        <v>24</v>
      </c>
      <c r="C1646" t="s">
        <v>13</v>
      </c>
      <c r="D1646">
        <v>180</v>
      </c>
      <c r="E1646" s="4">
        <f t="shared" si="50"/>
        <v>44527</v>
      </c>
      <c r="F1646">
        <f t="shared" si="51"/>
        <v>502</v>
      </c>
    </row>
    <row r="1647" spans="1:6" x14ac:dyDescent="0.55000000000000004">
      <c r="A1647">
        <v>7.30518996156783E+18</v>
      </c>
      <c r="B1647" t="s">
        <v>680</v>
      </c>
      <c r="C1647" t="s">
        <v>50</v>
      </c>
      <c r="D1647">
        <v>29</v>
      </c>
      <c r="E1647" s="4">
        <f t="shared" si="50"/>
        <v>44392</v>
      </c>
      <c r="F1647">
        <f t="shared" si="51"/>
        <v>637</v>
      </c>
    </row>
    <row r="1648" spans="1:6" x14ac:dyDescent="0.55000000000000004">
      <c r="A1648">
        <v>7.1089337054576466E+18</v>
      </c>
      <c r="B1648" t="s">
        <v>941</v>
      </c>
      <c r="C1648" t="s">
        <v>7</v>
      </c>
      <c r="D1648">
        <v>914</v>
      </c>
      <c r="E1648" s="4">
        <f t="shared" si="50"/>
        <v>43865</v>
      </c>
      <c r="F1648">
        <f t="shared" si="51"/>
        <v>1164</v>
      </c>
    </row>
    <row r="1649" spans="1:6" x14ac:dyDescent="0.55000000000000004">
      <c r="A1649">
        <v>7.2754115897695867E+18</v>
      </c>
      <c r="B1649" t="s">
        <v>777</v>
      </c>
      <c r="C1649" t="s">
        <v>26</v>
      </c>
      <c r="D1649">
        <v>316</v>
      </c>
      <c r="E1649" s="4">
        <f t="shared" si="50"/>
        <v>43828</v>
      </c>
      <c r="F1649">
        <f t="shared" si="51"/>
        <v>1201</v>
      </c>
    </row>
    <row r="1650" spans="1:6" x14ac:dyDescent="0.55000000000000004">
      <c r="A1650">
        <v>1.216474359270146E+19</v>
      </c>
      <c r="B1650" t="s">
        <v>942</v>
      </c>
      <c r="C1650" t="s">
        <v>10</v>
      </c>
      <c r="D1650">
        <v>2592</v>
      </c>
      <c r="E1650" s="4">
        <f t="shared" si="50"/>
        <v>44992</v>
      </c>
      <c r="F1650">
        <f t="shared" si="51"/>
        <v>37</v>
      </c>
    </row>
    <row r="1651" spans="1:6" x14ac:dyDescent="0.55000000000000004">
      <c r="A1651">
        <v>5.3702924294165412E+18</v>
      </c>
      <c r="B1651" t="s">
        <v>76</v>
      </c>
      <c r="C1651" t="s">
        <v>10</v>
      </c>
      <c r="D1651">
        <v>597</v>
      </c>
      <c r="E1651" s="4">
        <f t="shared" si="50"/>
        <v>43994</v>
      </c>
      <c r="F1651">
        <f t="shared" si="51"/>
        <v>1035</v>
      </c>
    </row>
    <row r="1652" spans="1:6" x14ac:dyDescent="0.55000000000000004">
      <c r="A1652">
        <v>2.848642907880043E+18</v>
      </c>
      <c r="B1652" t="s">
        <v>11</v>
      </c>
      <c r="C1652" t="s">
        <v>10</v>
      </c>
      <c r="D1652">
        <v>2191</v>
      </c>
      <c r="E1652" s="4">
        <f t="shared" si="50"/>
        <v>44923</v>
      </c>
      <c r="F1652">
        <f t="shared" si="51"/>
        <v>106</v>
      </c>
    </row>
    <row r="1653" spans="1:6" x14ac:dyDescent="0.55000000000000004">
      <c r="A1653">
        <v>1.6724399162421451E+19</v>
      </c>
      <c r="B1653" t="s">
        <v>67</v>
      </c>
      <c r="C1653" t="s">
        <v>10</v>
      </c>
      <c r="D1653">
        <v>1029</v>
      </c>
      <c r="E1653" s="4">
        <f t="shared" si="50"/>
        <v>44987</v>
      </c>
      <c r="F1653">
        <f t="shared" si="51"/>
        <v>42</v>
      </c>
    </row>
    <row r="1654" spans="1:6" x14ac:dyDescent="0.55000000000000004">
      <c r="A1654">
        <v>9.2940510925032448E+18</v>
      </c>
      <c r="B1654" t="s">
        <v>92</v>
      </c>
      <c r="C1654" t="s">
        <v>13</v>
      </c>
      <c r="D1654">
        <v>1204</v>
      </c>
      <c r="E1654" s="4">
        <f t="shared" si="50"/>
        <v>44483</v>
      </c>
      <c r="F1654">
        <f t="shared" si="51"/>
        <v>546</v>
      </c>
    </row>
    <row r="1655" spans="1:6" x14ac:dyDescent="0.55000000000000004">
      <c r="A1655">
        <v>1.8017309185027719E+19</v>
      </c>
      <c r="B1655" t="s">
        <v>819</v>
      </c>
      <c r="C1655" t="s">
        <v>13</v>
      </c>
      <c r="D1655">
        <v>1736</v>
      </c>
      <c r="E1655" s="4">
        <f t="shared" si="50"/>
        <v>44659</v>
      </c>
      <c r="F1655">
        <f t="shared" si="51"/>
        <v>370</v>
      </c>
    </row>
    <row r="1656" spans="1:6" x14ac:dyDescent="0.55000000000000004">
      <c r="A1656">
        <v>9.6368420175897559E+18</v>
      </c>
      <c r="B1656" t="s">
        <v>70</v>
      </c>
      <c r="C1656" t="s">
        <v>13</v>
      </c>
      <c r="D1656">
        <v>632</v>
      </c>
      <c r="E1656" s="4">
        <f t="shared" si="50"/>
        <v>44850</v>
      </c>
      <c r="F1656">
        <f t="shared" si="51"/>
        <v>179</v>
      </c>
    </row>
    <row r="1657" spans="1:6" x14ac:dyDescent="0.55000000000000004">
      <c r="A1657">
        <v>1.244898343219859E+19</v>
      </c>
      <c r="B1657" t="s">
        <v>943</v>
      </c>
      <c r="C1657" t="s">
        <v>10</v>
      </c>
      <c r="D1657">
        <v>919</v>
      </c>
      <c r="E1657" s="4">
        <f t="shared" si="50"/>
        <v>44209</v>
      </c>
      <c r="F1657">
        <f t="shared" si="51"/>
        <v>820</v>
      </c>
    </row>
    <row r="1658" spans="1:6" x14ac:dyDescent="0.55000000000000004">
      <c r="A1658">
        <v>9.7783392705113784E+18</v>
      </c>
      <c r="B1658" t="s">
        <v>121</v>
      </c>
      <c r="C1658" t="s">
        <v>7</v>
      </c>
      <c r="D1658">
        <v>129</v>
      </c>
      <c r="E1658" s="4">
        <f t="shared" si="50"/>
        <v>44781</v>
      </c>
      <c r="F1658">
        <f t="shared" si="51"/>
        <v>248</v>
      </c>
    </row>
    <row r="1659" spans="1:6" x14ac:dyDescent="0.55000000000000004">
      <c r="A1659">
        <v>4.7122757145817979E+18</v>
      </c>
      <c r="B1659" t="s">
        <v>401</v>
      </c>
      <c r="C1659" t="s">
        <v>13</v>
      </c>
      <c r="D1659">
        <v>226</v>
      </c>
      <c r="E1659" s="4">
        <f t="shared" si="50"/>
        <v>44691</v>
      </c>
      <c r="F1659">
        <f t="shared" si="51"/>
        <v>338</v>
      </c>
    </row>
    <row r="1660" spans="1:6" x14ac:dyDescent="0.55000000000000004">
      <c r="A1660">
        <v>6.2213589487169055E+18</v>
      </c>
      <c r="B1660" t="s">
        <v>218</v>
      </c>
      <c r="C1660" t="s">
        <v>10</v>
      </c>
      <c r="D1660">
        <v>118</v>
      </c>
      <c r="E1660" s="4">
        <f t="shared" si="50"/>
        <v>44419</v>
      </c>
      <c r="F1660">
        <f t="shared" si="51"/>
        <v>610</v>
      </c>
    </row>
    <row r="1661" spans="1:6" x14ac:dyDescent="0.55000000000000004">
      <c r="A1661">
        <v>7.5308154489521398E+18</v>
      </c>
      <c r="B1661" t="s">
        <v>613</v>
      </c>
      <c r="C1661" t="s">
        <v>13</v>
      </c>
      <c r="D1661">
        <v>487</v>
      </c>
      <c r="E1661" s="4">
        <f t="shared" si="50"/>
        <v>44694</v>
      </c>
      <c r="F1661">
        <f t="shared" si="51"/>
        <v>335</v>
      </c>
    </row>
    <row r="1662" spans="1:6" x14ac:dyDescent="0.55000000000000004">
      <c r="A1662">
        <v>1.010084852275994E+19</v>
      </c>
      <c r="B1662" t="s">
        <v>41</v>
      </c>
      <c r="C1662" t="s">
        <v>13</v>
      </c>
      <c r="D1662">
        <v>3387</v>
      </c>
      <c r="E1662" s="4">
        <f t="shared" si="50"/>
        <v>44346</v>
      </c>
      <c r="F1662">
        <f t="shared" si="51"/>
        <v>683</v>
      </c>
    </row>
    <row r="1663" spans="1:6" x14ac:dyDescent="0.55000000000000004">
      <c r="A1663">
        <v>5.9076356762723389E+18</v>
      </c>
      <c r="B1663" t="s">
        <v>944</v>
      </c>
      <c r="C1663" t="s">
        <v>13</v>
      </c>
      <c r="D1663">
        <v>498</v>
      </c>
      <c r="E1663" s="4">
        <f t="shared" si="50"/>
        <v>44140</v>
      </c>
      <c r="F1663">
        <f t="shared" si="51"/>
        <v>889</v>
      </c>
    </row>
    <row r="1664" spans="1:6" x14ac:dyDescent="0.55000000000000004">
      <c r="A1664">
        <v>3.7565529610186588E+18</v>
      </c>
      <c r="B1664" t="s">
        <v>197</v>
      </c>
      <c r="C1664" t="s">
        <v>7</v>
      </c>
      <c r="D1664">
        <v>195</v>
      </c>
      <c r="E1664" s="4">
        <f t="shared" si="50"/>
        <v>45003</v>
      </c>
      <c r="F1664">
        <f t="shared" si="51"/>
        <v>26</v>
      </c>
    </row>
    <row r="1665" spans="1:6" x14ac:dyDescent="0.55000000000000004">
      <c r="A1665">
        <v>1.0464603795510839E+19</v>
      </c>
      <c r="B1665" t="s">
        <v>531</v>
      </c>
      <c r="C1665" t="s">
        <v>5</v>
      </c>
      <c r="D1665">
        <v>2655</v>
      </c>
      <c r="E1665" s="4">
        <f t="shared" si="50"/>
        <v>45028</v>
      </c>
      <c r="F1665">
        <f t="shared" si="51"/>
        <v>1</v>
      </c>
    </row>
    <row r="1666" spans="1:6" x14ac:dyDescent="0.55000000000000004">
      <c r="A1666">
        <v>1.3397155537099141E+18</v>
      </c>
      <c r="B1666" t="s">
        <v>945</v>
      </c>
      <c r="C1666" t="s">
        <v>13</v>
      </c>
      <c r="D1666">
        <v>698</v>
      </c>
      <c r="E1666" s="4">
        <f t="shared" si="50"/>
        <v>44019</v>
      </c>
      <c r="F1666">
        <f t="shared" si="51"/>
        <v>1010</v>
      </c>
    </row>
    <row r="1667" spans="1:6" x14ac:dyDescent="0.55000000000000004">
      <c r="A1667">
        <v>4.7908905203526687E+18</v>
      </c>
      <c r="B1667" t="s">
        <v>946</v>
      </c>
      <c r="C1667" t="s">
        <v>10</v>
      </c>
      <c r="D1667">
        <v>3912</v>
      </c>
      <c r="E1667" s="4">
        <f t="shared" ref="E1667:E1730" si="52">DATEVALUE(B1667)</f>
        <v>44114</v>
      </c>
      <c r="F1667">
        <f t="shared" ref="F1667:F1730" si="53">$H$1-E1667</f>
        <v>915</v>
      </c>
    </row>
    <row r="1668" spans="1:6" x14ac:dyDescent="0.55000000000000004">
      <c r="A1668">
        <v>8.001179516476544E+18</v>
      </c>
      <c r="B1668" t="s">
        <v>431</v>
      </c>
      <c r="C1668" t="s">
        <v>13</v>
      </c>
      <c r="D1668">
        <v>269</v>
      </c>
      <c r="E1668" s="4">
        <f t="shared" si="52"/>
        <v>43761</v>
      </c>
      <c r="F1668">
        <f t="shared" si="53"/>
        <v>1268</v>
      </c>
    </row>
    <row r="1669" spans="1:6" x14ac:dyDescent="0.55000000000000004">
      <c r="A1669">
        <v>1.16829863872798E+19</v>
      </c>
      <c r="B1669" t="s">
        <v>353</v>
      </c>
      <c r="C1669" t="s">
        <v>10</v>
      </c>
      <c r="D1669">
        <v>969</v>
      </c>
      <c r="E1669" s="4">
        <f t="shared" si="52"/>
        <v>44455</v>
      </c>
      <c r="F1669">
        <f t="shared" si="53"/>
        <v>574</v>
      </c>
    </row>
    <row r="1670" spans="1:6" x14ac:dyDescent="0.55000000000000004">
      <c r="A1670">
        <v>2.2219326285600251E+18</v>
      </c>
      <c r="B1670" t="s">
        <v>947</v>
      </c>
      <c r="C1670" t="s">
        <v>13</v>
      </c>
      <c r="D1670">
        <v>788</v>
      </c>
      <c r="E1670" s="4">
        <f t="shared" si="52"/>
        <v>45025</v>
      </c>
      <c r="F1670">
        <f t="shared" si="53"/>
        <v>4</v>
      </c>
    </row>
    <row r="1671" spans="1:6" x14ac:dyDescent="0.55000000000000004">
      <c r="A1671">
        <v>5.6382876841213542E+18</v>
      </c>
      <c r="B1671" t="s">
        <v>355</v>
      </c>
      <c r="C1671" t="s">
        <v>13</v>
      </c>
      <c r="D1671">
        <v>922</v>
      </c>
      <c r="E1671" s="4">
        <f t="shared" si="52"/>
        <v>44330</v>
      </c>
      <c r="F1671">
        <f t="shared" si="53"/>
        <v>699</v>
      </c>
    </row>
    <row r="1672" spans="1:6" x14ac:dyDescent="0.55000000000000004">
      <c r="A1672">
        <v>2.0872429199737951E+18</v>
      </c>
      <c r="B1672" t="s">
        <v>948</v>
      </c>
      <c r="C1672" t="s">
        <v>50</v>
      </c>
      <c r="D1672">
        <v>70</v>
      </c>
      <c r="E1672" s="4">
        <f t="shared" si="52"/>
        <v>43949</v>
      </c>
      <c r="F1672">
        <f t="shared" si="53"/>
        <v>1080</v>
      </c>
    </row>
    <row r="1673" spans="1:6" x14ac:dyDescent="0.55000000000000004">
      <c r="A1673">
        <v>1.6006104658813891E+17</v>
      </c>
      <c r="B1673" t="s">
        <v>25</v>
      </c>
      <c r="C1673" t="s">
        <v>13</v>
      </c>
      <c r="D1673">
        <v>1750</v>
      </c>
      <c r="E1673" s="4">
        <f t="shared" si="52"/>
        <v>44976</v>
      </c>
      <c r="F1673">
        <f t="shared" si="53"/>
        <v>53</v>
      </c>
    </row>
    <row r="1674" spans="1:6" x14ac:dyDescent="0.55000000000000004">
      <c r="A1674">
        <v>6.2709077484598569E+18</v>
      </c>
      <c r="B1674" t="s">
        <v>949</v>
      </c>
      <c r="C1674" t="s">
        <v>50</v>
      </c>
      <c r="D1674">
        <v>67</v>
      </c>
      <c r="E1674" s="4">
        <f t="shared" si="52"/>
        <v>43907</v>
      </c>
      <c r="F1674">
        <f t="shared" si="53"/>
        <v>1122</v>
      </c>
    </row>
    <row r="1675" spans="1:6" x14ac:dyDescent="0.55000000000000004">
      <c r="A1675">
        <v>1.729483180093397E+18</v>
      </c>
      <c r="B1675" t="s">
        <v>841</v>
      </c>
      <c r="C1675" t="s">
        <v>46</v>
      </c>
      <c r="D1675">
        <v>1415</v>
      </c>
      <c r="E1675" s="4">
        <f t="shared" si="52"/>
        <v>44231</v>
      </c>
      <c r="F1675">
        <f t="shared" si="53"/>
        <v>798</v>
      </c>
    </row>
    <row r="1676" spans="1:6" x14ac:dyDescent="0.55000000000000004">
      <c r="A1676">
        <v>2.0325579625381089E+18</v>
      </c>
      <c r="B1676" t="s">
        <v>447</v>
      </c>
      <c r="C1676" t="s">
        <v>10</v>
      </c>
      <c r="D1676">
        <v>302</v>
      </c>
      <c r="E1676" s="4">
        <f t="shared" si="52"/>
        <v>44709</v>
      </c>
      <c r="F1676">
        <f t="shared" si="53"/>
        <v>320</v>
      </c>
    </row>
    <row r="1677" spans="1:6" x14ac:dyDescent="0.55000000000000004">
      <c r="A1677">
        <v>1.78681892567855E+19</v>
      </c>
      <c r="B1677" t="s">
        <v>108</v>
      </c>
      <c r="C1677" t="s">
        <v>7</v>
      </c>
      <c r="D1677">
        <v>1757</v>
      </c>
      <c r="E1677" s="4">
        <f t="shared" si="52"/>
        <v>44904</v>
      </c>
      <c r="F1677">
        <f t="shared" si="53"/>
        <v>125</v>
      </c>
    </row>
    <row r="1678" spans="1:6" x14ac:dyDescent="0.55000000000000004">
      <c r="A1678">
        <v>6.1636865884116582E+18</v>
      </c>
      <c r="B1678" t="s">
        <v>634</v>
      </c>
      <c r="C1678" t="s">
        <v>10</v>
      </c>
      <c r="D1678">
        <v>1956</v>
      </c>
      <c r="E1678" s="4">
        <f t="shared" si="52"/>
        <v>44645</v>
      </c>
      <c r="F1678">
        <f t="shared" si="53"/>
        <v>384</v>
      </c>
    </row>
    <row r="1679" spans="1:6" x14ac:dyDescent="0.55000000000000004">
      <c r="A1679">
        <v>9.6290341339779236E+18</v>
      </c>
      <c r="B1679" t="s">
        <v>41</v>
      </c>
      <c r="C1679" t="s">
        <v>13</v>
      </c>
      <c r="D1679">
        <v>9477</v>
      </c>
      <c r="E1679" s="4">
        <f t="shared" si="52"/>
        <v>44346</v>
      </c>
      <c r="F1679">
        <f t="shared" si="53"/>
        <v>683</v>
      </c>
    </row>
    <row r="1680" spans="1:6" x14ac:dyDescent="0.55000000000000004">
      <c r="A1680">
        <v>1.064043722580318E+19</v>
      </c>
      <c r="B1680" t="s">
        <v>766</v>
      </c>
      <c r="C1680" t="s">
        <v>10</v>
      </c>
      <c r="D1680">
        <v>897</v>
      </c>
      <c r="E1680" s="4">
        <f t="shared" si="52"/>
        <v>44953</v>
      </c>
      <c r="F1680">
        <f t="shared" si="53"/>
        <v>76</v>
      </c>
    </row>
    <row r="1681" spans="1:6" x14ac:dyDescent="0.55000000000000004">
      <c r="A1681">
        <v>9.2092839124872847E+18</v>
      </c>
      <c r="B1681" t="s">
        <v>488</v>
      </c>
      <c r="C1681" t="s">
        <v>10</v>
      </c>
      <c r="D1681">
        <v>3372</v>
      </c>
      <c r="E1681" s="4">
        <f t="shared" si="52"/>
        <v>44802</v>
      </c>
      <c r="F1681">
        <f t="shared" si="53"/>
        <v>227</v>
      </c>
    </row>
    <row r="1682" spans="1:6" x14ac:dyDescent="0.55000000000000004">
      <c r="A1682">
        <v>2.187960119635755E+18</v>
      </c>
      <c r="B1682" t="s">
        <v>223</v>
      </c>
      <c r="C1682" t="s">
        <v>10</v>
      </c>
      <c r="D1682">
        <v>1143</v>
      </c>
      <c r="E1682" s="4">
        <f t="shared" si="52"/>
        <v>44623</v>
      </c>
      <c r="F1682">
        <f t="shared" si="53"/>
        <v>406</v>
      </c>
    </row>
    <row r="1683" spans="1:6" x14ac:dyDescent="0.55000000000000004">
      <c r="A1683">
        <v>2.8875629570672712E+18</v>
      </c>
      <c r="B1683" t="s">
        <v>147</v>
      </c>
      <c r="C1683" t="s">
        <v>7</v>
      </c>
      <c r="D1683">
        <v>754</v>
      </c>
      <c r="E1683" s="4">
        <f t="shared" si="52"/>
        <v>44599</v>
      </c>
      <c r="F1683">
        <f t="shared" si="53"/>
        <v>430</v>
      </c>
    </row>
    <row r="1684" spans="1:6" x14ac:dyDescent="0.55000000000000004">
      <c r="A1684">
        <v>1.4240848945748619E+19</v>
      </c>
      <c r="B1684" t="s">
        <v>950</v>
      </c>
      <c r="C1684" t="s">
        <v>26</v>
      </c>
      <c r="D1684">
        <v>89</v>
      </c>
      <c r="E1684" s="4">
        <f t="shared" si="52"/>
        <v>43891</v>
      </c>
      <c r="F1684">
        <f t="shared" si="53"/>
        <v>1138</v>
      </c>
    </row>
    <row r="1685" spans="1:6" x14ac:dyDescent="0.55000000000000004">
      <c r="A1685">
        <v>2.564259622408022E+18</v>
      </c>
      <c r="B1685" t="s">
        <v>53</v>
      </c>
      <c r="C1685" t="s">
        <v>46</v>
      </c>
      <c r="D1685">
        <v>219</v>
      </c>
      <c r="E1685" s="4">
        <f t="shared" si="52"/>
        <v>44866</v>
      </c>
      <c r="F1685">
        <f t="shared" si="53"/>
        <v>163</v>
      </c>
    </row>
    <row r="1686" spans="1:6" x14ac:dyDescent="0.55000000000000004">
      <c r="A1686">
        <v>7.2752396177443717E+18</v>
      </c>
      <c r="B1686" t="s">
        <v>823</v>
      </c>
      <c r="C1686" t="s">
        <v>7</v>
      </c>
      <c r="D1686">
        <v>239</v>
      </c>
      <c r="E1686" s="4">
        <f t="shared" si="52"/>
        <v>44525</v>
      </c>
      <c r="F1686">
        <f t="shared" si="53"/>
        <v>504</v>
      </c>
    </row>
    <row r="1687" spans="1:6" x14ac:dyDescent="0.55000000000000004">
      <c r="A1687">
        <v>1.5935314464390359E+18</v>
      </c>
      <c r="B1687" t="s">
        <v>951</v>
      </c>
      <c r="C1687" t="s">
        <v>10</v>
      </c>
      <c r="D1687">
        <v>4470</v>
      </c>
      <c r="E1687" s="4">
        <f t="shared" si="52"/>
        <v>43937</v>
      </c>
      <c r="F1687">
        <f t="shared" si="53"/>
        <v>1092</v>
      </c>
    </row>
    <row r="1688" spans="1:6" x14ac:dyDescent="0.55000000000000004">
      <c r="A1688">
        <v>4.159539491611084E+16</v>
      </c>
      <c r="B1688" t="s">
        <v>96</v>
      </c>
      <c r="C1688" t="s">
        <v>5</v>
      </c>
      <c r="D1688">
        <v>525</v>
      </c>
      <c r="E1688" s="4">
        <f t="shared" si="52"/>
        <v>44532</v>
      </c>
      <c r="F1688">
        <f t="shared" si="53"/>
        <v>497</v>
      </c>
    </row>
    <row r="1689" spans="1:6" x14ac:dyDescent="0.55000000000000004">
      <c r="A1689">
        <v>1.035827534613317E+19</v>
      </c>
      <c r="B1689" t="s">
        <v>884</v>
      </c>
      <c r="C1689" t="s">
        <v>5</v>
      </c>
      <c r="D1689">
        <v>4560</v>
      </c>
      <c r="E1689" s="4">
        <f t="shared" si="52"/>
        <v>44966</v>
      </c>
      <c r="F1689">
        <f t="shared" si="53"/>
        <v>63</v>
      </c>
    </row>
    <row r="1690" spans="1:6" x14ac:dyDescent="0.55000000000000004">
      <c r="A1690">
        <v>1.7273082300137501E+19</v>
      </c>
      <c r="B1690" t="s">
        <v>455</v>
      </c>
      <c r="C1690" t="s">
        <v>13</v>
      </c>
      <c r="D1690">
        <v>2903</v>
      </c>
      <c r="E1690" s="4">
        <f t="shared" si="52"/>
        <v>44879</v>
      </c>
      <c r="F1690">
        <f t="shared" si="53"/>
        <v>150</v>
      </c>
    </row>
    <row r="1691" spans="1:6" x14ac:dyDescent="0.55000000000000004">
      <c r="A1691">
        <v>4.8291584269761249E+18</v>
      </c>
      <c r="B1691" t="s">
        <v>952</v>
      </c>
      <c r="C1691" t="s">
        <v>13</v>
      </c>
      <c r="D1691">
        <v>2445</v>
      </c>
      <c r="E1691" s="4">
        <f t="shared" si="52"/>
        <v>44400</v>
      </c>
      <c r="F1691">
        <f t="shared" si="53"/>
        <v>629</v>
      </c>
    </row>
    <row r="1692" spans="1:6" x14ac:dyDescent="0.55000000000000004">
      <c r="A1692">
        <v>1.569594972860074E+18</v>
      </c>
      <c r="B1692" t="s">
        <v>953</v>
      </c>
      <c r="C1692" t="s">
        <v>50</v>
      </c>
      <c r="D1692">
        <v>87</v>
      </c>
      <c r="E1692" s="4">
        <f t="shared" si="52"/>
        <v>44579</v>
      </c>
      <c r="F1692">
        <f t="shared" si="53"/>
        <v>450</v>
      </c>
    </row>
    <row r="1693" spans="1:6" x14ac:dyDescent="0.55000000000000004">
      <c r="A1693">
        <v>8.6671934304505836E+18</v>
      </c>
      <c r="B1693" t="s">
        <v>254</v>
      </c>
      <c r="C1693" t="s">
        <v>5</v>
      </c>
      <c r="D1693">
        <v>327</v>
      </c>
      <c r="E1693" s="4">
        <f t="shared" si="52"/>
        <v>44478</v>
      </c>
      <c r="F1693">
        <f t="shared" si="53"/>
        <v>551</v>
      </c>
    </row>
    <row r="1694" spans="1:6" x14ac:dyDescent="0.55000000000000004">
      <c r="A1694">
        <v>8.7283328542971044E+18</v>
      </c>
      <c r="B1694" t="s">
        <v>954</v>
      </c>
      <c r="C1694" t="s">
        <v>13</v>
      </c>
      <c r="D1694">
        <v>1726</v>
      </c>
      <c r="E1694" s="4">
        <f t="shared" si="52"/>
        <v>44717</v>
      </c>
      <c r="F1694">
        <f t="shared" si="53"/>
        <v>312</v>
      </c>
    </row>
    <row r="1695" spans="1:6" x14ac:dyDescent="0.55000000000000004">
      <c r="A1695">
        <v>9.1649542126402294E+18</v>
      </c>
      <c r="B1695" t="s">
        <v>796</v>
      </c>
      <c r="C1695" t="s">
        <v>26</v>
      </c>
      <c r="D1695">
        <v>368</v>
      </c>
      <c r="E1695" s="4">
        <f t="shared" si="52"/>
        <v>44100</v>
      </c>
      <c r="F1695">
        <f t="shared" si="53"/>
        <v>929</v>
      </c>
    </row>
    <row r="1696" spans="1:6" x14ac:dyDescent="0.55000000000000004">
      <c r="A1696">
        <v>1.4175827160880599E+19</v>
      </c>
      <c r="B1696" t="s">
        <v>575</v>
      </c>
      <c r="C1696" t="s">
        <v>7</v>
      </c>
      <c r="D1696">
        <v>1164</v>
      </c>
      <c r="E1696" s="4">
        <f t="shared" si="52"/>
        <v>44307</v>
      </c>
      <c r="F1696">
        <f t="shared" si="53"/>
        <v>722</v>
      </c>
    </row>
    <row r="1697" spans="1:6" x14ac:dyDescent="0.55000000000000004">
      <c r="A1697">
        <v>1.440147008569516E+19</v>
      </c>
      <c r="B1697" t="s">
        <v>422</v>
      </c>
      <c r="C1697" t="s">
        <v>10</v>
      </c>
      <c r="D1697">
        <v>10494</v>
      </c>
      <c r="E1697" s="4">
        <f t="shared" si="52"/>
        <v>44967</v>
      </c>
      <c r="F1697">
        <f t="shared" si="53"/>
        <v>62</v>
      </c>
    </row>
    <row r="1698" spans="1:6" x14ac:dyDescent="0.55000000000000004">
      <c r="A1698">
        <v>1.8411369914734201E+19</v>
      </c>
      <c r="B1698" t="s">
        <v>955</v>
      </c>
      <c r="C1698" t="s">
        <v>46</v>
      </c>
      <c r="D1698">
        <v>663</v>
      </c>
      <c r="E1698" s="4">
        <f t="shared" si="52"/>
        <v>44811</v>
      </c>
      <c r="F1698">
        <f t="shared" si="53"/>
        <v>218</v>
      </c>
    </row>
    <row r="1699" spans="1:6" x14ac:dyDescent="0.55000000000000004">
      <c r="A1699">
        <v>1.815677024883312E+19</v>
      </c>
      <c r="B1699" t="s">
        <v>643</v>
      </c>
      <c r="C1699" t="s">
        <v>7</v>
      </c>
      <c r="D1699">
        <v>246</v>
      </c>
      <c r="E1699" s="4">
        <f t="shared" si="52"/>
        <v>44805</v>
      </c>
      <c r="F1699">
        <f t="shared" si="53"/>
        <v>224</v>
      </c>
    </row>
    <row r="1700" spans="1:6" x14ac:dyDescent="0.55000000000000004">
      <c r="A1700">
        <v>4.87798441317184E+18</v>
      </c>
      <c r="B1700" t="s">
        <v>775</v>
      </c>
      <c r="C1700" t="s">
        <v>13</v>
      </c>
      <c r="D1700">
        <v>480</v>
      </c>
      <c r="E1700" s="4">
        <f t="shared" si="52"/>
        <v>44374</v>
      </c>
      <c r="F1700">
        <f t="shared" si="53"/>
        <v>655</v>
      </c>
    </row>
    <row r="1701" spans="1:6" x14ac:dyDescent="0.55000000000000004">
      <c r="A1701">
        <v>9.0800793897535898E+18</v>
      </c>
      <c r="B1701" t="s">
        <v>956</v>
      </c>
      <c r="C1701" t="s">
        <v>10</v>
      </c>
      <c r="D1701">
        <v>486</v>
      </c>
      <c r="E1701" s="4">
        <f t="shared" si="52"/>
        <v>44276</v>
      </c>
      <c r="F1701">
        <f t="shared" si="53"/>
        <v>753</v>
      </c>
    </row>
    <row r="1702" spans="1:6" x14ac:dyDescent="0.55000000000000004">
      <c r="A1702">
        <v>3.6661285346706258E+18</v>
      </c>
      <c r="B1702" t="s">
        <v>847</v>
      </c>
      <c r="C1702" t="s">
        <v>13</v>
      </c>
      <c r="D1702">
        <v>3663</v>
      </c>
      <c r="E1702" s="4">
        <f t="shared" si="52"/>
        <v>44190</v>
      </c>
      <c r="F1702">
        <f t="shared" si="53"/>
        <v>839</v>
      </c>
    </row>
    <row r="1703" spans="1:6" x14ac:dyDescent="0.55000000000000004">
      <c r="A1703">
        <v>1.351887796399998E+19</v>
      </c>
      <c r="B1703" t="s">
        <v>957</v>
      </c>
      <c r="C1703" t="s">
        <v>10</v>
      </c>
      <c r="D1703">
        <v>582</v>
      </c>
      <c r="E1703" s="4">
        <f t="shared" si="52"/>
        <v>43739</v>
      </c>
      <c r="F1703">
        <f t="shared" si="53"/>
        <v>1290</v>
      </c>
    </row>
    <row r="1704" spans="1:6" x14ac:dyDescent="0.55000000000000004">
      <c r="A1704">
        <v>1.7269617080025881E+19</v>
      </c>
      <c r="B1704" t="s">
        <v>894</v>
      </c>
      <c r="C1704" t="s">
        <v>10</v>
      </c>
      <c r="D1704">
        <v>318</v>
      </c>
      <c r="E1704" s="4">
        <f t="shared" si="52"/>
        <v>44214</v>
      </c>
      <c r="F1704">
        <f t="shared" si="53"/>
        <v>815</v>
      </c>
    </row>
    <row r="1705" spans="1:6" x14ac:dyDescent="0.55000000000000004">
      <c r="A1705">
        <v>4.7348287336815247E+18</v>
      </c>
      <c r="B1705" t="s">
        <v>958</v>
      </c>
      <c r="C1705" t="s">
        <v>10</v>
      </c>
      <c r="D1705">
        <v>342</v>
      </c>
      <c r="E1705" s="4">
        <f t="shared" si="52"/>
        <v>44756</v>
      </c>
      <c r="F1705">
        <f t="shared" si="53"/>
        <v>273</v>
      </c>
    </row>
    <row r="1706" spans="1:6" x14ac:dyDescent="0.55000000000000004">
      <c r="A1706">
        <v>1.76099964690646E+19</v>
      </c>
      <c r="B1706" t="s">
        <v>959</v>
      </c>
      <c r="C1706" t="s">
        <v>10</v>
      </c>
      <c r="D1706">
        <v>335</v>
      </c>
      <c r="E1706" s="4">
        <f t="shared" si="52"/>
        <v>44697</v>
      </c>
      <c r="F1706">
        <f t="shared" si="53"/>
        <v>332</v>
      </c>
    </row>
    <row r="1707" spans="1:6" x14ac:dyDescent="0.55000000000000004">
      <c r="A1707">
        <v>1.685469016719214E+19</v>
      </c>
      <c r="B1707" t="s">
        <v>156</v>
      </c>
      <c r="C1707" t="s">
        <v>7</v>
      </c>
      <c r="D1707">
        <v>250</v>
      </c>
      <c r="E1707" s="4">
        <f t="shared" si="52"/>
        <v>44903</v>
      </c>
      <c r="F1707">
        <f t="shared" si="53"/>
        <v>126</v>
      </c>
    </row>
    <row r="1708" spans="1:6" x14ac:dyDescent="0.55000000000000004">
      <c r="A1708">
        <v>1.4379473002426651E+19</v>
      </c>
      <c r="B1708" t="s">
        <v>161</v>
      </c>
      <c r="C1708" t="s">
        <v>10</v>
      </c>
      <c r="D1708">
        <v>278</v>
      </c>
      <c r="E1708" s="4">
        <f t="shared" si="52"/>
        <v>44450</v>
      </c>
      <c r="F1708">
        <f t="shared" si="53"/>
        <v>579</v>
      </c>
    </row>
    <row r="1709" spans="1:6" x14ac:dyDescent="0.55000000000000004">
      <c r="A1709">
        <v>8.0737938358047109E+18</v>
      </c>
      <c r="B1709" t="s">
        <v>875</v>
      </c>
      <c r="C1709" t="s">
        <v>10</v>
      </c>
      <c r="D1709">
        <v>1254</v>
      </c>
      <c r="E1709" s="4">
        <f t="shared" si="52"/>
        <v>44486</v>
      </c>
      <c r="F1709">
        <f t="shared" si="53"/>
        <v>543</v>
      </c>
    </row>
    <row r="1710" spans="1:6" x14ac:dyDescent="0.55000000000000004">
      <c r="A1710">
        <v>9.166708935569963E+18</v>
      </c>
      <c r="B1710" t="s">
        <v>467</v>
      </c>
      <c r="C1710" t="s">
        <v>13</v>
      </c>
      <c r="D1710">
        <v>568</v>
      </c>
      <c r="E1710" s="4">
        <f t="shared" si="52"/>
        <v>44204</v>
      </c>
      <c r="F1710">
        <f t="shared" si="53"/>
        <v>825</v>
      </c>
    </row>
    <row r="1711" spans="1:6" x14ac:dyDescent="0.55000000000000004">
      <c r="A1711">
        <v>1.3041268512318099E+19</v>
      </c>
      <c r="B1711" t="s">
        <v>960</v>
      </c>
      <c r="C1711" t="s">
        <v>10</v>
      </c>
      <c r="D1711">
        <v>2778</v>
      </c>
      <c r="E1711" s="4">
        <f t="shared" si="52"/>
        <v>43811</v>
      </c>
      <c r="F1711">
        <f t="shared" si="53"/>
        <v>1218</v>
      </c>
    </row>
    <row r="1712" spans="1:6" x14ac:dyDescent="0.55000000000000004">
      <c r="A1712">
        <v>1.378013292667358E+19</v>
      </c>
      <c r="B1712" t="s">
        <v>115</v>
      </c>
      <c r="C1712" t="s">
        <v>10</v>
      </c>
      <c r="D1712">
        <v>537</v>
      </c>
      <c r="E1712" s="4">
        <f t="shared" si="52"/>
        <v>44580</v>
      </c>
      <c r="F1712">
        <f t="shared" si="53"/>
        <v>449</v>
      </c>
    </row>
    <row r="1713" spans="1:6" x14ac:dyDescent="0.55000000000000004">
      <c r="A1713">
        <v>5.8660013562805678E+18</v>
      </c>
      <c r="B1713" t="s">
        <v>464</v>
      </c>
      <c r="C1713" t="s">
        <v>13</v>
      </c>
      <c r="D1713">
        <v>2690</v>
      </c>
      <c r="E1713" s="4">
        <f t="shared" si="52"/>
        <v>43954</v>
      </c>
      <c r="F1713">
        <f t="shared" si="53"/>
        <v>1075</v>
      </c>
    </row>
    <row r="1714" spans="1:6" x14ac:dyDescent="0.55000000000000004">
      <c r="A1714">
        <v>1.0359063996735889E+19</v>
      </c>
      <c r="B1714" t="s">
        <v>846</v>
      </c>
      <c r="C1714" t="s">
        <v>10</v>
      </c>
      <c r="D1714">
        <v>7173</v>
      </c>
      <c r="E1714" s="4">
        <f t="shared" si="52"/>
        <v>44410</v>
      </c>
      <c r="F1714">
        <f t="shared" si="53"/>
        <v>619</v>
      </c>
    </row>
    <row r="1715" spans="1:6" x14ac:dyDescent="0.55000000000000004">
      <c r="A1715">
        <v>1.4525817385845809E+19</v>
      </c>
      <c r="B1715" t="s">
        <v>404</v>
      </c>
      <c r="C1715" t="s">
        <v>7</v>
      </c>
      <c r="D1715">
        <v>69</v>
      </c>
      <c r="E1715" s="4">
        <f t="shared" si="52"/>
        <v>44939</v>
      </c>
      <c r="F1715">
        <f t="shared" si="53"/>
        <v>90</v>
      </c>
    </row>
    <row r="1716" spans="1:6" x14ac:dyDescent="0.55000000000000004">
      <c r="A1716">
        <v>1.4494315031265849E+19</v>
      </c>
      <c r="B1716" t="s">
        <v>961</v>
      </c>
      <c r="C1716" t="s">
        <v>10</v>
      </c>
      <c r="D1716">
        <v>7887</v>
      </c>
      <c r="E1716" s="4">
        <f t="shared" si="52"/>
        <v>44194</v>
      </c>
      <c r="F1716">
        <f t="shared" si="53"/>
        <v>835</v>
      </c>
    </row>
    <row r="1717" spans="1:6" x14ac:dyDescent="0.55000000000000004">
      <c r="A1717">
        <v>1.832646097835544E+19</v>
      </c>
      <c r="B1717" t="s">
        <v>962</v>
      </c>
      <c r="C1717" t="s">
        <v>7</v>
      </c>
      <c r="D1717">
        <v>498</v>
      </c>
      <c r="E1717" s="4">
        <f t="shared" si="52"/>
        <v>44848</v>
      </c>
      <c r="F1717">
        <f t="shared" si="53"/>
        <v>181</v>
      </c>
    </row>
    <row r="1718" spans="1:6" x14ac:dyDescent="0.55000000000000004">
      <c r="A1718">
        <v>1.1866731439402271E+19</v>
      </c>
      <c r="B1718" t="s">
        <v>959</v>
      </c>
      <c r="C1718" t="s">
        <v>10</v>
      </c>
      <c r="D1718">
        <v>4593</v>
      </c>
      <c r="E1718" s="4">
        <f t="shared" si="52"/>
        <v>44697</v>
      </c>
      <c r="F1718">
        <f t="shared" si="53"/>
        <v>332</v>
      </c>
    </row>
    <row r="1719" spans="1:6" x14ac:dyDescent="0.55000000000000004">
      <c r="A1719">
        <v>1.28650095445998E+19</v>
      </c>
      <c r="B1719" t="s">
        <v>413</v>
      </c>
      <c r="C1719" t="s">
        <v>5</v>
      </c>
      <c r="D1719">
        <v>1350</v>
      </c>
      <c r="E1719" s="4">
        <f t="shared" si="52"/>
        <v>44433</v>
      </c>
      <c r="F1719">
        <f t="shared" si="53"/>
        <v>596</v>
      </c>
    </row>
    <row r="1720" spans="1:6" x14ac:dyDescent="0.55000000000000004">
      <c r="A1720">
        <v>1.098847880524816E+19</v>
      </c>
      <c r="B1720" t="s">
        <v>246</v>
      </c>
      <c r="C1720" t="s">
        <v>13</v>
      </c>
      <c r="D1720">
        <v>6714</v>
      </c>
      <c r="E1720" s="4">
        <f t="shared" si="52"/>
        <v>44348</v>
      </c>
      <c r="F1720">
        <f t="shared" si="53"/>
        <v>681</v>
      </c>
    </row>
    <row r="1721" spans="1:6" x14ac:dyDescent="0.55000000000000004">
      <c r="A1721">
        <v>9.2837641945690317E+18</v>
      </c>
      <c r="B1721" t="s">
        <v>963</v>
      </c>
      <c r="C1721" t="s">
        <v>10</v>
      </c>
      <c r="D1721">
        <v>990</v>
      </c>
      <c r="E1721" s="4">
        <f t="shared" si="52"/>
        <v>44035</v>
      </c>
      <c r="F1721">
        <f t="shared" si="53"/>
        <v>994</v>
      </c>
    </row>
    <row r="1722" spans="1:6" x14ac:dyDescent="0.55000000000000004">
      <c r="A1722">
        <v>4.8261973668250235E+18</v>
      </c>
      <c r="B1722" t="s">
        <v>964</v>
      </c>
      <c r="C1722" t="s">
        <v>10</v>
      </c>
      <c r="D1722">
        <v>113</v>
      </c>
      <c r="E1722" s="4">
        <f t="shared" si="52"/>
        <v>44414</v>
      </c>
      <c r="F1722">
        <f t="shared" si="53"/>
        <v>615</v>
      </c>
    </row>
    <row r="1723" spans="1:6" x14ac:dyDescent="0.55000000000000004">
      <c r="A1723">
        <v>9.4514269476234404E+18</v>
      </c>
      <c r="B1723" t="s">
        <v>666</v>
      </c>
      <c r="C1723" t="s">
        <v>13</v>
      </c>
      <c r="D1723">
        <v>1710</v>
      </c>
      <c r="E1723" s="4">
        <f t="shared" si="52"/>
        <v>44887</v>
      </c>
      <c r="F1723">
        <f t="shared" si="53"/>
        <v>142</v>
      </c>
    </row>
    <row r="1724" spans="1:6" x14ac:dyDescent="0.55000000000000004">
      <c r="A1724">
        <v>4.3439807576502672E+16</v>
      </c>
      <c r="B1724" t="s">
        <v>965</v>
      </c>
      <c r="C1724" t="s">
        <v>13</v>
      </c>
      <c r="D1724">
        <v>4120</v>
      </c>
      <c r="E1724" s="4">
        <f t="shared" si="52"/>
        <v>44804</v>
      </c>
      <c r="F1724">
        <f t="shared" si="53"/>
        <v>225</v>
      </c>
    </row>
    <row r="1725" spans="1:6" x14ac:dyDescent="0.55000000000000004">
      <c r="A1725">
        <v>6.4922869165179116E+18</v>
      </c>
      <c r="B1725" t="s">
        <v>797</v>
      </c>
      <c r="C1725" t="s">
        <v>13</v>
      </c>
      <c r="D1725">
        <v>219</v>
      </c>
      <c r="E1725" s="4">
        <f t="shared" si="52"/>
        <v>44437</v>
      </c>
      <c r="F1725">
        <f t="shared" si="53"/>
        <v>592</v>
      </c>
    </row>
    <row r="1726" spans="1:6" x14ac:dyDescent="0.55000000000000004">
      <c r="A1726">
        <v>1.750162701425094E+19</v>
      </c>
      <c r="B1726" t="s">
        <v>670</v>
      </c>
      <c r="C1726" t="s">
        <v>10</v>
      </c>
      <c r="D1726">
        <v>1446</v>
      </c>
      <c r="E1726" s="4">
        <f t="shared" si="52"/>
        <v>44211</v>
      </c>
      <c r="F1726">
        <f t="shared" si="53"/>
        <v>818</v>
      </c>
    </row>
    <row r="1727" spans="1:6" x14ac:dyDescent="0.55000000000000004">
      <c r="A1727">
        <v>5.4624663585149143E+18</v>
      </c>
      <c r="B1727" t="s">
        <v>768</v>
      </c>
      <c r="C1727" t="s">
        <v>50</v>
      </c>
      <c r="D1727">
        <v>318</v>
      </c>
      <c r="E1727" s="4">
        <f t="shared" si="52"/>
        <v>44477</v>
      </c>
      <c r="F1727">
        <f t="shared" si="53"/>
        <v>552</v>
      </c>
    </row>
    <row r="1728" spans="1:6" x14ac:dyDescent="0.55000000000000004">
      <c r="A1728">
        <v>1.3397155537099141E+18</v>
      </c>
      <c r="B1728" t="s">
        <v>640</v>
      </c>
      <c r="C1728" t="s">
        <v>50</v>
      </c>
      <c r="D1728">
        <v>92</v>
      </c>
      <c r="E1728" s="4">
        <f t="shared" si="52"/>
        <v>44036</v>
      </c>
      <c r="F1728">
        <f t="shared" si="53"/>
        <v>993</v>
      </c>
    </row>
    <row r="1729" spans="1:6" x14ac:dyDescent="0.55000000000000004">
      <c r="A1729">
        <v>9.6386809581655101E+18</v>
      </c>
      <c r="B1729" t="s">
        <v>317</v>
      </c>
      <c r="C1729" t="s">
        <v>10</v>
      </c>
      <c r="D1729">
        <v>869</v>
      </c>
      <c r="E1729" s="4">
        <f t="shared" si="52"/>
        <v>44601</v>
      </c>
      <c r="F1729">
        <f t="shared" si="53"/>
        <v>428</v>
      </c>
    </row>
    <row r="1730" spans="1:6" x14ac:dyDescent="0.55000000000000004">
      <c r="A1730">
        <v>5.2428657608355123E+18</v>
      </c>
      <c r="B1730" t="s">
        <v>637</v>
      </c>
      <c r="C1730" t="s">
        <v>13</v>
      </c>
      <c r="D1730">
        <v>13526</v>
      </c>
      <c r="E1730" s="4">
        <f t="shared" si="52"/>
        <v>44872</v>
      </c>
      <c r="F1730">
        <f t="shared" si="53"/>
        <v>157</v>
      </c>
    </row>
    <row r="1731" spans="1:6" x14ac:dyDescent="0.55000000000000004">
      <c r="A1731">
        <v>7.9294584105126963E+18</v>
      </c>
      <c r="B1731" t="s">
        <v>268</v>
      </c>
      <c r="C1731" t="s">
        <v>7</v>
      </c>
      <c r="D1731">
        <v>109</v>
      </c>
      <c r="E1731" s="4">
        <f t="shared" ref="E1731:E1794" si="54">DATEVALUE(B1731)</f>
        <v>44620</v>
      </c>
      <c r="F1731">
        <f t="shared" ref="F1731:F1794" si="55">$H$1-E1731</f>
        <v>409</v>
      </c>
    </row>
    <row r="1732" spans="1:6" x14ac:dyDescent="0.55000000000000004">
      <c r="A1732">
        <v>5.2033099489170362E+17</v>
      </c>
      <c r="B1732" t="s">
        <v>966</v>
      </c>
      <c r="C1732" t="s">
        <v>5</v>
      </c>
      <c r="D1732">
        <v>4136</v>
      </c>
      <c r="E1732" s="4">
        <f t="shared" si="54"/>
        <v>44919</v>
      </c>
      <c r="F1732">
        <f t="shared" si="55"/>
        <v>110</v>
      </c>
    </row>
    <row r="1733" spans="1:6" x14ac:dyDescent="0.55000000000000004">
      <c r="A1733">
        <v>2.3691286549144228E+18</v>
      </c>
      <c r="B1733" t="s">
        <v>25</v>
      </c>
      <c r="C1733" t="s">
        <v>13</v>
      </c>
      <c r="D1733">
        <v>1554</v>
      </c>
      <c r="E1733" s="4">
        <f t="shared" si="54"/>
        <v>44976</v>
      </c>
      <c r="F1733">
        <f t="shared" si="55"/>
        <v>53</v>
      </c>
    </row>
    <row r="1734" spans="1:6" x14ac:dyDescent="0.55000000000000004">
      <c r="A1734">
        <v>5.8273439590150308E+18</v>
      </c>
      <c r="B1734" t="s">
        <v>73</v>
      </c>
      <c r="C1734" t="s">
        <v>13</v>
      </c>
      <c r="D1734">
        <v>55020</v>
      </c>
      <c r="E1734" s="4">
        <f t="shared" si="54"/>
        <v>44188</v>
      </c>
      <c r="F1734">
        <f t="shared" si="55"/>
        <v>841</v>
      </c>
    </row>
    <row r="1735" spans="1:6" x14ac:dyDescent="0.55000000000000004">
      <c r="A1735">
        <v>1.502500369017592E+19</v>
      </c>
      <c r="B1735" t="s">
        <v>967</v>
      </c>
      <c r="C1735" t="s">
        <v>10</v>
      </c>
      <c r="D1735">
        <v>1258</v>
      </c>
      <c r="E1735" s="4">
        <f t="shared" si="54"/>
        <v>44334</v>
      </c>
      <c r="F1735">
        <f t="shared" si="55"/>
        <v>695</v>
      </c>
    </row>
    <row r="1736" spans="1:6" x14ac:dyDescent="0.55000000000000004">
      <c r="A1736">
        <v>1.6352046609988569E+19</v>
      </c>
      <c r="B1736" t="s">
        <v>968</v>
      </c>
      <c r="C1736" t="s">
        <v>10</v>
      </c>
      <c r="D1736">
        <v>2997</v>
      </c>
      <c r="E1736" s="4">
        <f t="shared" si="54"/>
        <v>44183</v>
      </c>
      <c r="F1736">
        <f t="shared" si="55"/>
        <v>846</v>
      </c>
    </row>
    <row r="1737" spans="1:6" x14ac:dyDescent="0.55000000000000004">
      <c r="A1737">
        <v>2.344110911434175E+18</v>
      </c>
      <c r="B1737" t="s">
        <v>969</v>
      </c>
      <c r="C1737" t="s">
        <v>10</v>
      </c>
      <c r="D1737">
        <v>1405</v>
      </c>
      <c r="E1737" s="4">
        <f t="shared" si="54"/>
        <v>44303</v>
      </c>
      <c r="F1737">
        <f t="shared" si="55"/>
        <v>726</v>
      </c>
    </row>
    <row r="1738" spans="1:6" x14ac:dyDescent="0.55000000000000004">
      <c r="A1738">
        <v>1.649638375785138E+19</v>
      </c>
      <c r="B1738" t="s">
        <v>945</v>
      </c>
      <c r="C1738" t="s">
        <v>10</v>
      </c>
      <c r="D1738">
        <v>287</v>
      </c>
      <c r="E1738" s="4">
        <f t="shared" si="54"/>
        <v>44019</v>
      </c>
      <c r="F1738">
        <f t="shared" si="55"/>
        <v>1010</v>
      </c>
    </row>
    <row r="1739" spans="1:6" x14ac:dyDescent="0.55000000000000004">
      <c r="A1739">
        <v>5.364618019062016E+18</v>
      </c>
      <c r="B1739" t="s">
        <v>437</v>
      </c>
      <c r="C1739" t="s">
        <v>10</v>
      </c>
      <c r="D1739">
        <v>1738</v>
      </c>
      <c r="E1739" s="4">
        <f t="shared" si="54"/>
        <v>44658</v>
      </c>
      <c r="F1739">
        <f t="shared" si="55"/>
        <v>371</v>
      </c>
    </row>
    <row r="1740" spans="1:6" x14ac:dyDescent="0.55000000000000004">
      <c r="A1740">
        <v>1.5276476970482409E+19</v>
      </c>
      <c r="B1740" t="s">
        <v>970</v>
      </c>
      <c r="C1740" t="s">
        <v>13</v>
      </c>
      <c r="D1740">
        <v>1166</v>
      </c>
      <c r="E1740" s="4">
        <f t="shared" si="54"/>
        <v>44220</v>
      </c>
      <c r="F1740">
        <f t="shared" si="55"/>
        <v>809</v>
      </c>
    </row>
    <row r="1741" spans="1:6" x14ac:dyDescent="0.55000000000000004">
      <c r="A1741">
        <v>1.733656592255062E+19</v>
      </c>
      <c r="B1741" t="s">
        <v>51</v>
      </c>
      <c r="C1741" t="s">
        <v>50</v>
      </c>
      <c r="D1741">
        <v>430</v>
      </c>
      <c r="E1741" s="4">
        <f t="shared" si="54"/>
        <v>44310</v>
      </c>
      <c r="F1741">
        <f t="shared" si="55"/>
        <v>719</v>
      </c>
    </row>
    <row r="1742" spans="1:6" x14ac:dyDescent="0.55000000000000004">
      <c r="A1742">
        <v>1.650922240021025E+19</v>
      </c>
      <c r="B1742" t="s">
        <v>107</v>
      </c>
      <c r="C1742" t="s">
        <v>13</v>
      </c>
      <c r="D1742">
        <v>439</v>
      </c>
      <c r="E1742" s="4">
        <f t="shared" si="54"/>
        <v>45019</v>
      </c>
      <c r="F1742">
        <f t="shared" si="55"/>
        <v>10</v>
      </c>
    </row>
    <row r="1743" spans="1:6" x14ac:dyDescent="0.55000000000000004">
      <c r="A1743">
        <v>5.3920489679229184E+18</v>
      </c>
      <c r="B1743" t="s">
        <v>861</v>
      </c>
      <c r="C1743" t="s">
        <v>10</v>
      </c>
      <c r="D1743">
        <v>1400</v>
      </c>
      <c r="E1743" s="4">
        <f t="shared" si="54"/>
        <v>44686</v>
      </c>
      <c r="F1743">
        <f t="shared" si="55"/>
        <v>343</v>
      </c>
    </row>
    <row r="1744" spans="1:6" x14ac:dyDescent="0.55000000000000004">
      <c r="A1744">
        <v>1.3632475813864321E+19</v>
      </c>
      <c r="B1744" t="s">
        <v>610</v>
      </c>
      <c r="C1744" t="s">
        <v>26</v>
      </c>
      <c r="D1744">
        <v>1813</v>
      </c>
      <c r="E1744" s="4">
        <f t="shared" si="54"/>
        <v>44484</v>
      </c>
      <c r="F1744">
        <f t="shared" si="55"/>
        <v>545</v>
      </c>
    </row>
    <row r="1745" spans="1:6" x14ac:dyDescent="0.55000000000000004">
      <c r="A1745">
        <v>1.268867558013766E+19</v>
      </c>
      <c r="B1745" t="s">
        <v>80</v>
      </c>
      <c r="C1745" t="s">
        <v>13</v>
      </c>
      <c r="D1745">
        <v>1245</v>
      </c>
      <c r="E1745" s="4">
        <f t="shared" si="54"/>
        <v>44621</v>
      </c>
      <c r="F1745">
        <f t="shared" si="55"/>
        <v>408</v>
      </c>
    </row>
    <row r="1746" spans="1:6" x14ac:dyDescent="0.55000000000000004">
      <c r="A1746">
        <v>4.3136611516126039E+18</v>
      </c>
      <c r="B1746" t="s">
        <v>219</v>
      </c>
      <c r="C1746" t="s">
        <v>10</v>
      </c>
      <c r="D1746">
        <v>11271</v>
      </c>
      <c r="E1746" s="4">
        <f t="shared" si="54"/>
        <v>44864</v>
      </c>
      <c r="F1746">
        <f t="shared" si="55"/>
        <v>165</v>
      </c>
    </row>
    <row r="1747" spans="1:6" x14ac:dyDescent="0.55000000000000004">
      <c r="A1747">
        <v>1.6286136303727159E+19</v>
      </c>
      <c r="B1747" t="s">
        <v>344</v>
      </c>
      <c r="C1747" t="s">
        <v>7</v>
      </c>
      <c r="D1747">
        <v>339</v>
      </c>
      <c r="E1747" s="4">
        <f t="shared" si="54"/>
        <v>44308</v>
      </c>
      <c r="F1747">
        <f t="shared" si="55"/>
        <v>721</v>
      </c>
    </row>
    <row r="1748" spans="1:6" x14ac:dyDescent="0.55000000000000004">
      <c r="A1748">
        <v>1.002818524851295E+19</v>
      </c>
      <c r="B1748" t="s">
        <v>825</v>
      </c>
      <c r="C1748" t="s">
        <v>13</v>
      </c>
      <c r="D1748">
        <v>890</v>
      </c>
      <c r="E1748" s="4">
        <f t="shared" si="54"/>
        <v>44619</v>
      </c>
      <c r="F1748">
        <f t="shared" si="55"/>
        <v>410</v>
      </c>
    </row>
    <row r="1749" spans="1:6" x14ac:dyDescent="0.55000000000000004">
      <c r="A1749">
        <v>1.766031630693997E+19</v>
      </c>
      <c r="B1749" t="s">
        <v>226</v>
      </c>
      <c r="C1749" t="s">
        <v>10</v>
      </c>
      <c r="D1749">
        <v>740</v>
      </c>
      <c r="E1749" s="4">
        <f t="shared" si="54"/>
        <v>44613</v>
      </c>
      <c r="F1749">
        <f t="shared" si="55"/>
        <v>416</v>
      </c>
    </row>
    <row r="1750" spans="1:6" x14ac:dyDescent="0.55000000000000004">
      <c r="A1750">
        <v>8.8021057141217864E+18</v>
      </c>
      <c r="B1750" t="s">
        <v>297</v>
      </c>
      <c r="C1750" t="s">
        <v>7</v>
      </c>
      <c r="D1750">
        <v>266</v>
      </c>
      <c r="E1750" s="4">
        <f t="shared" si="54"/>
        <v>44743</v>
      </c>
      <c r="F1750">
        <f t="shared" si="55"/>
        <v>286</v>
      </c>
    </row>
    <row r="1751" spans="1:6" x14ac:dyDescent="0.55000000000000004">
      <c r="A1751">
        <v>4.7091732041371331E+18</v>
      </c>
      <c r="B1751" t="s">
        <v>86</v>
      </c>
      <c r="C1751" t="s">
        <v>13</v>
      </c>
      <c r="D1751">
        <v>602</v>
      </c>
      <c r="E1751" s="4">
        <f t="shared" si="54"/>
        <v>44263</v>
      </c>
      <c r="F1751">
        <f t="shared" si="55"/>
        <v>766</v>
      </c>
    </row>
    <row r="1752" spans="1:6" x14ac:dyDescent="0.55000000000000004">
      <c r="A1752">
        <v>9.2043461364784036E+18</v>
      </c>
      <c r="B1752" t="s">
        <v>940</v>
      </c>
      <c r="C1752" t="s">
        <v>7</v>
      </c>
      <c r="D1752">
        <v>5000</v>
      </c>
      <c r="E1752" s="4">
        <f t="shared" si="54"/>
        <v>44776</v>
      </c>
      <c r="F1752">
        <f t="shared" si="55"/>
        <v>253</v>
      </c>
    </row>
    <row r="1753" spans="1:6" x14ac:dyDescent="0.55000000000000004">
      <c r="A1753">
        <v>2.5753164287762079E+18</v>
      </c>
      <c r="B1753" t="s">
        <v>971</v>
      </c>
      <c r="C1753" t="s">
        <v>5</v>
      </c>
      <c r="D1753">
        <v>1918</v>
      </c>
      <c r="E1753" s="4">
        <f t="shared" si="54"/>
        <v>44061</v>
      </c>
      <c r="F1753">
        <f t="shared" si="55"/>
        <v>968</v>
      </c>
    </row>
    <row r="1754" spans="1:6" x14ac:dyDescent="0.55000000000000004">
      <c r="A1754">
        <v>1.723492846644417E+18</v>
      </c>
      <c r="B1754" t="s">
        <v>115</v>
      </c>
      <c r="C1754" t="s">
        <v>7</v>
      </c>
      <c r="D1754">
        <v>169</v>
      </c>
      <c r="E1754" s="4">
        <f t="shared" si="54"/>
        <v>44580</v>
      </c>
      <c r="F1754">
        <f t="shared" si="55"/>
        <v>449</v>
      </c>
    </row>
    <row r="1755" spans="1:6" x14ac:dyDescent="0.55000000000000004">
      <c r="A1755">
        <v>8.1829330409292186E+18</v>
      </c>
      <c r="B1755" t="s">
        <v>785</v>
      </c>
      <c r="C1755" t="s">
        <v>10</v>
      </c>
      <c r="D1755">
        <v>299</v>
      </c>
      <c r="E1755" s="4">
        <f t="shared" si="54"/>
        <v>44974</v>
      </c>
      <c r="F1755">
        <f t="shared" si="55"/>
        <v>55</v>
      </c>
    </row>
    <row r="1756" spans="1:6" x14ac:dyDescent="0.55000000000000004">
      <c r="A1756">
        <v>7.3300644431566162E+18</v>
      </c>
      <c r="B1756" t="s">
        <v>513</v>
      </c>
      <c r="C1756" t="s">
        <v>7</v>
      </c>
      <c r="D1756">
        <v>379</v>
      </c>
      <c r="E1756" s="4">
        <f t="shared" si="54"/>
        <v>44452</v>
      </c>
      <c r="F1756">
        <f t="shared" si="55"/>
        <v>577</v>
      </c>
    </row>
    <row r="1757" spans="1:6" x14ac:dyDescent="0.55000000000000004">
      <c r="A1757">
        <v>1.764911761322428E+19</v>
      </c>
      <c r="B1757" t="s">
        <v>972</v>
      </c>
      <c r="C1757" t="s">
        <v>10</v>
      </c>
      <c r="D1757">
        <v>1124</v>
      </c>
      <c r="E1757" s="4">
        <f t="shared" si="54"/>
        <v>44175</v>
      </c>
      <c r="F1757">
        <f t="shared" si="55"/>
        <v>854</v>
      </c>
    </row>
    <row r="1758" spans="1:6" x14ac:dyDescent="0.55000000000000004">
      <c r="A1758">
        <v>7.75064530770462E+18</v>
      </c>
      <c r="B1758" t="s">
        <v>855</v>
      </c>
      <c r="C1758" t="s">
        <v>26</v>
      </c>
      <c r="D1758">
        <v>349</v>
      </c>
      <c r="E1758" s="4">
        <f t="shared" si="54"/>
        <v>44807</v>
      </c>
      <c r="F1758">
        <f t="shared" si="55"/>
        <v>222</v>
      </c>
    </row>
    <row r="1759" spans="1:6" x14ac:dyDescent="0.55000000000000004">
      <c r="A1759">
        <v>1.557734816688022E+18</v>
      </c>
      <c r="B1759" t="s">
        <v>340</v>
      </c>
      <c r="C1759" t="s">
        <v>13</v>
      </c>
      <c r="D1759">
        <v>2939</v>
      </c>
      <c r="E1759" s="4">
        <f t="shared" si="54"/>
        <v>45002</v>
      </c>
      <c r="F1759">
        <f t="shared" si="55"/>
        <v>27</v>
      </c>
    </row>
    <row r="1760" spans="1:6" x14ac:dyDescent="0.55000000000000004">
      <c r="A1760">
        <v>1.6508999763208319E+19</v>
      </c>
      <c r="B1760" t="s">
        <v>189</v>
      </c>
      <c r="C1760" t="s">
        <v>10</v>
      </c>
      <c r="D1760">
        <v>118</v>
      </c>
      <c r="E1760" s="4">
        <f t="shared" si="54"/>
        <v>44830</v>
      </c>
      <c r="F1760">
        <f t="shared" si="55"/>
        <v>199</v>
      </c>
    </row>
    <row r="1761" spans="1:6" x14ac:dyDescent="0.55000000000000004">
      <c r="A1761">
        <v>4.5593323890435702E+18</v>
      </c>
      <c r="B1761" t="s">
        <v>973</v>
      </c>
      <c r="C1761" t="s">
        <v>10</v>
      </c>
      <c r="D1761">
        <v>943</v>
      </c>
      <c r="E1761" s="4">
        <f t="shared" si="54"/>
        <v>44078</v>
      </c>
      <c r="F1761">
        <f t="shared" si="55"/>
        <v>951</v>
      </c>
    </row>
    <row r="1762" spans="1:6" x14ac:dyDescent="0.55000000000000004">
      <c r="A1762">
        <v>1.629364327482625E+19</v>
      </c>
      <c r="B1762" t="s">
        <v>527</v>
      </c>
      <c r="C1762" t="s">
        <v>46</v>
      </c>
      <c r="D1762">
        <v>667</v>
      </c>
      <c r="E1762" s="4">
        <f t="shared" si="54"/>
        <v>44643</v>
      </c>
      <c r="F1762">
        <f t="shared" si="55"/>
        <v>386</v>
      </c>
    </row>
    <row r="1763" spans="1:6" x14ac:dyDescent="0.55000000000000004">
      <c r="A1763">
        <v>1.492838032545466E+19</v>
      </c>
      <c r="B1763" t="s">
        <v>460</v>
      </c>
      <c r="C1763" t="s">
        <v>50</v>
      </c>
      <c r="D1763">
        <v>29</v>
      </c>
      <c r="E1763" s="4">
        <f t="shared" si="54"/>
        <v>44671</v>
      </c>
      <c r="F1763">
        <f t="shared" si="55"/>
        <v>358</v>
      </c>
    </row>
    <row r="1764" spans="1:6" x14ac:dyDescent="0.55000000000000004">
      <c r="A1764">
        <v>5.3973038049061745E+18</v>
      </c>
      <c r="B1764" t="s">
        <v>148</v>
      </c>
      <c r="C1764" t="s">
        <v>26</v>
      </c>
      <c r="D1764">
        <v>18685</v>
      </c>
      <c r="E1764" s="4">
        <f t="shared" si="54"/>
        <v>44005</v>
      </c>
      <c r="F1764">
        <f t="shared" si="55"/>
        <v>1024</v>
      </c>
    </row>
    <row r="1765" spans="1:6" x14ac:dyDescent="0.55000000000000004">
      <c r="A1765">
        <v>1.484602512822185E+19</v>
      </c>
      <c r="B1765" t="s">
        <v>572</v>
      </c>
      <c r="C1765" t="s">
        <v>10</v>
      </c>
      <c r="D1765">
        <v>1320</v>
      </c>
      <c r="E1765" s="4">
        <f t="shared" si="54"/>
        <v>44479</v>
      </c>
      <c r="F1765">
        <f t="shared" si="55"/>
        <v>550</v>
      </c>
    </row>
    <row r="1766" spans="1:6" x14ac:dyDescent="0.55000000000000004">
      <c r="A1766">
        <v>2.9959445171180252E+18</v>
      </c>
      <c r="B1766" t="s">
        <v>974</v>
      </c>
      <c r="C1766" t="s">
        <v>13</v>
      </c>
      <c r="D1766">
        <v>572</v>
      </c>
      <c r="E1766" s="4">
        <f t="shared" si="54"/>
        <v>44583</v>
      </c>
      <c r="F1766">
        <f t="shared" si="55"/>
        <v>446</v>
      </c>
    </row>
    <row r="1767" spans="1:6" x14ac:dyDescent="0.55000000000000004">
      <c r="A1767">
        <v>1.263360759711471E+19</v>
      </c>
      <c r="B1767" t="s">
        <v>49</v>
      </c>
      <c r="C1767" t="s">
        <v>13</v>
      </c>
      <c r="D1767">
        <v>2367</v>
      </c>
      <c r="E1767" s="4">
        <f t="shared" si="54"/>
        <v>44134</v>
      </c>
      <c r="F1767">
        <f t="shared" si="55"/>
        <v>895</v>
      </c>
    </row>
    <row r="1768" spans="1:6" x14ac:dyDescent="0.55000000000000004">
      <c r="A1768">
        <v>1.08985227499706E+19</v>
      </c>
      <c r="B1768" t="s">
        <v>300</v>
      </c>
      <c r="C1768" t="s">
        <v>13</v>
      </c>
      <c r="D1768">
        <v>3700</v>
      </c>
      <c r="E1768" s="4">
        <f t="shared" si="54"/>
        <v>44245</v>
      </c>
      <c r="F1768">
        <f t="shared" si="55"/>
        <v>784</v>
      </c>
    </row>
    <row r="1769" spans="1:6" x14ac:dyDescent="0.55000000000000004">
      <c r="A1769">
        <v>3.9444617656284708E+18</v>
      </c>
      <c r="B1769" t="s">
        <v>967</v>
      </c>
      <c r="C1769" t="s">
        <v>46</v>
      </c>
      <c r="D1769">
        <v>537</v>
      </c>
      <c r="E1769" s="4">
        <f t="shared" si="54"/>
        <v>44334</v>
      </c>
      <c r="F1769">
        <f t="shared" si="55"/>
        <v>695</v>
      </c>
    </row>
    <row r="1770" spans="1:6" x14ac:dyDescent="0.55000000000000004">
      <c r="A1770">
        <v>4.7992098544701256E+18</v>
      </c>
      <c r="B1770" t="s">
        <v>975</v>
      </c>
      <c r="C1770" t="s">
        <v>13</v>
      </c>
      <c r="D1770">
        <v>476</v>
      </c>
      <c r="E1770" s="4">
        <f t="shared" si="54"/>
        <v>44570</v>
      </c>
      <c r="F1770">
        <f t="shared" si="55"/>
        <v>459</v>
      </c>
    </row>
    <row r="1771" spans="1:6" x14ac:dyDescent="0.55000000000000004">
      <c r="A1771">
        <v>1.529683543112498E+19</v>
      </c>
      <c r="B1771" t="s">
        <v>483</v>
      </c>
      <c r="C1771" t="s">
        <v>13</v>
      </c>
      <c r="D1771">
        <v>298</v>
      </c>
      <c r="E1771" s="4">
        <f t="shared" si="54"/>
        <v>43767</v>
      </c>
      <c r="F1771">
        <f t="shared" si="55"/>
        <v>1262</v>
      </c>
    </row>
    <row r="1772" spans="1:6" x14ac:dyDescent="0.55000000000000004">
      <c r="A1772">
        <v>1.270745994120286E+19</v>
      </c>
      <c r="B1772" t="s">
        <v>976</v>
      </c>
      <c r="C1772" t="s">
        <v>5</v>
      </c>
      <c r="D1772">
        <v>2385</v>
      </c>
      <c r="E1772" s="4">
        <f t="shared" si="54"/>
        <v>44311</v>
      </c>
      <c r="F1772">
        <f t="shared" si="55"/>
        <v>718</v>
      </c>
    </row>
    <row r="1773" spans="1:6" x14ac:dyDescent="0.55000000000000004">
      <c r="A1773">
        <v>1.765569553264256E+19</v>
      </c>
      <c r="B1773" t="s">
        <v>61</v>
      </c>
      <c r="C1773" t="s">
        <v>10</v>
      </c>
      <c r="D1773">
        <v>988</v>
      </c>
      <c r="E1773" s="4">
        <f t="shared" si="54"/>
        <v>44894</v>
      </c>
      <c r="F1773">
        <f t="shared" si="55"/>
        <v>135</v>
      </c>
    </row>
    <row r="1774" spans="1:6" x14ac:dyDescent="0.55000000000000004">
      <c r="A1774">
        <v>1.2418058850637941E+19</v>
      </c>
      <c r="B1774" t="s">
        <v>977</v>
      </c>
      <c r="C1774" t="s">
        <v>5</v>
      </c>
      <c r="D1774">
        <v>750</v>
      </c>
      <c r="E1774" s="4">
        <f t="shared" si="54"/>
        <v>44826</v>
      </c>
      <c r="F1774">
        <f t="shared" si="55"/>
        <v>203</v>
      </c>
    </row>
    <row r="1775" spans="1:6" x14ac:dyDescent="0.55000000000000004">
      <c r="A1775">
        <v>1.378013292667358E+19</v>
      </c>
      <c r="B1775" t="s">
        <v>160</v>
      </c>
      <c r="C1775" t="s">
        <v>10</v>
      </c>
      <c r="D1775">
        <v>699</v>
      </c>
      <c r="E1775" s="4">
        <f t="shared" si="54"/>
        <v>44723</v>
      </c>
      <c r="F1775">
        <f t="shared" si="55"/>
        <v>306</v>
      </c>
    </row>
    <row r="1776" spans="1:6" x14ac:dyDescent="0.55000000000000004">
      <c r="A1776">
        <v>1.9144916142497669E+18</v>
      </c>
      <c r="B1776" t="s">
        <v>855</v>
      </c>
      <c r="C1776" t="s">
        <v>7</v>
      </c>
      <c r="D1776">
        <v>644</v>
      </c>
      <c r="E1776" s="4">
        <f t="shared" si="54"/>
        <v>44807</v>
      </c>
      <c r="F1776">
        <f t="shared" si="55"/>
        <v>222</v>
      </c>
    </row>
    <row r="1777" spans="1:6" x14ac:dyDescent="0.55000000000000004">
      <c r="A1777">
        <v>5.3973038049061745E+18</v>
      </c>
      <c r="B1777" t="s">
        <v>978</v>
      </c>
      <c r="C1777" t="s">
        <v>26</v>
      </c>
      <c r="D1777">
        <v>427052.72</v>
      </c>
      <c r="E1777" s="4">
        <f t="shared" si="54"/>
        <v>42678</v>
      </c>
      <c r="F1777">
        <f t="shared" si="55"/>
        <v>2351</v>
      </c>
    </row>
    <row r="1778" spans="1:6" x14ac:dyDescent="0.55000000000000004">
      <c r="A1778">
        <v>5.7910861182605609E+18</v>
      </c>
      <c r="B1778" t="s">
        <v>979</v>
      </c>
      <c r="C1778" t="s">
        <v>13</v>
      </c>
      <c r="D1778">
        <v>881</v>
      </c>
      <c r="E1778" s="4">
        <f t="shared" si="54"/>
        <v>44237</v>
      </c>
      <c r="F1778">
        <f t="shared" si="55"/>
        <v>792</v>
      </c>
    </row>
    <row r="1779" spans="1:6" x14ac:dyDescent="0.55000000000000004">
      <c r="A1779">
        <v>4.135258352010667E+18</v>
      </c>
      <c r="B1779" t="s">
        <v>546</v>
      </c>
      <c r="C1779" t="s">
        <v>10</v>
      </c>
      <c r="D1779">
        <v>3665</v>
      </c>
      <c r="E1779" s="4">
        <f t="shared" si="54"/>
        <v>44679</v>
      </c>
      <c r="F1779">
        <f t="shared" si="55"/>
        <v>350</v>
      </c>
    </row>
    <row r="1780" spans="1:6" x14ac:dyDescent="0.55000000000000004">
      <c r="A1780">
        <v>1.6942746840926949E+19</v>
      </c>
      <c r="B1780" t="s">
        <v>692</v>
      </c>
      <c r="C1780" t="s">
        <v>10</v>
      </c>
      <c r="D1780">
        <v>480</v>
      </c>
      <c r="E1780" s="4">
        <f t="shared" si="54"/>
        <v>44322</v>
      </c>
      <c r="F1780">
        <f t="shared" si="55"/>
        <v>707</v>
      </c>
    </row>
    <row r="1781" spans="1:6" x14ac:dyDescent="0.55000000000000004">
      <c r="A1781">
        <v>9.530727924031914E+18</v>
      </c>
      <c r="B1781" t="s">
        <v>806</v>
      </c>
      <c r="C1781" t="s">
        <v>10</v>
      </c>
      <c r="D1781">
        <v>455</v>
      </c>
      <c r="E1781" s="4">
        <f t="shared" si="54"/>
        <v>44540</v>
      </c>
      <c r="F1781">
        <f t="shared" si="55"/>
        <v>489</v>
      </c>
    </row>
    <row r="1782" spans="1:6" x14ac:dyDescent="0.55000000000000004">
      <c r="A1782">
        <v>8.466503340618112E+17</v>
      </c>
      <c r="B1782" t="s">
        <v>276</v>
      </c>
      <c r="C1782" t="s">
        <v>13</v>
      </c>
      <c r="D1782">
        <v>837</v>
      </c>
      <c r="E1782" s="4">
        <f t="shared" si="54"/>
        <v>44281</v>
      </c>
      <c r="F1782">
        <f t="shared" si="55"/>
        <v>748</v>
      </c>
    </row>
    <row r="1783" spans="1:6" x14ac:dyDescent="0.55000000000000004">
      <c r="A1783">
        <v>1.766031630693997E+19</v>
      </c>
      <c r="B1783" t="s">
        <v>307</v>
      </c>
      <c r="C1783" t="s">
        <v>5</v>
      </c>
      <c r="D1783">
        <v>690</v>
      </c>
      <c r="E1783" s="4">
        <f t="shared" si="54"/>
        <v>44616</v>
      </c>
      <c r="F1783">
        <f t="shared" si="55"/>
        <v>413</v>
      </c>
    </row>
    <row r="1784" spans="1:6" x14ac:dyDescent="0.55000000000000004">
      <c r="A1784">
        <v>1.300146662164583E+19</v>
      </c>
      <c r="B1784" t="s">
        <v>713</v>
      </c>
      <c r="C1784" t="s">
        <v>10</v>
      </c>
      <c r="D1784">
        <v>1179</v>
      </c>
      <c r="E1784" s="4">
        <f t="shared" si="54"/>
        <v>44246</v>
      </c>
      <c r="F1784">
        <f t="shared" si="55"/>
        <v>783</v>
      </c>
    </row>
    <row r="1785" spans="1:6" x14ac:dyDescent="0.55000000000000004">
      <c r="A1785">
        <v>2.8870954126147809E+18</v>
      </c>
      <c r="B1785" t="s">
        <v>123</v>
      </c>
      <c r="C1785" t="s">
        <v>26</v>
      </c>
      <c r="D1785">
        <v>241</v>
      </c>
      <c r="E1785" s="4">
        <f t="shared" si="54"/>
        <v>43861</v>
      </c>
      <c r="F1785">
        <f t="shared" si="55"/>
        <v>1168</v>
      </c>
    </row>
    <row r="1786" spans="1:6" x14ac:dyDescent="0.55000000000000004">
      <c r="A1786">
        <v>1.4504158525317599E+19</v>
      </c>
      <c r="B1786" t="s">
        <v>448</v>
      </c>
      <c r="C1786" t="s">
        <v>10</v>
      </c>
      <c r="D1786">
        <v>4758</v>
      </c>
      <c r="E1786" s="4">
        <f t="shared" si="54"/>
        <v>44506</v>
      </c>
      <c r="F1786">
        <f t="shared" si="55"/>
        <v>523</v>
      </c>
    </row>
    <row r="1787" spans="1:6" x14ac:dyDescent="0.55000000000000004">
      <c r="A1787">
        <v>1.542291746567033E+19</v>
      </c>
      <c r="B1787" t="s">
        <v>435</v>
      </c>
      <c r="C1787" t="s">
        <v>10</v>
      </c>
      <c r="D1787">
        <v>151</v>
      </c>
      <c r="E1787" s="4">
        <f t="shared" si="54"/>
        <v>44459</v>
      </c>
      <c r="F1787">
        <f t="shared" si="55"/>
        <v>570</v>
      </c>
    </row>
    <row r="1788" spans="1:6" x14ac:dyDescent="0.55000000000000004">
      <c r="A1788">
        <v>1.5462610389332511E+19</v>
      </c>
      <c r="B1788" t="s">
        <v>127</v>
      </c>
      <c r="C1788" t="s">
        <v>13</v>
      </c>
      <c r="D1788">
        <v>2386</v>
      </c>
      <c r="E1788" s="4">
        <f t="shared" si="54"/>
        <v>43824</v>
      </c>
      <c r="F1788">
        <f t="shared" si="55"/>
        <v>1205</v>
      </c>
    </row>
    <row r="1789" spans="1:6" x14ac:dyDescent="0.55000000000000004">
      <c r="A1789">
        <v>5.3973038049061745E+18</v>
      </c>
      <c r="B1789" t="s">
        <v>873</v>
      </c>
      <c r="C1789" t="s">
        <v>46</v>
      </c>
      <c r="D1789">
        <v>36808</v>
      </c>
      <c r="E1789" s="4">
        <f t="shared" si="54"/>
        <v>44127</v>
      </c>
      <c r="F1789">
        <f t="shared" si="55"/>
        <v>902</v>
      </c>
    </row>
    <row r="1790" spans="1:6" x14ac:dyDescent="0.55000000000000004">
      <c r="A1790">
        <v>1.14696528733557E+19</v>
      </c>
      <c r="B1790" t="s">
        <v>697</v>
      </c>
      <c r="C1790" t="s">
        <v>10</v>
      </c>
      <c r="D1790">
        <v>776</v>
      </c>
      <c r="E1790" s="4">
        <f t="shared" si="54"/>
        <v>44584</v>
      </c>
      <c r="F1790">
        <f t="shared" si="55"/>
        <v>445</v>
      </c>
    </row>
    <row r="1791" spans="1:6" x14ac:dyDescent="0.55000000000000004">
      <c r="A1791">
        <v>3.1471119326611548E+18</v>
      </c>
      <c r="B1791" t="s">
        <v>980</v>
      </c>
      <c r="C1791" t="s">
        <v>10</v>
      </c>
      <c r="D1791">
        <v>11033</v>
      </c>
      <c r="E1791" s="4">
        <f t="shared" si="54"/>
        <v>44409</v>
      </c>
      <c r="F1791">
        <f t="shared" si="55"/>
        <v>620</v>
      </c>
    </row>
    <row r="1792" spans="1:6" x14ac:dyDescent="0.55000000000000004">
      <c r="A1792">
        <v>1.783469102070373E+19</v>
      </c>
      <c r="B1792" t="s">
        <v>981</v>
      </c>
      <c r="C1792" t="s">
        <v>50</v>
      </c>
      <c r="D1792">
        <v>117</v>
      </c>
      <c r="E1792" s="4">
        <f t="shared" si="54"/>
        <v>43717</v>
      </c>
      <c r="F1792">
        <f t="shared" si="55"/>
        <v>1312</v>
      </c>
    </row>
    <row r="1793" spans="1:6" x14ac:dyDescent="0.55000000000000004">
      <c r="A1793">
        <v>1.5454653710179119E+19</v>
      </c>
      <c r="B1793" t="s">
        <v>789</v>
      </c>
      <c r="C1793" t="s">
        <v>7</v>
      </c>
      <c r="D1793">
        <v>594</v>
      </c>
      <c r="E1793" s="4">
        <f t="shared" si="54"/>
        <v>44366</v>
      </c>
      <c r="F1793">
        <f t="shared" si="55"/>
        <v>663</v>
      </c>
    </row>
    <row r="1794" spans="1:6" x14ac:dyDescent="0.55000000000000004">
      <c r="A1794">
        <v>3.3758106690651448E+18</v>
      </c>
      <c r="B1794" t="s">
        <v>533</v>
      </c>
      <c r="C1794" t="s">
        <v>46</v>
      </c>
      <c r="D1794">
        <v>230</v>
      </c>
      <c r="E1794" s="4">
        <f t="shared" si="54"/>
        <v>44924</v>
      </c>
      <c r="F1794">
        <f t="shared" si="55"/>
        <v>105</v>
      </c>
    </row>
    <row r="1795" spans="1:6" x14ac:dyDescent="0.55000000000000004">
      <c r="A1795">
        <v>1.25975856000808E+19</v>
      </c>
      <c r="B1795" t="s">
        <v>851</v>
      </c>
      <c r="C1795" t="s">
        <v>10</v>
      </c>
      <c r="D1795">
        <v>295</v>
      </c>
      <c r="E1795" s="4">
        <f t="shared" ref="E1795:E1858" si="56">DATEVALUE(B1795)</f>
        <v>43873</v>
      </c>
      <c r="F1795">
        <f t="shared" ref="F1795:F1858" si="57">$H$1-E1795</f>
        <v>1156</v>
      </c>
    </row>
    <row r="1796" spans="1:6" x14ac:dyDescent="0.55000000000000004">
      <c r="A1796">
        <v>1.6110035923754729E+19</v>
      </c>
      <c r="B1796" t="s">
        <v>739</v>
      </c>
      <c r="C1796" t="s">
        <v>50</v>
      </c>
      <c r="D1796">
        <v>68</v>
      </c>
      <c r="E1796" s="4">
        <f t="shared" si="56"/>
        <v>44395</v>
      </c>
      <c r="F1796">
        <f t="shared" si="57"/>
        <v>634</v>
      </c>
    </row>
    <row r="1797" spans="1:6" x14ac:dyDescent="0.55000000000000004">
      <c r="A1797">
        <v>1.7230858762118959E+19</v>
      </c>
      <c r="B1797" t="s">
        <v>774</v>
      </c>
      <c r="C1797" t="s">
        <v>13</v>
      </c>
      <c r="D1797">
        <v>2640</v>
      </c>
      <c r="E1797" s="4">
        <f t="shared" si="56"/>
        <v>44514</v>
      </c>
      <c r="F1797">
        <f t="shared" si="57"/>
        <v>515</v>
      </c>
    </row>
    <row r="1798" spans="1:6" x14ac:dyDescent="0.55000000000000004">
      <c r="A1798">
        <v>8.8511970587505523E+17</v>
      </c>
      <c r="B1798" t="s">
        <v>982</v>
      </c>
      <c r="C1798" t="s">
        <v>10</v>
      </c>
      <c r="D1798">
        <v>4122</v>
      </c>
      <c r="E1798" s="4">
        <f t="shared" si="56"/>
        <v>44094</v>
      </c>
      <c r="F1798">
        <f t="shared" si="57"/>
        <v>935</v>
      </c>
    </row>
    <row r="1799" spans="1:6" x14ac:dyDescent="0.55000000000000004">
      <c r="A1799">
        <v>4.3485892790521062E+17</v>
      </c>
      <c r="B1799" t="s">
        <v>976</v>
      </c>
      <c r="C1799" t="s">
        <v>26</v>
      </c>
      <c r="D1799">
        <v>1224</v>
      </c>
      <c r="E1799" s="4">
        <f t="shared" si="56"/>
        <v>44311</v>
      </c>
      <c r="F1799">
        <f t="shared" si="57"/>
        <v>718</v>
      </c>
    </row>
    <row r="1800" spans="1:6" x14ac:dyDescent="0.55000000000000004">
      <c r="A1800">
        <v>9.4676140967001108E+18</v>
      </c>
      <c r="B1800" t="s">
        <v>270</v>
      </c>
      <c r="C1800" t="s">
        <v>13</v>
      </c>
      <c r="D1800">
        <v>220</v>
      </c>
      <c r="E1800" s="4">
        <f t="shared" si="56"/>
        <v>44983</v>
      </c>
      <c r="F1800">
        <f t="shared" si="57"/>
        <v>46</v>
      </c>
    </row>
    <row r="1801" spans="1:6" x14ac:dyDescent="0.55000000000000004">
      <c r="A1801">
        <v>2.1445875065722711E+18</v>
      </c>
      <c r="B1801" t="s">
        <v>255</v>
      </c>
      <c r="C1801" t="s">
        <v>13</v>
      </c>
      <c r="D1801">
        <v>21480</v>
      </c>
      <c r="E1801" s="4">
        <f t="shared" si="56"/>
        <v>44488</v>
      </c>
      <c r="F1801">
        <f t="shared" si="57"/>
        <v>541</v>
      </c>
    </row>
    <row r="1802" spans="1:6" x14ac:dyDescent="0.55000000000000004">
      <c r="A1802">
        <v>4.8291584269761249E+18</v>
      </c>
      <c r="B1802" t="s">
        <v>116</v>
      </c>
      <c r="C1802" t="s">
        <v>13</v>
      </c>
      <c r="D1802">
        <v>30800</v>
      </c>
      <c r="E1802" s="4">
        <f t="shared" si="56"/>
        <v>44877</v>
      </c>
      <c r="F1802">
        <f t="shared" si="57"/>
        <v>152</v>
      </c>
    </row>
    <row r="1803" spans="1:6" x14ac:dyDescent="0.55000000000000004">
      <c r="A1803">
        <v>9.7783392705113784E+18</v>
      </c>
      <c r="B1803" t="s">
        <v>983</v>
      </c>
      <c r="C1803" t="s">
        <v>10</v>
      </c>
      <c r="D1803">
        <v>1137</v>
      </c>
      <c r="E1803" s="4">
        <f t="shared" si="56"/>
        <v>44169</v>
      </c>
      <c r="F1803">
        <f t="shared" si="57"/>
        <v>860</v>
      </c>
    </row>
    <row r="1804" spans="1:6" x14ac:dyDescent="0.55000000000000004">
      <c r="A1804">
        <v>1.8099632184957949E+18</v>
      </c>
      <c r="B1804" t="s">
        <v>984</v>
      </c>
      <c r="C1804" t="s">
        <v>10</v>
      </c>
      <c r="D1804">
        <v>1758</v>
      </c>
      <c r="E1804" s="4">
        <f t="shared" si="56"/>
        <v>44416</v>
      </c>
      <c r="F1804">
        <f t="shared" si="57"/>
        <v>613</v>
      </c>
    </row>
    <row r="1805" spans="1:6" x14ac:dyDescent="0.55000000000000004">
      <c r="A1805">
        <v>2.170703312628712E+17</v>
      </c>
      <c r="B1805" t="s">
        <v>68</v>
      </c>
      <c r="C1805" t="s">
        <v>10</v>
      </c>
      <c r="D1805">
        <v>4845</v>
      </c>
      <c r="E1805" s="4">
        <f t="shared" si="56"/>
        <v>44958</v>
      </c>
      <c r="F1805">
        <f t="shared" si="57"/>
        <v>71</v>
      </c>
    </row>
    <row r="1806" spans="1:6" x14ac:dyDescent="0.55000000000000004">
      <c r="A1806">
        <v>8.7283328542971044E+18</v>
      </c>
      <c r="B1806" t="s">
        <v>744</v>
      </c>
      <c r="C1806" t="s">
        <v>13</v>
      </c>
      <c r="D1806">
        <v>3270</v>
      </c>
      <c r="E1806" s="4">
        <f t="shared" si="56"/>
        <v>44978</v>
      </c>
      <c r="F1806">
        <f t="shared" si="57"/>
        <v>51</v>
      </c>
    </row>
    <row r="1807" spans="1:6" x14ac:dyDescent="0.55000000000000004">
      <c r="A1807">
        <v>1.6644801055629181E+19</v>
      </c>
      <c r="B1807" t="s">
        <v>196</v>
      </c>
      <c r="C1807" t="s">
        <v>10</v>
      </c>
      <c r="D1807">
        <v>657</v>
      </c>
      <c r="E1807" s="4">
        <f t="shared" si="56"/>
        <v>44759</v>
      </c>
      <c r="F1807">
        <f t="shared" si="57"/>
        <v>270</v>
      </c>
    </row>
    <row r="1808" spans="1:6" x14ac:dyDescent="0.55000000000000004">
      <c r="A1808">
        <v>1.5326071374351911E+19</v>
      </c>
      <c r="B1808" t="s">
        <v>866</v>
      </c>
      <c r="C1808" t="s">
        <v>5</v>
      </c>
      <c r="D1808">
        <v>990</v>
      </c>
      <c r="E1808" s="4">
        <f t="shared" si="56"/>
        <v>44862</v>
      </c>
      <c r="F1808">
        <f t="shared" si="57"/>
        <v>167</v>
      </c>
    </row>
    <row r="1809" spans="1:6" x14ac:dyDescent="0.55000000000000004">
      <c r="A1809">
        <v>1.0445950144183841E+19</v>
      </c>
      <c r="B1809" t="s">
        <v>985</v>
      </c>
      <c r="C1809" t="s">
        <v>50</v>
      </c>
      <c r="D1809">
        <v>153</v>
      </c>
      <c r="E1809" s="4">
        <f t="shared" si="56"/>
        <v>44097</v>
      </c>
      <c r="F1809">
        <f t="shared" si="57"/>
        <v>932</v>
      </c>
    </row>
    <row r="1810" spans="1:6" x14ac:dyDescent="0.55000000000000004">
      <c r="A1810">
        <v>8.2788082138379418E+18</v>
      </c>
      <c r="B1810" t="s">
        <v>331</v>
      </c>
      <c r="C1810" t="s">
        <v>5</v>
      </c>
      <c r="D1810">
        <v>2370</v>
      </c>
      <c r="E1810" s="4">
        <f t="shared" si="56"/>
        <v>44443</v>
      </c>
      <c r="F1810">
        <f t="shared" si="57"/>
        <v>586</v>
      </c>
    </row>
    <row r="1811" spans="1:6" x14ac:dyDescent="0.55000000000000004">
      <c r="A1811">
        <v>8.6023041983098921E+18</v>
      </c>
      <c r="B1811" t="s">
        <v>305</v>
      </c>
      <c r="C1811" t="s">
        <v>46</v>
      </c>
      <c r="D1811">
        <v>775</v>
      </c>
      <c r="E1811" s="4">
        <f t="shared" si="56"/>
        <v>44713</v>
      </c>
      <c r="F1811">
        <f t="shared" si="57"/>
        <v>316</v>
      </c>
    </row>
    <row r="1812" spans="1:6" x14ac:dyDescent="0.55000000000000004">
      <c r="A1812">
        <v>1.7418151020740131E+19</v>
      </c>
      <c r="B1812" t="s">
        <v>611</v>
      </c>
      <c r="C1812" t="s">
        <v>13</v>
      </c>
      <c r="D1812">
        <v>1590</v>
      </c>
      <c r="E1812" s="4">
        <f t="shared" si="56"/>
        <v>44359</v>
      </c>
      <c r="F1812">
        <f t="shared" si="57"/>
        <v>670</v>
      </c>
    </row>
    <row r="1813" spans="1:6" x14ac:dyDescent="0.55000000000000004">
      <c r="A1813">
        <v>1.1460152469481581E+19</v>
      </c>
      <c r="B1813" t="s">
        <v>942</v>
      </c>
      <c r="C1813" t="s">
        <v>10</v>
      </c>
      <c r="D1813">
        <v>4163</v>
      </c>
      <c r="E1813" s="4">
        <f t="shared" si="56"/>
        <v>44992</v>
      </c>
      <c r="F1813">
        <f t="shared" si="57"/>
        <v>37</v>
      </c>
    </row>
    <row r="1814" spans="1:6" x14ac:dyDescent="0.55000000000000004">
      <c r="A1814">
        <v>1.745068178098175E+18</v>
      </c>
      <c r="B1814" t="s">
        <v>499</v>
      </c>
      <c r="C1814" t="s">
        <v>7</v>
      </c>
      <c r="D1814">
        <v>126</v>
      </c>
      <c r="E1814" s="4">
        <f t="shared" si="56"/>
        <v>44109</v>
      </c>
      <c r="F1814">
        <f t="shared" si="57"/>
        <v>920</v>
      </c>
    </row>
    <row r="1815" spans="1:6" x14ac:dyDescent="0.55000000000000004">
      <c r="A1815">
        <v>2.5502594470247168E+18</v>
      </c>
      <c r="B1815" t="s">
        <v>79</v>
      </c>
      <c r="C1815" t="s">
        <v>5</v>
      </c>
      <c r="D1815">
        <v>690</v>
      </c>
      <c r="E1815" s="4">
        <f t="shared" si="56"/>
        <v>44249</v>
      </c>
      <c r="F1815">
        <f t="shared" si="57"/>
        <v>780</v>
      </c>
    </row>
    <row r="1816" spans="1:6" x14ac:dyDescent="0.55000000000000004">
      <c r="A1816">
        <v>7.7522488485274096E+16</v>
      </c>
      <c r="B1816" t="s">
        <v>341</v>
      </c>
      <c r="C1816" t="s">
        <v>10</v>
      </c>
      <c r="D1816">
        <v>474</v>
      </c>
      <c r="E1816" s="4">
        <f t="shared" si="56"/>
        <v>44354</v>
      </c>
      <c r="F1816">
        <f t="shared" si="57"/>
        <v>675</v>
      </c>
    </row>
    <row r="1817" spans="1:6" x14ac:dyDescent="0.55000000000000004">
      <c r="A1817">
        <v>1.7913055859585129E+18</v>
      </c>
      <c r="B1817" t="s">
        <v>4</v>
      </c>
      <c r="C1817" t="s">
        <v>13</v>
      </c>
      <c r="D1817">
        <v>730</v>
      </c>
      <c r="E1817" s="4">
        <f t="shared" si="56"/>
        <v>45001</v>
      </c>
      <c r="F1817">
        <f t="shared" si="57"/>
        <v>28</v>
      </c>
    </row>
    <row r="1818" spans="1:6" x14ac:dyDescent="0.55000000000000004">
      <c r="A1818">
        <v>4.5328982199816069E+18</v>
      </c>
      <c r="B1818" t="s">
        <v>266</v>
      </c>
      <c r="C1818" t="s">
        <v>13</v>
      </c>
      <c r="D1818">
        <v>421</v>
      </c>
      <c r="E1818" s="4">
        <f t="shared" si="56"/>
        <v>44318</v>
      </c>
      <c r="F1818">
        <f t="shared" si="57"/>
        <v>711</v>
      </c>
    </row>
    <row r="1819" spans="1:6" x14ac:dyDescent="0.55000000000000004">
      <c r="A1819">
        <v>7.6447940778799524E+18</v>
      </c>
      <c r="B1819" t="s">
        <v>583</v>
      </c>
      <c r="C1819" t="s">
        <v>10</v>
      </c>
      <c r="D1819">
        <v>0</v>
      </c>
      <c r="E1819" s="4">
        <f t="shared" si="56"/>
        <v>44476</v>
      </c>
      <c r="F1819">
        <f t="shared" si="57"/>
        <v>553</v>
      </c>
    </row>
    <row r="1820" spans="1:6" x14ac:dyDescent="0.55000000000000004">
      <c r="A1820">
        <v>7.9924859963053251E+18</v>
      </c>
      <c r="B1820" t="s">
        <v>577</v>
      </c>
      <c r="C1820" t="s">
        <v>26</v>
      </c>
      <c r="D1820">
        <v>109</v>
      </c>
      <c r="E1820" s="4">
        <f t="shared" si="56"/>
        <v>44977</v>
      </c>
      <c r="F1820">
        <f t="shared" si="57"/>
        <v>52</v>
      </c>
    </row>
    <row r="1821" spans="1:6" x14ac:dyDescent="0.55000000000000004">
      <c r="A1821">
        <v>2.2735627226089562E+17</v>
      </c>
      <c r="B1821" t="s">
        <v>986</v>
      </c>
      <c r="C1821" t="s">
        <v>10</v>
      </c>
      <c r="D1821">
        <v>455</v>
      </c>
      <c r="E1821" s="4">
        <f t="shared" si="56"/>
        <v>43812</v>
      </c>
      <c r="F1821">
        <f t="shared" si="57"/>
        <v>1217</v>
      </c>
    </row>
    <row r="1822" spans="1:6" x14ac:dyDescent="0.55000000000000004">
      <c r="A1822">
        <v>1.039255605560328E+19</v>
      </c>
      <c r="B1822" t="s">
        <v>126</v>
      </c>
      <c r="C1822" t="s">
        <v>13</v>
      </c>
      <c r="D1822">
        <v>715</v>
      </c>
      <c r="E1822" s="4">
        <f t="shared" si="56"/>
        <v>43833</v>
      </c>
      <c r="F1822">
        <f t="shared" si="57"/>
        <v>1196</v>
      </c>
    </row>
    <row r="1823" spans="1:6" x14ac:dyDescent="0.55000000000000004">
      <c r="A1823">
        <v>6.1389040048259338E+18</v>
      </c>
      <c r="B1823" t="s">
        <v>75</v>
      </c>
      <c r="C1823" t="s">
        <v>50</v>
      </c>
      <c r="D1823">
        <v>111</v>
      </c>
      <c r="E1823" s="4">
        <f t="shared" si="56"/>
        <v>45022</v>
      </c>
      <c r="F1823">
        <f t="shared" si="57"/>
        <v>7</v>
      </c>
    </row>
    <row r="1824" spans="1:6" x14ac:dyDescent="0.55000000000000004">
      <c r="A1824">
        <v>1.262800564840045E+19</v>
      </c>
      <c r="B1824" t="s">
        <v>987</v>
      </c>
      <c r="C1824" t="s">
        <v>10</v>
      </c>
      <c r="D1824">
        <v>300</v>
      </c>
      <c r="E1824" s="4">
        <f t="shared" si="56"/>
        <v>43823</v>
      </c>
      <c r="F1824">
        <f t="shared" si="57"/>
        <v>1206</v>
      </c>
    </row>
    <row r="1825" spans="1:6" x14ac:dyDescent="0.55000000000000004">
      <c r="A1825">
        <v>1.671170596198391E+19</v>
      </c>
      <c r="B1825" t="s">
        <v>247</v>
      </c>
      <c r="C1825" t="s">
        <v>10</v>
      </c>
      <c r="D1825">
        <v>996</v>
      </c>
      <c r="E1825" s="4">
        <f t="shared" si="56"/>
        <v>44947</v>
      </c>
      <c r="F1825">
        <f t="shared" si="57"/>
        <v>82</v>
      </c>
    </row>
    <row r="1826" spans="1:6" x14ac:dyDescent="0.55000000000000004">
      <c r="A1826">
        <v>1.546974436012781E+19</v>
      </c>
      <c r="B1826" t="s">
        <v>201</v>
      </c>
      <c r="C1826" t="s">
        <v>7</v>
      </c>
      <c r="D1826">
        <v>113</v>
      </c>
      <c r="E1826" s="4">
        <f t="shared" si="56"/>
        <v>44715</v>
      </c>
      <c r="F1826">
        <f t="shared" si="57"/>
        <v>314</v>
      </c>
    </row>
    <row r="1827" spans="1:6" x14ac:dyDescent="0.55000000000000004">
      <c r="A1827">
        <v>3.263288518696343E+18</v>
      </c>
      <c r="B1827" t="s">
        <v>139</v>
      </c>
      <c r="C1827" t="s">
        <v>13</v>
      </c>
      <c r="D1827">
        <v>4271</v>
      </c>
      <c r="E1827" s="4">
        <f t="shared" si="56"/>
        <v>44125</v>
      </c>
      <c r="F1827">
        <f t="shared" si="57"/>
        <v>904</v>
      </c>
    </row>
    <row r="1828" spans="1:6" x14ac:dyDescent="0.55000000000000004">
      <c r="A1828">
        <v>1.8017309185027719E+19</v>
      </c>
      <c r="B1828" t="s">
        <v>30</v>
      </c>
      <c r="C1828" t="s">
        <v>13</v>
      </c>
      <c r="D1828">
        <v>318</v>
      </c>
      <c r="E1828" s="4">
        <f t="shared" si="56"/>
        <v>44954</v>
      </c>
      <c r="F1828">
        <f t="shared" si="57"/>
        <v>75</v>
      </c>
    </row>
    <row r="1829" spans="1:6" x14ac:dyDescent="0.55000000000000004">
      <c r="A1829">
        <v>1.26918699747578E+19</v>
      </c>
      <c r="B1829" t="s">
        <v>140</v>
      </c>
      <c r="C1829" t="s">
        <v>13</v>
      </c>
      <c r="D1829">
        <v>432</v>
      </c>
      <c r="E1829" s="4">
        <f t="shared" si="56"/>
        <v>44358</v>
      </c>
      <c r="F1829">
        <f t="shared" si="57"/>
        <v>671</v>
      </c>
    </row>
    <row r="1830" spans="1:6" x14ac:dyDescent="0.55000000000000004">
      <c r="A1830">
        <v>2.0645718430713331E+18</v>
      </c>
      <c r="B1830" t="s">
        <v>988</v>
      </c>
      <c r="C1830" t="s">
        <v>10</v>
      </c>
      <c r="D1830">
        <v>158</v>
      </c>
      <c r="E1830" s="4">
        <f t="shared" si="56"/>
        <v>44368</v>
      </c>
      <c r="F1830">
        <f t="shared" si="57"/>
        <v>661</v>
      </c>
    </row>
    <row r="1831" spans="1:6" x14ac:dyDescent="0.55000000000000004">
      <c r="A1831">
        <v>1.345861267394763E+19</v>
      </c>
      <c r="B1831" t="s">
        <v>617</v>
      </c>
      <c r="C1831" t="s">
        <v>10</v>
      </c>
      <c r="D1831">
        <v>1050</v>
      </c>
      <c r="E1831" s="4">
        <f t="shared" si="56"/>
        <v>44574</v>
      </c>
      <c r="F1831">
        <f t="shared" si="57"/>
        <v>455</v>
      </c>
    </row>
    <row r="1832" spans="1:6" x14ac:dyDescent="0.55000000000000004">
      <c r="A1832">
        <v>3.0469260425050271E+18</v>
      </c>
      <c r="B1832" t="s">
        <v>989</v>
      </c>
      <c r="C1832" t="s">
        <v>10</v>
      </c>
      <c r="D1832">
        <v>4284</v>
      </c>
      <c r="E1832" s="4">
        <f t="shared" si="56"/>
        <v>44612</v>
      </c>
      <c r="F1832">
        <f t="shared" si="57"/>
        <v>417</v>
      </c>
    </row>
    <row r="1833" spans="1:6" x14ac:dyDescent="0.55000000000000004">
      <c r="A1833">
        <v>2.6730237118069891E+17</v>
      </c>
      <c r="B1833" t="s">
        <v>742</v>
      </c>
      <c r="C1833" t="s">
        <v>50</v>
      </c>
      <c r="D1833">
        <v>69</v>
      </c>
      <c r="E1833" s="4">
        <f t="shared" si="56"/>
        <v>44737</v>
      </c>
      <c r="F1833">
        <f t="shared" si="57"/>
        <v>292</v>
      </c>
    </row>
    <row r="1834" spans="1:6" x14ac:dyDescent="0.55000000000000004">
      <c r="A1834">
        <v>1.75160168514449E+19</v>
      </c>
      <c r="B1834" t="s">
        <v>990</v>
      </c>
      <c r="C1834" t="s">
        <v>13</v>
      </c>
      <c r="D1834">
        <v>901</v>
      </c>
      <c r="E1834" s="4">
        <f t="shared" si="56"/>
        <v>44357</v>
      </c>
      <c r="F1834">
        <f t="shared" si="57"/>
        <v>672</v>
      </c>
    </row>
    <row r="1835" spans="1:6" x14ac:dyDescent="0.55000000000000004">
      <c r="A1835">
        <v>1.419073087257669E+19</v>
      </c>
      <c r="B1835" t="s">
        <v>289</v>
      </c>
      <c r="C1835" t="s">
        <v>13</v>
      </c>
      <c r="D1835">
        <v>337</v>
      </c>
      <c r="E1835" s="4">
        <f t="shared" si="56"/>
        <v>44905</v>
      </c>
      <c r="F1835">
        <f t="shared" si="57"/>
        <v>124</v>
      </c>
    </row>
    <row r="1836" spans="1:6" x14ac:dyDescent="0.55000000000000004">
      <c r="A1836">
        <v>1.7258647960044689E+19</v>
      </c>
      <c r="B1836" t="s">
        <v>696</v>
      </c>
      <c r="C1836" t="s">
        <v>13</v>
      </c>
      <c r="D1836">
        <v>10141</v>
      </c>
      <c r="E1836" s="4">
        <f t="shared" si="56"/>
        <v>44129</v>
      </c>
      <c r="F1836">
        <f t="shared" si="57"/>
        <v>900</v>
      </c>
    </row>
    <row r="1837" spans="1:6" x14ac:dyDescent="0.55000000000000004">
      <c r="A1837">
        <v>8.3705728870820383E+18</v>
      </c>
      <c r="B1837" t="s">
        <v>930</v>
      </c>
      <c r="C1837" t="s">
        <v>50</v>
      </c>
      <c r="D1837">
        <v>200</v>
      </c>
      <c r="E1837" s="4">
        <f t="shared" si="56"/>
        <v>44688</v>
      </c>
      <c r="F1837">
        <f t="shared" si="57"/>
        <v>341</v>
      </c>
    </row>
    <row r="1838" spans="1:6" x14ac:dyDescent="0.55000000000000004">
      <c r="A1838">
        <v>1.5315655684016439E+19</v>
      </c>
      <c r="B1838" t="s">
        <v>959</v>
      </c>
      <c r="C1838" t="s">
        <v>50</v>
      </c>
      <c r="D1838">
        <v>113</v>
      </c>
      <c r="E1838" s="4">
        <f t="shared" si="56"/>
        <v>44697</v>
      </c>
      <c r="F1838">
        <f t="shared" si="57"/>
        <v>332</v>
      </c>
    </row>
    <row r="1839" spans="1:6" x14ac:dyDescent="0.55000000000000004">
      <c r="A1839">
        <v>1.4395855074982529E+19</v>
      </c>
      <c r="B1839" t="s">
        <v>658</v>
      </c>
      <c r="C1839" t="s">
        <v>10</v>
      </c>
      <c r="D1839">
        <v>1042</v>
      </c>
      <c r="E1839" s="4">
        <f t="shared" si="56"/>
        <v>44112</v>
      </c>
      <c r="F1839">
        <f t="shared" si="57"/>
        <v>917</v>
      </c>
    </row>
    <row r="1840" spans="1:6" x14ac:dyDescent="0.55000000000000004">
      <c r="A1840">
        <v>1.050880082467677E+17</v>
      </c>
      <c r="B1840" t="s">
        <v>991</v>
      </c>
      <c r="C1840" t="s">
        <v>13</v>
      </c>
      <c r="D1840">
        <v>3880</v>
      </c>
      <c r="E1840" s="4">
        <f t="shared" si="56"/>
        <v>43941</v>
      </c>
      <c r="F1840">
        <f t="shared" si="57"/>
        <v>1088</v>
      </c>
    </row>
    <row r="1841" spans="1:6" x14ac:dyDescent="0.55000000000000004">
      <c r="A1841">
        <v>1.147967475040103E+19</v>
      </c>
      <c r="B1841" t="s">
        <v>637</v>
      </c>
      <c r="C1841" t="s">
        <v>46</v>
      </c>
      <c r="D1841">
        <v>607</v>
      </c>
      <c r="E1841" s="4">
        <f t="shared" si="56"/>
        <v>44872</v>
      </c>
      <c r="F1841">
        <f t="shared" si="57"/>
        <v>157</v>
      </c>
    </row>
    <row r="1842" spans="1:6" x14ac:dyDescent="0.55000000000000004">
      <c r="A1842">
        <v>9.3114124448562811E+18</v>
      </c>
      <c r="B1842" t="s">
        <v>345</v>
      </c>
      <c r="C1842" t="s">
        <v>10</v>
      </c>
      <c r="D1842">
        <v>111</v>
      </c>
      <c r="E1842" s="4">
        <f t="shared" si="56"/>
        <v>44809</v>
      </c>
      <c r="F1842">
        <f t="shared" si="57"/>
        <v>220</v>
      </c>
    </row>
    <row r="1843" spans="1:6" x14ac:dyDescent="0.55000000000000004">
      <c r="A1843">
        <v>9.6017999578407936E+18</v>
      </c>
      <c r="B1843" t="s">
        <v>646</v>
      </c>
      <c r="C1843" t="s">
        <v>26</v>
      </c>
      <c r="D1843">
        <v>1420</v>
      </c>
      <c r="E1843" s="4">
        <f t="shared" si="56"/>
        <v>44535</v>
      </c>
      <c r="F1843">
        <f t="shared" si="57"/>
        <v>494</v>
      </c>
    </row>
    <row r="1844" spans="1:6" x14ac:dyDescent="0.55000000000000004">
      <c r="A1844">
        <v>7.136613630905943E+18</v>
      </c>
      <c r="B1844" t="s">
        <v>992</v>
      </c>
      <c r="C1844" t="s">
        <v>10</v>
      </c>
      <c r="D1844">
        <v>1037</v>
      </c>
      <c r="E1844" s="4">
        <f t="shared" si="56"/>
        <v>44255</v>
      </c>
      <c r="F1844">
        <f t="shared" si="57"/>
        <v>774</v>
      </c>
    </row>
    <row r="1845" spans="1:6" x14ac:dyDescent="0.55000000000000004">
      <c r="A1845">
        <v>4.6298459976987689E+18</v>
      </c>
      <c r="B1845" t="s">
        <v>235</v>
      </c>
      <c r="C1845" t="s">
        <v>13</v>
      </c>
      <c r="D1845">
        <v>451</v>
      </c>
      <c r="E1845" s="4">
        <f t="shared" si="56"/>
        <v>44229</v>
      </c>
      <c r="F1845">
        <f t="shared" si="57"/>
        <v>800</v>
      </c>
    </row>
    <row r="1846" spans="1:6" x14ac:dyDescent="0.55000000000000004">
      <c r="A1846">
        <v>1.2557420658904809E+19</v>
      </c>
      <c r="B1846" t="s">
        <v>993</v>
      </c>
      <c r="C1846" t="s">
        <v>10</v>
      </c>
      <c r="D1846">
        <v>2162</v>
      </c>
      <c r="E1846" s="4">
        <f t="shared" si="56"/>
        <v>44708</v>
      </c>
      <c r="F1846">
        <f t="shared" si="57"/>
        <v>321</v>
      </c>
    </row>
    <row r="1847" spans="1:6" x14ac:dyDescent="0.55000000000000004">
      <c r="A1847">
        <v>1.952823904576703E+18</v>
      </c>
      <c r="B1847" t="s">
        <v>758</v>
      </c>
      <c r="C1847" t="s">
        <v>10</v>
      </c>
      <c r="D1847">
        <v>6450</v>
      </c>
      <c r="E1847" s="4">
        <f t="shared" si="56"/>
        <v>44803</v>
      </c>
      <c r="F1847">
        <f t="shared" si="57"/>
        <v>226</v>
      </c>
    </row>
    <row r="1848" spans="1:6" x14ac:dyDescent="0.55000000000000004">
      <c r="A1848">
        <v>1.010084852275994E+19</v>
      </c>
      <c r="B1848" t="s">
        <v>477</v>
      </c>
      <c r="C1848" t="s">
        <v>13</v>
      </c>
      <c r="D1848">
        <v>5620</v>
      </c>
      <c r="E1848" s="4">
        <f t="shared" si="56"/>
        <v>44680</v>
      </c>
      <c r="F1848">
        <f t="shared" si="57"/>
        <v>349</v>
      </c>
    </row>
    <row r="1849" spans="1:6" x14ac:dyDescent="0.55000000000000004">
      <c r="A1849">
        <v>8.4191455298429901E+18</v>
      </c>
      <c r="B1849" t="s">
        <v>994</v>
      </c>
      <c r="C1849" t="s">
        <v>10</v>
      </c>
      <c r="D1849">
        <v>186</v>
      </c>
      <c r="E1849" s="4">
        <f t="shared" si="56"/>
        <v>43939</v>
      </c>
      <c r="F1849">
        <f t="shared" si="57"/>
        <v>1090</v>
      </c>
    </row>
    <row r="1850" spans="1:6" x14ac:dyDescent="0.55000000000000004">
      <c r="A1850">
        <v>1.757283772298506E+19</v>
      </c>
      <c r="B1850" t="s">
        <v>995</v>
      </c>
      <c r="C1850" t="s">
        <v>7</v>
      </c>
      <c r="D1850">
        <v>155</v>
      </c>
      <c r="E1850" s="4">
        <f t="shared" si="56"/>
        <v>43933</v>
      </c>
      <c r="F1850">
        <f t="shared" si="57"/>
        <v>1096</v>
      </c>
    </row>
    <row r="1851" spans="1:6" x14ac:dyDescent="0.55000000000000004">
      <c r="A1851">
        <v>7.147156795242794E+18</v>
      </c>
      <c r="B1851" t="s">
        <v>467</v>
      </c>
      <c r="C1851" t="s">
        <v>10</v>
      </c>
      <c r="D1851">
        <v>216</v>
      </c>
      <c r="E1851" s="4">
        <f t="shared" si="56"/>
        <v>44204</v>
      </c>
      <c r="F1851">
        <f t="shared" si="57"/>
        <v>825</v>
      </c>
    </row>
    <row r="1852" spans="1:6" x14ac:dyDescent="0.55000000000000004">
      <c r="A1852">
        <v>2.558736456745999E+17</v>
      </c>
      <c r="B1852" t="s">
        <v>170</v>
      </c>
      <c r="C1852" t="s">
        <v>13</v>
      </c>
      <c r="D1852">
        <v>2080</v>
      </c>
      <c r="E1852" s="4">
        <f t="shared" si="56"/>
        <v>44615</v>
      </c>
      <c r="F1852">
        <f t="shared" si="57"/>
        <v>414</v>
      </c>
    </row>
    <row r="1853" spans="1:6" x14ac:dyDescent="0.55000000000000004">
      <c r="A1853">
        <v>4.4246172807612518E+18</v>
      </c>
      <c r="B1853" t="s">
        <v>267</v>
      </c>
      <c r="C1853" t="s">
        <v>13</v>
      </c>
      <c r="D1853">
        <v>530</v>
      </c>
      <c r="E1853" s="4">
        <f t="shared" si="56"/>
        <v>44362</v>
      </c>
      <c r="F1853">
        <f t="shared" si="57"/>
        <v>667</v>
      </c>
    </row>
    <row r="1854" spans="1:6" x14ac:dyDescent="0.55000000000000004">
      <c r="A1854">
        <v>5.6423374827702804E+18</v>
      </c>
      <c r="B1854" t="s">
        <v>996</v>
      </c>
      <c r="C1854" t="s">
        <v>10</v>
      </c>
      <c r="D1854">
        <v>2124</v>
      </c>
      <c r="E1854" s="4">
        <f t="shared" si="56"/>
        <v>44160</v>
      </c>
      <c r="F1854">
        <f t="shared" si="57"/>
        <v>869</v>
      </c>
    </row>
    <row r="1855" spans="1:6" x14ac:dyDescent="0.55000000000000004">
      <c r="A1855">
        <v>9.2021705122622024E+18</v>
      </c>
      <c r="B1855" t="s">
        <v>60</v>
      </c>
      <c r="C1855" t="s">
        <v>13</v>
      </c>
      <c r="D1855">
        <v>2151</v>
      </c>
      <c r="E1855" s="4">
        <f t="shared" si="56"/>
        <v>44335</v>
      </c>
      <c r="F1855">
        <f t="shared" si="57"/>
        <v>694</v>
      </c>
    </row>
    <row r="1856" spans="1:6" x14ac:dyDescent="0.55000000000000004">
      <c r="A1856">
        <v>3.7002484709028562E+18</v>
      </c>
      <c r="B1856" t="s">
        <v>725</v>
      </c>
      <c r="C1856" t="s">
        <v>26</v>
      </c>
      <c r="D1856">
        <v>89</v>
      </c>
      <c r="E1856" s="4">
        <f t="shared" si="56"/>
        <v>44582</v>
      </c>
      <c r="F1856">
        <f t="shared" si="57"/>
        <v>447</v>
      </c>
    </row>
    <row r="1857" spans="1:6" x14ac:dyDescent="0.55000000000000004">
      <c r="A1857">
        <v>6.1676260676265769E+18</v>
      </c>
      <c r="B1857" t="s">
        <v>997</v>
      </c>
      <c r="C1857" t="s">
        <v>13</v>
      </c>
      <c r="D1857">
        <v>158</v>
      </c>
      <c r="E1857" s="4">
        <f t="shared" si="56"/>
        <v>43817</v>
      </c>
      <c r="F1857">
        <f t="shared" si="57"/>
        <v>1212</v>
      </c>
    </row>
    <row r="1858" spans="1:6" x14ac:dyDescent="0.55000000000000004">
      <c r="A1858">
        <v>1.4175827160880599E+19</v>
      </c>
      <c r="B1858" t="s">
        <v>170</v>
      </c>
      <c r="C1858" t="s">
        <v>46</v>
      </c>
      <c r="D1858">
        <v>673</v>
      </c>
      <c r="E1858" s="4">
        <f t="shared" si="56"/>
        <v>44615</v>
      </c>
      <c r="F1858">
        <f t="shared" si="57"/>
        <v>414</v>
      </c>
    </row>
    <row r="1859" spans="1:6" x14ac:dyDescent="0.55000000000000004">
      <c r="A1859">
        <v>1.5228050630350819E+19</v>
      </c>
      <c r="B1859" t="s">
        <v>819</v>
      </c>
      <c r="C1859" t="s">
        <v>13</v>
      </c>
      <c r="D1859">
        <v>9084</v>
      </c>
      <c r="E1859" s="4">
        <f t="shared" ref="E1859:E1922" si="58">DATEVALUE(B1859)</f>
        <v>44659</v>
      </c>
      <c r="F1859">
        <f t="shared" ref="F1859:F1922" si="59">$H$1-E1859</f>
        <v>370</v>
      </c>
    </row>
    <row r="1860" spans="1:6" x14ac:dyDescent="0.55000000000000004">
      <c r="A1860">
        <v>6.5042221589072218E+17</v>
      </c>
      <c r="B1860" t="s">
        <v>657</v>
      </c>
      <c r="C1860" t="s">
        <v>13</v>
      </c>
      <c r="D1860">
        <v>1304</v>
      </c>
      <c r="E1860" s="4">
        <f t="shared" si="58"/>
        <v>44592</v>
      </c>
      <c r="F1860">
        <f t="shared" si="59"/>
        <v>437</v>
      </c>
    </row>
    <row r="1861" spans="1:6" x14ac:dyDescent="0.55000000000000004">
      <c r="A1861">
        <v>1.7258647960044689E+19</v>
      </c>
      <c r="B1861" t="s">
        <v>998</v>
      </c>
      <c r="C1861" t="s">
        <v>50</v>
      </c>
      <c r="D1861">
        <v>167</v>
      </c>
      <c r="E1861" s="4">
        <f t="shared" si="58"/>
        <v>44779</v>
      </c>
      <c r="F1861">
        <f t="shared" si="59"/>
        <v>250</v>
      </c>
    </row>
    <row r="1862" spans="1:6" x14ac:dyDescent="0.55000000000000004">
      <c r="A1862">
        <v>1.0956343846870319E+19</v>
      </c>
      <c r="B1862" t="s">
        <v>999</v>
      </c>
      <c r="C1862" t="s">
        <v>10</v>
      </c>
      <c r="D1862">
        <v>1944</v>
      </c>
      <c r="E1862" s="4">
        <f t="shared" si="58"/>
        <v>44371</v>
      </c>
      <c r="F1862">
        <f t="shared" si="59"/>
        <v>658</v>
      </c>
    </row>
    <row r="1863" spans="1:6" x14ac:dyDescent="0.55000000000000004">
      <c r="A1863">
        <v>1.7245230336518781E+19</v>
      </c>
      <c r="B1863" t="s">
        <v>1000</v>
      </c>
      <c r="C1863" t="s">
        <v>13</v>
      </c>
      <c r="D1863">
        <v>3701</v>
      </c>
      <c r="E1863" s="4">
        <f t="shared" si="58"/>
        <v>44153</v>
      </c>
      <c r="F1863">
        <f t="shared" si="59"/>
        <v>876</v>
      </c>
    </row>
    <row r="1864" spans="1:6" x14ac:dyDescent="0.55000000000000004">
      <c r="A1864">
        <v>9.9893236953326203E+18</v>
      </c>
      <c r="B1864" t="s">
        <v>63</v>
      </c>
      <c r="C1864" t="s">
        <v>13</v>
      </c>
      <c r="D1864">
        <v>1440</v>
      </c>
      <c r="E1864" s="4">
        <f t="shared" si="58"/>
        <v>45005</v>
      </c>
      <c r="F1864">
        <f t="shared" si="59"/>
        <v>24</v>
      </c>
    </row>
    <row r="1865" spans="1:6" x14ac:dyDescent="0.55000000000000004">
      <c r="A1865">
        <v>1.4395855074982529E+19</v>
      </c>
      <c r="B1865" t="s">
        <v>1001</v>
      </c>
      <c r="C1865" t="s">
        <v>10</v>
      </c>
      <c r="D1865">
        <v>947</v>
      </c>
      <c r="E1865" s="4">
        <f t="shared" si="58"/>
        <v>44137</v>
      </c>
      <c r="F1865">
        <f t="shared" si="59"/>
        <v>892</v>
      </c>
    </row>
    <row r="1866" spans="1:6" x14ac:dyDescent="0.55000000000000004">
      <c r="A1866">
        <v>1.265391923995298E+19</v>
      </c>
      <c r="B1866" t="s">
        <v>359</v>
      </c>
      <c r="C1866" t="s">
        <v>10</v>
      </c>
      <c r="D1866">
        <v>653</v>
      </c>
      <c r="E1866" s="4">
        <f t="shared" si="58"/>
        <v>44824</v>
      </c>
      <c r="F1866">
        <f t="shared" si="59"/>
        <v>205</v>
      </c>
    </row>
    <row r="1867" spans="1:6" x14ac:dyDescent="0.55000000000000004">
      <c r="A1867">
        <v>2.250597738026262E+18</v>
      </c>
      <c r="B1867" t="s">
        <v>884</v>
      </c>
      <c r="C1867" t="s">
        <v>7</v>
      </c>
      <c r="D1867">
        <v>106</v>
      </c>
      <c r="E1867" s="4">
        <f t="shared" si="58"/>
        <v>44966</v>
      </c>
      <c r="F1867">
        <f t="shared" si="59"/>
        <v>63</v>
      </c>
    </row>
    <row r="1868" spans="1:6" x14ac:dyDescent="0.55000000000000004">
      <c r="A1868">
        <v>1.326544154431404E+19</v>
      </c>
      <c r="B1868" t="s">
        <v>942</v>
      </c>
      <c r="C1868" t="s">
        <v>7</v>
      </c>
      <c r="D1868">
        <v>684</v>
      </c>
      <c r="E1868" s="4">
        <f t="shared" si="58"/>
        <v>44992</v>
      </c>
      <c r="F1868">
        <f t="shared" si="59"/>
        <v>37</v>
      </c>
    </row>
    <row r="1869" spans="1:6" x14ac:dyDescent="0.55000000000000004">
      <c r="A1869">
        <v>3.2028183476818959E+18</v>
      </c>
      <c r="B1869" t="s">
        <v>1002</v>
      </c>
      <c r="C1869" t="s">
        <v>10</v>
      </c>
      <c r="D1869">
        <v>1580</v>
      </c>
      <c r="E1869" s="4">
        <f t="shared" si="58"/>
        <v>43762</v>
      </c>
      <c r="F1869">
        <f t="shared" si="59"/>
        <v>1267</v>
      </c>
    </row>
    <row r="1870" spans="1:6" x14ac:dyDescent="0.55000000000000004">
      <c r="A1870">
        <v>1.4510001291487109E+19</v>
      </c>
      <c r="B1870" t="s">
        <v>631</v>
      </c>
      <c r="C1870" t="s">
        <v>13</v>
      </c>
      <c r="D1870">
        <v>549</v>
      </c>
      <c r="E1870" s="4">
        <f t="shared" si="58"/>
        <v>44264</v>
      </c>
      <c r="F1870">
        <f t="shared" si="59"/>
        <v>765</v>
      </c>
    </row>
    <row r="1871" spans="1:6" x14ac:dyDescent="0.55000000000000004">
      <c r="A1871">
        <v>5.8649699749280215E+18</v>
      </c>
      <c r="B1871" t="s">
        <v>1003</v>
      </c>
      <c r="C1871" t="s">
        <v>10</v>
      </c>
      <c r="D1871">
        <v>4400</v>
      </c>
      <c r="E1871" s="4">
        <f t="shared" si="58"/>
        <v>44672</v>
      </c>
      <c r="F1871">
        <f t="shared" si="59"/>
        <v>357</v>
      </c>
    </row>
    <row r="1872" spans="1:6" x14ac:dyDescent="0.55000000000000004">
      <c r="A1872">
        <v>5.3973038049061745E+18</v>
      </c>
      <c r="B1872" t="s">
        <v>250</v>
      </c>
      <c r="C1872" t="s">
        <v>5</v>
      </c>
      <c r="D1872">
        <v>198931.42</v>
      </c>
      <c r="E1872" s="4">
        <f t="shared" si="58"/>
        <v>44772</v>
      </c>
      <c r="F1872">
        <f t="shared" si="59"/>
        <v>257</v>
      </c>
    </row>
    <row r="1873" spans="1:6" x14ac:dyDescent="0.55000000000000004">
      <c r="A1873">
        <v>1.7563684205649531E+19</v>
      </c>
      <c r="B1873" t="s">
        <v>411</v>
      </c>
      <c r="C1873" t="s">
        <v>7</v>
      </c>
      <c r="D1873">
        <v>155</v>
      </c>
      <c r="E1873" s="4">
        <f t="shared" si="58"/>
        <v>44625</v>
      </c>
      <c r="F1873">
        <f t="shared" si="59"/>
        <v>404</v>
      </c>
    </row>
    <row r="1874" spans="1:6" x14ac:dyDescent="0.55000000000000004">
      <c r="A1874">
        <v>3.9149132213084621E+18</v>
      </c>
      <c r="B1874" t="s">
        <v>623</v>
      </c>
      <c r="C1874" t="s">
        <v>10</v>
      </c>
      <c r="D1874">
        <v>948</v>
      </c>
      <c r="E1874" s="4">
        <f t="shared" si="58"/>
        <v>44253</v>
      </c>
      <c r="F1874">
        <f t="shared" si="59"/>
        <v>776</v>
      </c>
    </row>
    <row r="1875" spans="1:6" x14ac:dyDescent="0.55000000000000004">
      <c r="A1875">
        <v>7.4140334679101583E+18</v>
      </c>
      <c r="B1875" t="s">
        <v>1004</v>
      </c>
      <c r="C1875" t="s">
        <v>7</v>
      </c>
      <c r="D1875">
        <v>1819</v>
      </c>
      <c r="E1875" s="4">
        <f t="shared" si="58"/>
        <v>44728</v>
      </c>
      <c r="F1875">
        <f t="shared" si="59"/>
        <v>301</v>
      </c>
    </row>
    <row r="1876" spans="1:6" x14ac:dyDescent="0.55000000000000004">
      <c r="A1876">
        <v>3.8212681910665052E+18</v>
      </c>
      <c r="B1876" t="s">
        <v>248</v>
      </c>
      <c r="C1876" t="s">
        <v>10</v>
      </c>
      <c r="D1876">
        <v>320</v>
      </c>
      <c r="E1876" s="4">
        <f t="shared" si="58"/>
        <v>44518</v>
      </c>
      <c r="F1876">
        <f t="shared" si="59"/>
        <v>511</v>
      </c>
    </row>
    <row r="1877" spans="1:6" x14ac:dyDescent="0.55000000000000004">
      <c r="A1877">
        <v>1.6170855760568191E+19</v>
      </c>
      <c r="B1877" t="s">
        <v>294</v>
      </c>
      <c r="C1877" t="s">
        <v>10</v>
      </c>
      <c r="D1877">
        <v>180</v>
      </c>
      <c r="E1877" s="4">
        <f t="shared" si="58"/>
        <v>45008</v>
      </c>
      <c r="F1877">
        <f t="shared" si="59"/>
        <v>21</v>
      </c>
    </row>
    <row r="1878" spans="1:6" x14ac:dyDescent="0.55000000000000004">
      <c r="A1878">
        <v>6.3777441576841124E+18</v>
      </c>
      <c r="B1878" t="s">
        <v>156</v>
      </c>
      <c r="C1878" t="s">
        <v>13</v>
      </c>
      <c r="D1878">
        <v>3360</v>
      </c>
      <c r="E1878" s="4">
        <f t="shared" si="58"/>
        <v>44903</v>
      </c>
      <c r="F1878">
        <f t="shared" si="59"/>
        <v>126</v>
      </c>
    </row>
    <row r="1879" spans="1:6" x14ac:dyDescent="0.55000000000000004">
      <c r="A1879">
        <v>1.7534096007983391E+19</v>
      </c>
      <c r="B1879" t="s">
        <v>254</v>
      </c>
      <c r="C1879" t="s">
        <v>10</v>
      </c>
      <c r="D1879">
        <v>297</v>
      </c>
      <c r="E1879" s="4">
        <f t="shared" si="58"/>
        <v>44478</v>
      </c>
      <c r="F1879">
        <f t="shared" si="59"/>
        <v>551</v>
      </c>
    </row>
    <row r="1880" spans="1:6" x14ac:dyDescent="0.55000000000000004">
      <c r="A1880">
        <v>2.2082843403097999E+18</v>
      </c>
      <c r="B1880" t="s">
        <v>581</v>
      </c>
      <c r="C1880" t="s">
        <v>5</v>
      </c>
      <c r="D1880">
        <v>328</v>
      </c>
      <c r="E1880" s="4">
        <f t="shared" si="58"/>
        <v>44770</v>
      </c>
      <c r="F1880">
        <f t="shared" si="59"/>
        <v>259</v>
      </c>
    </row>
    <row r="1881" spans="1:6" x14ac:dyDescent="0.55000000000000004">
      <c r="A1881">
        <v>7.9386051659455212E+18</v>
      </c>
      <c r="B1881" t="s">
        <v>294</v>
      </c>
      <c r="C1881" t="s">
        <v>13</v>
      </c>
      <c r="D1881">
        <v>207</v>
      </c>
      <c r="E1881" s="4">
        <f t="shared" si="58"/>
        <v>45008</v>
      </c>
      <c r="F1881">
        <f t="shared" si="59"/>
        <v>21</v>
      </c>
    </row>
    <row r="1882" spans="1:6" x14ac:dyDescent="0.55000000000000004">
      <c r="A1882">
        <v>7.7831631543123999E+18</v>
      </c>
      <c r="B1882" t="s">
        <v>1005</v>
      </c>
      <c r="C1882" t="s">
        <v>10</v>
      </c>
      <c r="D1882">
        <v>362</v>
      </c>
      <c r="E1882" s="4">
        <f t="shared" si="58"/>
        <v>43628</v>
      </c>
      <c r="F1882">
        <f t="shared" si="59"/>
        <v>1401</v>
      </c>
    </row>
    <row r="1883" spans="1:6" x14ac:dyDescent="0.55000000000000004">
      <c r="A1883">
        <v>9.5319592315029478E+17</v>
      </c>
      <c r="B1883" t="s">
        <v>438</v>
      </c>
      <c r="C1883" t="s">
        <v>10</v>
      </c>
      <c r="D1883">
        <v>2749</v>
      </c>
      <c r="E1883" s="4">
        <f t="shared" si="58"/>
        <v>44783</v>
      </c>
      <c r="F1883">
        <f t="shared" si="59"/>
        <v>246</v>
      </c>
    </row>
    <row r="1884" spans="1:6" x14ac:dyDescent="0.55000000000000004">
      <c r="A1884">
        <v>4.6672545530710835E+18</v>
      </c>
      <c r="B1884" t="s">
        <v>466</v>
      </c>
      <c r="C1884" t="s">
        <v>10</v>
      </c>
      <c r="D1884">
        <v>18830</v>
      </c>
      <c r="E1884" s="4">
        <f t="shared" si="58"/>
        <v>44624</v>
      </c>
      <c r="F1884">
        <f t="shared" si="59"/>
        <v>405</v>
      </c>
    </row>
    <row r="1885" spans="1:6" x14ac:dyDescent="0.55000000000000004">
      <c r="A1885">
        <v>1.684783760662197E+19</v>
      </c>
      <c r="B1885" t="s">
        <v>204</v>
      </c>
      <c r="C1885" t="s">
        <v>13</v>
      </c>
      <c r="D1885">
        <v>778</v>
      </c>
      <c r="E1885" s="4">
        <f t="shared" si="58"/>
        <v>44849</v>
      </c>
      <c r="F1885">
        <f t="shared" si="59"/>
        <v>180</v>
      </c>
    </row>
    <row r="1886" spans="1:6" x14ac:dyDescent="0.55000000000000004">
      <c r="A1886">
        <v>1.706242839478902E+19</v>
      </c>
      <c r="B1886" t="s">
        <v>211</v>
      </c>
      <c r="C1886" t="s">
        <v>10</v>
      </c>
      <c r="D1886">
        <v>80</v>
      </c>
      <c r="E1886" s="4">
        <f t="shared" si="58"/>
        <v>44519</v>
      </c>
      <c r="F1886">
        <f t="shared" si="59"/>
        <v>510</v>
      </c>
    </row>
    <row r="1887" spans="1:6" x14ac:dyDescent="0.55000000000000004">
      <c r="A1887">
        <v>6.679991526404095E+18</v>
      </c>
      <c r="B1887" t="s">
        <v>247</v>
      </c>
      <c r="C1887" t="s">
        <v>50</v>
      </c>
      <c r="D1887">
        <v>397</v>
      </c>
      <c r="E1887" s="4">
        <f t="shared" si="58"/>
        <v>44947</v>
      </c>
      <c r="F1887">
        <f t="shared" si="59"/>
        <v>82</v>
      </c>
    </row>
    <row r="1888" spans="1:6" x14ac:dyDescent="0.55000000000000004">
      <c r="A1888">
        <v>1.685469016719214E+19</v>
      </c>
      <c r="B1888" t="s">
        <v>360</v>
      </c>
      <c r="C1888" t="s">
        <v>7</v>
      </c>
      <c r="D1888">
        <v>4390</v>
      </c>
      <c r="E1888" s="4">
        <f t="shared" si="58"/>
        <v>44995</v>
      </c>
      <c r="F1888">
        <f t="shared" si="59"/>
        <v>34</v>
      </c>
    </row>
    <row r="1889" spans="1:6" x14ac:dyDescent="0.55000000000000004">
      <c r="A1889">
        <v>1.023326339046786E+19</v>
      </c>
      <c r="B1889" t="s">
        <v>743</v>
      </c>
      <c r="C1889" t="s">
        <v>26</v>
      </c>
      <c r="D1889">
        <v>6009</v>
      </c>
      <c r="E1889" s="4">
        <f t="shared" si="58"/>
        <v>44771</v>
      </c>
      <c r="F1889">
        <f t="shared" si="59"/>
        <v>258</v>
      </c>
    </row>
    <row r="1890" spans="1:6" x14ac:dyDescent="0.55000000000000004">
      <c r="A1890">
        <v>1.7106753465062531E+18</v>
      </c>
      <c r="B1890" t="s">
        <v>311</v>
      </c>
      <c r="C1890" t="s">
        <v>13</v>
      </c>
      <c r="D1890">
        <v>15964</v>
      </c>
      <c r="E1890" s="4">
        <f t="shared" si="58"/>
        <v>44056</v>
      </c>
      <c r="F1890">
        <f t="shared" si="59"/>
        <v>973</v>
      </c>
    </row>
    <row r="1891" spans="1:6" x14ac:dyDescent="0.55000000000000004">
      <c r="A1891">
        <v>1.536988618300135E+19</v>
      </c>
      <c r="B1891" t="s">
        <v>873</v>
      </c>
      <c r="C1891" t="s">
        <v>26</v>
      </c>
      <c r="D1891">
        <v>687</v>
      </c>
      <c r="E1891" s="4">
        <f t="shared" si="58"/>
        <v>44127</v>
      </c>
      <c r="F1891">
        <f t="shared" si="59"/>
        <v>902</v>
      </c>
    </row>
    <row r="1892" spans="1:6" x14ac:dyDescent="0.55000000000000004">
      <c r="A1892">
        <v>1.146959185110059E+19</v>
      </c>
      <c r="B1892" t="s">
        <v>511</v>
      </c>
      <c r="C1892" t="s">
        <v>26</v>
      </c>
      <c r="D1892">
        <v>287</v>
      </c>
      <c r="E1892" s="4">
        <f t="shared" si="58"/>
        <v>44577</v>
      </c>
      <c r="F1892">
        <f t="shared" si="59"/>
        <v>452</v>
      </c>
    </row>
    <row r="1893" spans="1:6" x14ac:dyDescent="0.55000000000000004">
      <c r="A1893">
        <v>5.7005708962086676E+18</v>
      </c>
      <c r="B1893" t="s">
        <v>376</v>
      </c>
      <c r="C1893" t="s">
        <v>46</v>
      </c>
      <c r="D1893">
        <v>199</v>
      </c>
      <c r="E1893" s="4">
        <f t="shared" si="58"/>
        <v>45018</v>
      </c>
      <c r="F1893">
        <f t="shared" si="59"/>
        <v>11</v>
      </c>
    </row>
    <row r="1894" spans="1:6" x14ac:dyDescent="0.55000000000000004">
      <c r="A1894">
        <v>1.577234568859785E+19</v>
      </c>
      <c r="B1894" t="s">
        <v>399</v>
      </c>
      <c r="C1894" t="s">
        <v>13</v>
      </c>
      <c r="D1894">
        <v>573</v>
      </c>
      <c r="E1894" s="4">
        <f t="shared" si="58"/>
        <v>44733</v>
      </c>
      <c r="F1894">
        <f t="shared" si="59"/>
        <v>296</v>
      </c>
    </row>
    <row r="1895" spans="1:6" x14ac:dyDescent="0.55000000000000004">
      <c r="A1895">
        <v>5.8366539935574548E+18</v>
      </c>
      <c r="B1895" t="s">
        <v>231</v>
      </c>
      <c r="C1895" t="s">
        <v>50</v>
      </c>
      <c r="D1895">
        <v>426</v>
      </c>
      <c r="E1895" s="4">
        <f t="shared" si="58"/>
        <v>44383</v>
      </c>
      <c r="F1895">
        <f t="shared" si="59"/>
        <v>646</v>
      </c>
    </row>
    <row r="1896" spans="1:6" x14ac:dyDescent="0.55000000000000004">
      <c r="A1896">
        <v>1.2730106014305079E+19</v>
      </c>
      <c r="B1896" t="s">
        <v>1006</v>
      </c>
      <c r="C1896" t="s">
        <v>10</v>
      </c>
      <c r="D1896">
        <v>6267</v>
      </c>
      <c r="E1896" s="4">
        <f t="shared" si="58"/>
        <v>44339</v>
      </c>
      <c r="F1896">
        <f t="shared" si="59"/>
        <v>690</v>
      </c>
    </row>
    <row r="1897" spans="1:6" x14ac:dyDescent="0.55000000000000004">
      <c r="A1897">
        <v>1.640879485980501E+19</v>
      </c>
      <c r="B1897" t="s">
        <v>956</v>
      </c>
      <c r="C1897" t="s">
        <v>10</v>
      </c>
      <c r="D1897">
        <v>2655</v>
      </c>
      <c r="E1897" s="4">
        <f t="shared" si="58"/>
        <v>44276</v>
      </c>
      <c r="F1897">
        <f t="shared" si="59"/>
        <v>753</v>
      </c>
    </row>
    <row r="1898" spans="1:6" x14ac:dyDescent="0.55000000000000004">
      <c r="A1898">
        <v>1.2488241262194881E+19</v>
      </c>
      <c r="B1898" t="s">
        <v>1007</v>
      </c>
      <c r="C1898" t="s">
        <v>13</v>
      </c>
      <c r="D1898">
        <v>69</v>
      </c>
      <c r="E1898" s="4">
        <f t="shared" si="58"/>
        <v>44377</v>
      </c>
      <c r="F1898">
        <f t="shared" si="59"/>
        <v>652</v>
      </c>
    </row>
    <row r="1899" spans="1:6" x14ac:dyDescent="0.55000000000000004">
      <c r="A1899">
        <v>4.2380513788323712E+18</v>
      </c>
      <c r="B1899" t="s">
        <v>334</v>
      </c>
      <c r="C1899" t="s">
        <v>10</v>
      </c>
      <c r="D1899">
        <v>790</v>
      </c>
      <c r="E1899" s="4">
        <f t="shared" si="58"/>
        <v>44915</v>
      </c>
      <c r="F1899">
        <f t="shared" si="59"/>
        <v>114</v>
      </c>
    </row>
    <row r="1900" spans="1:6" x14ac:dyDescent="0.55000000000000004">
      <c r="A1900">
        <v>8.9076997654689088E+17</v>
      </c>
      <c r="B1900" t="s">
        <v>553</v>
      </c>
      <c r="C1900" t="s">
        <v>13</v>
      </c>
      <c r="D1900">
        <v>3710</v>
      </c>
      <c r="E1900" s="4">
        <f t="shared" si="58"/>
        <v>44578</v>
      </c>
      <c r="F1900">
        <f t="shared" si="59"/>
        <v>451</v>
      </c>
    </row>
    <row r="1901" spans="1:6" x14ac:dyDescent="0.55000000000000004">
      <c r="A1901">
        <v>5.1767562768368189E+18</v>
      </c>
      <c r="B1901" t="s">
        <v>400</v>
      </c>
      <c r="C1901" t="s">
        <v>7</v>
      </c>
      <c r="D1901">
        <v>119</v>
      </c>
      <c r="E1901" s="4">
        <f t="shared" si="58"/>
        <v>44675</v>
      </c>
      <c r="F1901">
        <f t="shared" si="59"/>
        <v>354</v>
      </c>
    </row>
    <row r="1902" spans="1:6" x14ac:dyDescent="0.55000000000000004">
      <c r="A1902">
        <v>2.7912441794673299E+17</v>
      </c>
      <c r="B1902" t="s">
        <v>99</v>
      </c>
      <c r="C1902" t="s">
        <v>10</v>
      </c>
      <c r="D1902">
        <v>1550</v>
      </c>
      <c r="E1902" s="4">
        <f t="shared" si="58"/>
        <v>44764</v>
      </c>
      <c r="F1902">
        <f t="shared" si="59"/>
        <v>265</v>
      </c>
    </row>
    <row r="1903" spans="1:6" x14ac:dyDescent="0.55000000000000004">
      <c r="A1903">
        <v>1.4031811648580569E+19</v>
      </c>
      <c r="B1903" t="s">
        <v>127</v>
      </c>
      <c r="C1903" t="s">
        <v>10</v>
      </c>
      <c r="D1903">
        <v>242</v>
      </c>
      <c r="E1903" s="4">
        <f t="shared" si="58"/>
        <v>43824</v>
      </c>
      <c r="F1903">
        <f t="shared" si="59"/>
        <v>1205</v>
      </c>
    </row>
    <row r="1904" spans="1:6" x14ac:dyDescent="0.55000000000000004">
      <c r="A1904">
        <v>9.9205548463903089E+18</v>
      </c>
      <c r="B1904" t="s">
        <v>827</v>
      </c>
      <c r="C1904" t="s">
        <v>46</v>
      </c>
      <c r="D1904">
        <v>331</v>
      </c>
      <c r="E1904" s="4">
        <f t="shared" si="58"/>
        <v>43960</v>
      </c>
      <c r="F1904">
        <f t="shared" si="59"/>
        <v>1069</v>
      </c>
    </row>
    <row r="1905" spans="1:6" x14ac:dyDescent="0.55000000000000004">
      <c r="A1905">
        <v>9.9997063924467917E+17</v>
      </c>
      <c r="B1905" t="s">
        <v>573</v>
      </c>
      <c r="C1905" t="s">
        <v>26</v>
      </c>
      <c r="D1905">
        <v>222</v>
      </c>
      <c r="E1905" s="4">
        <f t="shared" si="58"/>
        <v>44442</v>
      </c>
      <c r="F1905">
        <f t="shared" si="59"/>
        <v>587</v>
      </c>
    </row>
    <row r="1906" spans="1:6" x14ac:dyDescent="0.55000000000000004">
      <c r="A1906">
        <v>5.1490237090920947E+17</v>
      </c>
      <c r="B1906" t="s">
        <v>409</v>
      </c>
      <c r="C1906" t="s">
        <v>7</v>
      </c>
      <c r="D1906">
        <v>501</v>
      </c>
      <c r="E1906" s="4">
        <f t="shared" si="58"/>
        <v>44489</v>
      </c>
      <c r="F1906">
        <f t="shared" si="59"/>
        <v>540</v>
      </c>
    </row>
    <row r="1907" spans="1:6" x14ac:dyDescent="0.55000000000000004">
      <c r="A1907">
        <v>9.5319592315029478E+17</v>
      </c>
      <c r="B1907" t="s">
        <v>1008</v>
      </c>
      <c r="C1907" t="s">
        <v>10</v>
      </c>
      <c r="D1907">
        <v>119</v>
      </c>
      <c r="E1907" s="4">
        <f t="shared" si="58"/>
        <v>44963</v>
      </c>
      <c r="F1907">
        <f t="shared" si="59"/>
        <v>66</v>
      </c>
    </row>
    <row r="1908" spans="1:6" x14ac:dyDescent="0.55000000000000004">
      <c r="A1908">
        <v>3.8030632454519009E+18</v>
      </c>
      <c r="B1908" t="s">
        <v>785</v>
      </c>
      <c r="C1908" t="s">
        <v>10</v>
      </c>
      <c r="D1908">
        <v>1350</v>
      </c>
      <c r="E1908" s="4">
        <f t="shared" si="58"/>
        <v>44974</v>
      </c>
      <c r="F1908">
        <f t="shared" si="59"/>
        <v>55</v>
      </c>
    </row>
    <row r="1909" spans="1:6" x14ac:dyDescent="0.55000000000000004">
      <c r="A1909">
        <v>4.1927928262707988E+18</v>
      </c>
      <c r="B1909" t="s">
        <v>860</v>
      </c>
      <c r="C1909" t="s">
        <v>10</v>
      </c>
      <c r="D1909">
        <v>1050</v>
      </c>
      <c r="E1909" s="4">
        <f t="shared" si="58"/>
        <v>43899</v>
      </c>
      <c r="F1909">
        <f t="shared" si="59"/>
        <v>1130</v>
      </c>
    </row>
    <row r="1910" spans="1:6" x14ac:dyDescent="0.55000000000000004">
      <c r="A1910">
        <v>3.5415691263301038E+18</v>
      </c>
      <c r="B1910" t="s">
        <v>142</v>
      </c>
      <c r="C1910" t="s">
        <v>13</v>
      </c>
      <c r="D1910">
        <v>7880</v>
      </c>
      <c r="E1910" s="4">
        <f t="shared" si="58"/>
        <v>44272</v>
      </c>
      <c r="F1910">
        <f t="shared" si="59"/>
        <v>757</v>
      </c>
    </row>
    <row r="1911" spans="1:6" x14ac:dyDescent="0.55000000000000004">
      <c r="A1911">
        <v>1.7106753465062531E+18</v>
      </c>
      <c r="B1911" t="s">
        <v>229</v>
      </c>
      <c r="C1911" t="s">
        <v>50</v>
      </c>
      <c r="D1911">
        <v>270</v>
      </c>
      <c r="E1911" s="4">
        <f t="shared" si="58"/>
        <v>44960</v>
      </c>
      <c r="F1911">
        <f t="shared" si="59"/>
        <v>69</v>
      </c>
    </row>
    <row r="1912" spans="1:6" x14ac:dyDescent="0.55000000000000004">
      <c r="A1912">
        <v>4.29177626358705E+18</v>
      </c>
      <c r="B1912" t="s">
        <v>1009</v>
      </c>
      <c r="C1912" t="s">
        <v>13</v>
      </c>
      <c r="D1912">
        <v>1976</v>
      </c>
      <c r="E1912" s="4">
        <f t="shared" si="58"/>
        <v>44795</v>
      </c>
      <c r="F1912">
        <f t="shared" si="59"/>
        <v>234</v>
      </c>
    </row>
    <row r="1913" spans="1:6" x14ac:dyDescent="0.55000000000000004">
      <c r="A1913">
        <v>8.934561437004929E+18</v>
      </c>
      <c r="B1913" t="s">
        <v>616</v>
      </c>
      <c r="C1913" t="s">
        <v>5</v>
      </c>
      <c r="D1913">
        <v>819</v>
      </c>
      <c r="E1913" s="4">
        <f t="shared" si="58"/>
        <v>44271</v>
      </c>
      <c r="F1913">
        <f t="shared" si="59"/>
        <v>758</v>
      </c>
    </row>
    <row r="1914" spans="1:6" x14ac:dyDescent="0.55000000000000004">
      <c r="A1914">
        <v>1.586779565632888E+19</v>
      </c>
      <c r="B1914" t="s">
        <v>159</v>
      </c>
      <c r="C1914" t="s">
        <v>7</v>
      </c>
      <c r="D1914">
        <v>79</v>
      </c>
      <c r="E1914" s="4">
        <f t="shared" si="58"/>
        <v>44762</v>
      </c>
      <c r="F1914">
        <f t="shared" si="59"/>
        <v>267</v>
      </c>
    </row>
    <row r="1915" spans="1:6" x14ac:dyDescent="0.55000000000000004">
      <c r="A1915">
        <v>5.3973038049061745E+18</v>
      </c>
      <c r="B1915" t="s">
        <v>1010</v>
      </c>
      <c r="C1915" t="s">
        <v>50</v>
      </c>
      <c r="D1915">
        <v>46287.4</v>
      </c>
      <c r="E1915" s="4">
        <f t="shared" si="58"/>
        <v>42877</v>
      </c>
      <c r="F1915">
        <f t="shared" si="59"/>
        <v>2152</v>
      </c>
    </row>
    <row r="1916" spans="1:6" x14ac:dyDescent="0.55000000000000004">
      <c r="A1916">
        <v>1.726111980381961E+19</v>
      </c>
      <c r="B1916" t="s">
        <v>888</v>
      </c>
      <c r="C1916" t="s">
        <v>13</v>
      </c>
      <c r="D1916">
        <v>850</v>
      </c>
      <c r="E1916" s="4">
        <f t="shared" si="58"/>
        <v>43867</v>
      </c>
      <c r="F1916">
        <f t="shared" si="59"/>
        <v>1162</v>
      </c>
    </row>
    <row r="1917" spans="1:6" x14ac:dyDescent="0.55000000000000004">
      <c r="A1917">
        <v>1.228500511889546E+19</v>
      </c>
      <c r="B1917" t="s">
        <v>1011</v>
      </c>
      <c r="C1917" t="s">
        <v>13</v>
      </c>
      <c r="D1917">
        <v>385</v>
      </c>
      <c r="E1917" s="4">
        <f t="shared" si="58"/>
        <v>43801</v>
      </c>
      <c r="F1917">
        <f t="shared" si="59"/>
        <v>1228</v>
      </c>
    </row>
    <row r="1918" spans="1:6" x14ac:dyDescent="0.55000000000000004">
      <c r="A1918">
        <v>1.815269932860136E+19</v>
      </c>
      <c r="B1918" t="s">
        <v>108</v>
      </c>
      <c r="C1918" t="s">
        <v>10</v>
      </c>
      <c r="D1918">
        <v>2191</v>
      </c>
      <c r="E1918" s="4">
        <f t="shared" si="58"/>
        <v>44904</v>
      </c>
      <c r="F1918">
        <f t="shared" si="59"/>
        <v>125</v>
      </c>
    </row>
    <row r="1919" spans="1:6" x14ac:dyDescent="0.55000000000000004">
      <c r="A1919">
        <v>1.4951728837891899E+19</v>
      </c>
      <c r="B1919" t="s">
        <v>414</v>
      </c>
      <c r="C1919" t="s">
        <v>10</v>
      </c>
      <c r="D1919">
        <v>399</v>
      </c>
      <c r="E1919" s="4">
        <f t="shared" si="58"/>
        <v>44554</v>
      </c>
      <c r="F1919">
        <f t="shared" si="59"/>
        <v>475</v>
      </c>
    </row>
    <row r="1920" spans="1:6" x14ac:dyDescent="0.55000000000000004">
      <c r="A1920">
        <v>8.0305918599695565E+18</v>
      </c>
      <c r="B1920" t="s">
        <v>645</v>
      </c>
      <c r="C1920" t="s">
        <v>10</v>
      </c>
      <c r="D1920">
        <v>947</v>
      </c>
      <c r="E1920" s="4">
        <f t="shared" si="58"/>
        <v>44897</v>
      </c>
      <c r="F1920">
        <f t="shared" si="59"/>
        <v>132</v>
      </c>
    </row>
    <row r="1921" spans="1:6" x14ac:dyDescent="0.55000000000000004">
      <c r="A1921">
        <v>6.0967920813631478E+18</v>
      </c>
      <c r="B1921" t="s">
        <v>625</v>
      </c>
      <c r="C1921" t="s">
        <v>50</v>
      </c>
      <c r="D1921">
        <v>240</v>
      </c>
      <c r="E1921" s="4">
        <f t="shared" si="58"/>
        <v>44495</v>
      </c>
      <c r="F1921">
        <f t="shared" si="59"/>
        <v>534</v>
      </c>
    </row>
    <row r="1922" spans="1:6" x14ac:dyDescent="0.55000000000000004">
      <c r="A1922">
        <v>2.35868579751746E+18</v>
      </c>
      <c r="B1922" t="s">
        <v>1012</v>
      </c>
      <c r="C1922" t="s">
        <v>46</v>
      </c>
      <c r="D1922">
        <v>375</v>
      </c>
      <c r="E1922" s="4">
        <f t="shared" si="58"/>
        <v>43763</v>
      </c>
      <c r="F1922">
        <f t="shared" si="59"/>
        <v>1266</v>
      </c>
    </row>
    <row r="1923" spans="1:6" x14ac:dyDescent="0.55000000000000004">
      <c r="A1923">
        <v>1.196519488682964E+19</v>
      </c>
      <c r="B1923" t="s">
        <v>1013</v>
      </c>
      <c r="C1923" t="s">
        <v>13</v>
      </c>
      <c r="D1923">
        <v>1253</v>
      </c>
      <c r="E1923" s="4">
        <f t="shared" ref="E1923:E1986" si="60">DATEVALUE(B1923)</f>
        <v>44223</v>
      </c>
      <c r="F1923">
        <f t="shared" ref="F1923:F1986" si="61">$H$1-E1923</f>
        <v>806</v>
      </c>
    </row>
    <row r="1924" spans="1:6" x14ac:dyDescent="0.55000000000000004">
      <c r="A1924">
        <v>1.3614360803170529E+19</v>
      </c>
      <c r="B1924" t="s">
        <v>1014</v>
      </c>
      <c r="C1924" t="s">
        <v>50</v>
      </c>
      <c r="D1924">
        <v>73</v>
      </c>
      <c r="E1924" s="4">
        <f t="shared" si="60"/>
        <v>43849</v>
      </c>
      <c r="F1924">
        <f t="shared" si="61"/>
        <v>1180</v>
      </c>
    </row>
    <row r="1925" spans="1:6" x14ac:dyDescent="0.55000000000000004">
      <c r="A1925">
        <v>1.0338627140176869E+19</v>
      </c>
      <c r="B1925" t="s">
        <v>366</v>
      </c>
      <c r="C1925" t="s">
        <v>13</v>
      </c>
      <c r="D1925">
        <v>1552</v>
      </c>
      <c r="E1925" s="4">
        <f t="shared" si="60"/>
        <v>44746</v>
      </c>
      <c r="F1925">
        <f t="shared" si="61"/>
        <v>283</v>
      </c>
    </row>
    <row r="1926" spans="1:6" x14ac:dyDescent="0.55000000000000004">
      <c r="A1926">
        <v>6.215206063014871E+18</v>
      </c>
      <c r="B1926" t="s">
        <v>772</v>
      </c>
      <c r="C1926" t="s">
        <v>7</v>
      </c>
      <c r="D1926">
        <v>339</v>
      </c>
      <c r="E1926" s="4">
        <f t="shared" si="60"/>
        <v>43877</v>
      </c>
      <c r="F1926">
        <f t="shared" si="61"/>
        <v>1152</v>
      </c>
    </row>
    <row r="1927" spans="1:6" x14ac:dyDescent="0.55000000000000004">
      <c r="A1927">
        <v>1.495907029826509E+19</v>
      </c>
      <c r="B1927" t="s">
        <v>220</v>
      </c>
      <c r="C1927" t="s">
        <v>13</v>
      </c>
      <c r="D1927">
        <v>2097</v>
      </c>
      <c r="E1927" s="4">
        <f t="shared" si="60"/>
        <v>43886</v>
      </c>
      <c r="F1927">
        <f t="shared" si="61"/>
        <v>1143</v>
      </c>
    </row>
    <row r="1928" spans="1:6" x14ac:dyDescent="0.55000000000000004">
      <c r="A1928">
        <v>1.728308851418914E+19</v>
      </c>
      <c r="B1928" t="s">
        <v>475</v>
      </c>
      <c r="C1928" t="s">
        <v>7</v>
      </c>
      <c r="D1928">
        <v>263</v>
      </c>
      <c r="E1928" s="4">
        <f t="shared" si="60"/>
        <v>44847</v>
      </c>
      <c r="F1928">
        <f t="shared" si="61"/>
        <v>182</v>
      </c>
    </row>
    <row r="1929" spans="1:6" x14ac:dyDescent="0.55000000000000004">
      <c r="A1929">
        <v>3.8822343132996511E+18</v>
      </c>
      <c r="B1929" t="s">
        <v>305</v>
      </c>
      <c r="C1929" t="s">
        <v>10</v>
      </c>
      <c r="D1929">
        <v>1820</v>
      </c>
      <c r="E1929" s="4">
        <f t="shared" si="60"/>
        <v>44713</v>
      </c>
      <c r="F1929">
        <f t="shared" si="61"/>
        <v>316</v>
      </c>
    </row>
    <row r="1930" spans="1:6" x14ac:dyDescent="0.55000000000000004">
      <c r="A1930">
        <v>7.9604283635286159E+18</v>
      </c>
      <c r="B1930" t="s">
        <v>1015</v>
      </c>
      <c r="C1930" t="s">
        <v>13</v>
      </c>
      <c r="D1930">
        <v>319</v>
      </c>
      <c r="E1930" s="4">
        <f t="shared" si="60"/>
        <v>44440</v>
      </c>
      <c r="F1930">
        <f t="shared" si="61"/>
        <v>589</v>
      </c>
    </row>
    <row r="1931" spans="1:6" x14ac:dyDescent="0.55000000000000004">
      <c r="A1931">
        <v>1.1241629119637049E+19</v>
      </c>
      <c r="B1931" t="s">
        <v>587</v>
      </c>
      <c r="C1931" t="s">
        <v>10</v>
      </c>
      <c r="D1931">
        <v>1279</v>
      </c>
      <c r="E1931" s="4">
        <f t="shared" si="60"/>
        <v>44729</v>
      </c>
      <c r="F1931">
        <f t="shared" si="61"/>
        <v>300</v>
      </c>
    </row>
    <row r="1932" spans="1:6" x14ac:dyDescent="0.55000000000000004">
      <c r="A1932">
        <v>3.8996603096353321E+18</v>
      </c>
      <c r="B1932" t="s">
        <v>306</v>
      </c>
      <c r="C1932" t="s">
        <v>7</v>
      </c>
      <c r="D1932">
        <v>2020</v>
      </c>
      <c r="E1932" s="4">
        <f t="shared" si="60"/>
        <v>44855</v>
      </c>
      <c r="F1932">
        <f t="shared" si="61"/>
        <v>174</v>
      </c>
    </row>
    <row r="1933" spans="1:6" x14ac:dyDescent="0.55000000000000004">
      <c r="A1933">
        <v>1.485106620758382E+19</v>
      </c>
      <c r="B1933" t="s">
        <v>98</v>
      </c>
      <c r="C1933" t="s">
        <v>10</v>
      </c>
      <c r="D1933">
        <v>990</v>
      </c>
      <c r="E1933" s="4">
        <f t="shared" si="60"/>
        <v>43983</v>
      </c>
      <c r="F1933">
        <f t="shared" si="61"/>
        <v>1046</v>
      </c>
    </row>
    <row r="1934" spans="1:6" x14ac:dyDescent="0.55000000000000004">
      <c r="A1934">
        <v>5.8446676842090926E+18</v>
      </c>
      <c r="B1934" t="s">
        <v>512</v>
      </c>
      <c r="C1934" t="s">
        <v>13</v>
      </c>
      <c r="D1934">
        <v>255</v>
      </c>
      <c r="E1934" s="4">
        <f t="shared" si="60"/>
        <v>44839</v>
      </c>
      <c r="F1934">
        <f t="shared" si="61"/>
        <v>190</v>
      </c>
    </row>
    <row r="1935" spans="1:6" x14ac:dyDescent="0.55000000000000004">
      <c r="A1935">
        <v>4.8396436690101975E+18</v>
      </c>
      <c r="B1935" t="s">
        <v>1016</v>
      </c>
      <c r="C1935" t="s">
        <v>10</v>
      </c>
      <c r="D1935">
        <v>2335</v>
      </c>
      <c r="E1935" s="4">
        <f t="shared" si="60"/>
        <v>44107</v>
      </c>
      <c r="F1935">
        <f t="shared" si="61"/>
        <v>922</v>
      </c>
    </row>
    <row r="1936" spans="1:6" x14ac:dyDescent="0.55000000000000004">
      <c r="A1936">
        <v>1.824794439040693E+19</v>
      </c>
      <c r="B1936" t="s">
        <v>1017</v>
      </c>
      <c r="C1936" t="s">
        <v>10</v>
      </c>
      <c r="D1936">
        <v>267</v>
      </c>
      <c r="E1936" s="4">
        <f t="shared" si="60"/>
        <v>44165</v>
      </c>
      <c r="F1936">
        <f t="shared" si="61"/>
        <v>864</v>
      </c>
    </row>
    <row r="1937" spans="1:6" x14ac:dyDescent="0.55000000000000004">
      <c r="A1937">
        <v>8.8636156987287337E+18</v>
      </c>
      <c r="B1937" t="s">
        <v>449</v>
      </c>
      <c r="C1937" t="s">
        <v>10</v>
      </c>
      <c r="D1937">
        <v>2148</v>
      </c>
      <c r="E1937" s="4">
        <f t="shared" si="60"/>
        <v>44608</v>
      </c>
      <c r="F1937">
        <f t="shared" si="61"/>
        <v>421</v>
      </c>
    </row>
    <row r="1938" spans="1:6" x14ac:dyDescent="0.55000000000000004">
      <c r="A1938">
        <v>1.2447460537077559E+19</v>
      </c>
      <c r="B1938" t="s">
        <v>480</v>
      </c>
      <c r="C1938" t="s">
        <v>10</v>
      </c>
      <c r="D1938">
        <v>249</v>
      </c>
      <c r="E1938" s="4">
        <f t="shared" si="60"/>
        <v>44979</v>
      </c>
      <c r="F1938">
        <f t="shared" si="61"/>
        <v>50</v>
      </c>
    </row>
    <row r="1939" spans="1:6" x14ac:dyDescent="0.55000000000000004">
      <c r="A1939">
        <v>4.936094153990783E+18</v>
      </c>
      <c r="B1939" t="s">
        <v>55</v>
      </c>
      <c r="C1939" t="s">
        <v>10</v>
      </c>
      <c r="D1939">
        <v>687</v>
      </c>
      <c r="E1939" s="4">
        <f t="shared" si="60"/>
        <v>45004</v>
      </c>
      <c r="F1939">
        <f t="shared" si="61"/>
        <v>25</v>
      </c>
    </row>
    <row r="1940" spans="1:6" x14ac:dyDescent="0.55000000000000004">
      <c r="A1940">
        <v>2.4867096858662651E+18</v>
      </c>
      <c r="B1940" t="s">
        <v>351</v>
      </c>
      <c r="C1940" t="s">
        <v>7</v>
      </c>
      <c r="D1940">
        <v>2886</v>
      </c>
      <c r="E1940" s="4">
        <f t="shared" si="60"/>
        <v>44566</v>
      </c>
      <c r="F1940">
        <f t="shared" si="61"/>
        <v>463</v>
      </c>
    </row>
    <row r="1941" spans="1:6" x14ac:dyDescent="0.55000000000000004">
      <c r="A1941">
        <v>3.3061567698177551E+18</v>
      </c>
      <c r="B1941" t="s">
        <v>491</v>
      </c>
      <c r="C1941" t="s">
        <v>13</v>
      </c>
      <c r="D1941">
        <v>5125</v>
      </c>
      <c r="E1941" s="4">
        <f t="shared" si="60"/>
        <v>43832</v>
      </c>
      <c r="F1941">
        <f t="shared" si="61"/>
        <v>1197</v>
      </c>
    </row>
    <row r="1942" spans="1:6" x14ac:dyDescent="0.55000000000000004">
      <c r="A1942">
        <v>5.2579795737863025E+18</v>
      </c>
      <c r="B1942" t="s">
        <v>811</v>
      </c>
      <c r="C1942" t="s">
        <v>13</v>
      </c>
      <c r="D1942">
        <v>156</v>
      </c>
      <c r="E1942" s="4">
        <f t="shared" si="60"/>
        <v>44104</v>
      </c>
      <c r="F1942">
        <f t="shared" si="61"/>
        <v>925</v>
      </c>
    </row>
    <row r="1943" spans="1:6" x14ac:dyDescent="0.55000000000000004">
      <c r="A1943">
        <v>5.8366539935574548E+18</v>
      </c>
      <c r="B1943" t="s">
        <v>44</v>
      </c>
      <c r="C1943" t="s">
        <v>46</v>
      </c>
      <c r="D1943">
        <v>4077</v>
      </c>
      <c r="E1943" s="4">
        <f t="shared" si="60"/>
        <v>44867</v>
      </c>
      <c r="F1943">
        <f t="shared" si="61"/>
        <v>162</v>
      </c>
    </row>
    <row r="1944" spans="1:6" x14ac:dyDescent="0.55000000000000004">
      <c r="A1944">
        <v>9.4805907407423304E+18</v>
      </c>
      <c r="B1944" t="s">
        <v>916</v>
      </c>
      <c r="C1944" t="s">
        <v>46</v>
      </c>
      <c r="D1944">
        <v>402</v>
      </c>
      <c r="E1944" s="4">
        <f t="shared" si="60"/>
        <v>44176</v>
      </c>
      <c r="F1944">
        <f t="shared" si="61"/>
        <v>853</v>
      </c>
    </row>
    <row r="1945" spans="1:6" x14ac:dyDescent="0.55000000000000004">
      <c r="A1945">
        <v>2.6284022932710202E+17</v>
      </c>
      <c r="B1945" t="s">
        <v>715</v>
      </c>
      <c r="C1945" t="s">
        <v>10</v>
      </c>
      <c r="D1945">
        <v>485</v>
      </c>
      <c r="E1945" s="4">
        <f t="shared" si="60"/>
        <v>43826</v>
      </c>
      <c r="F1945">
        <f t="shared" si="61"/>
        <v>1203</v>
      </c>
    </row>
    <row r="1946" spans="1:6" x14ac:dyDescent="0.55000000000000004">
      <c r="A1946">
        <v>1.010356609631957E+19</v>
      </c>
      <c r="B1946" t="s">
        <v>946</v>
      </c>
      <c r="C1946" t="s">
        <v>7</v>
      </c>
      <c r="D1946">
        <v>1137</v>
      </c>
      <c r="E1946" s="4">
        <f t="shared" si="60"/>
        <v>44114</v>
      </c>
      <c r="F1946">
        <f t="shared" si="61"/>
        <v>915</v>
      </c>
    </row>
    <row r="1947" spans="1:6" x14ac:dyDescent="0.55000000000000004">
      <c r="A1947">
        <v>5.239570284531626E+18</v>
      </c>
      <c r="B1947" t="s">
        <v>711</v>
      </c>
      <c r="C1947" t="s">
        <v>13</v>
      </c>
      <c r="D1947">
        <v>930</v>
      </c>
      <c r="E1947" s="4">
        <f t="shared" si="60"/>
        <v>44498</v>
      </c>
      <c r="F1947">
        <f t="shared" si="61"/>
        <v>531</v>
      </c>
    </row>
    <row r="1948" spans="1:6" x14ac:dyDescent="0.55000000000000004">
      <c r="A1948">
        <v>4.8396436690101975E+18</v>
      </c>
      <c r="B1948" t="s">
        <v>1018</v>
      </c>
      <c r="C1948" t="s">
        <v>13</v>
      </c>
      <c r="D1948">
        <v>2290</v>
      </c>
      <c r="E1948" s="4">
        <f t="shared" si="60"/>
        <v>44786</v>
      </c>
      <c r="F1948">
        <f t="shared" si="61"/>
        <v>243</v>
      </c>
    </row>
    <row r="1949" spans="1:6" x14ac:dyDescent="0.55000000000000004">
      <c r="A1949">
        <v>2.0325579625381089E+18</v>
      </c>
      <c r="B1949" t="s">
        <v>293</v>
      </c>
      <c r="C1949" t="s">
        <v>10</v>
      </c>
      <c r="D1949">
        <v>127</v>
      </c>
      <c r="E1949" s="4">
        <f t="shared" si="60"/>
        <v>44598</v>
      </c>
      <c r="F1949">
        <f t="shared" si="61"/>
        <v>431</v>
      </c>
    </row>
    <row r="1950" spans="1:6" x14ac:dyDescent="0.55000000000000004">
      <c r="A1950">
        <v>1.6892110945713719E+19</v>
      </c>
      <c r="B1950" t="s">
        <v>895</v>
      </c>
      <c r="C1950" t="s">
        <v>13</v>
      </c>
      <c r="D1950">
        <v>2370</v>
      </c>
      <c r="E1950" s="4">
        <f t="shared" si="60"/>
        <v>44999</v>
      </c>
      <c r="F1950">
        <f t="shared" si="61"/>
        <v>30</v>
      </c>
    </row>
    <row r="1951" spans="1:6" x14ac:dyDescent="0.55000000000000004">
      <c r="A1951">
        <v>1.541616255913045E+19</v>
      </c>
      <c r="B1951" t="s">
        <v>725</v>
      </c>
      <c r="C1951" t="s">
        <v>13</v>
      </c>
      <c r="D1951">
        <v>590</v>
      </c>
      <c r="E1951" s="4">
        <f t="shared" si="60"/>
        <v>44582</v>
      </c>
      <c r="F1951">
        <f t="shared" si="61"/>
        <v>447</v>
      </c>
    </row>
    <row r="1952" spans="1:6" x14ac:dyDescent="0.55000000000000004">
      <c r="A1952">
        <v>1.600783233449292E+19</v>
      </c>
      <c r="B1952" t="s">
        <v>1019</v>
      </c>
      <c r="C1952" t="s">
        <v>13</v>
      </c>
      <c r="D1952">
        <v>2093</v>
      </c>
      <c r="E1952" s="4">
        <f t="shared" si="60"/>
        <v>44065</v>
      </c>
      <c r="F1952">
        <f t="shared" si="61"/>
        <v>964</v>
      </c>
    </row>
    <row r="1953" spans="1:6" x14ac:dyDescent="0.55000000000000004">
      <c r="A1953">
        <v>1.7578254558691111E+19</v>
      </c>
      <c r="B1953" t="s">
        <v>382</v>
      </c>
      <c r="C1953" t="s">
        <v>10</v>
      </c>
      <c r="D1953">
        <v>2837</v>
      </c>
      <c r="E1953" s="4">
        <f t="shared" si="60"/>
        <v>44749</v>
      </c>
      <c r="F1953">
        <f t="shared" si="61"/>
        <v>280</v>
      </c>
    </row>
    <row r="1954" spans="1:6" x14ac:dyDescent="0.55000000000000004">
      <c r="A1954">
        <v>3.1432583679414472E+18</v>
      </c>
      <c r="B1954" t="s">
        <v>1020</v>
      </c>
      <c r="C1954" t="s">
        <v>46</v>
      </c>
      <c r="D1954">
        <v>188</v>
      </c>
      <c r="E1954" s="4">
        <f t="shared" si="60"/>
        <v>44064</v>
      </c>
      <c r="F1954">
        <f t="shared" si="61"/>
        <v>965</v>
      </c>
    </row>
    <row r="1955" spans="1:6" x14ac:dyDescent="0.55000000000000004">
      <c r="A1955">
        <v>8.7981424033497037E+18</v>
      </c>
      <c r="B1955" t="s">
        <v>308</v>
      </c>
      <c r="C1955" t="s">
        <v>7</v>
      </c>
      <c r="D1955">
        <v>245</v>
      </c>
      <c r="E1955" s="4">
        <f t="shared" si="60"/>
        <v>43971</v>
      </c>
      <c r="F1955">
        <f t="shared" si="61"/>
        <v>1058</v>
      </c>
    </row>
    <row r="1956" spans="1:6" x14ac:dyDescent="0.55000000000000004">
      <c r="A1956">
        <v>1.0762135343377629E+19</v>
      </c>
      <c r="B1956" t="s">
        <v>585</v>
      </c>
      <c r="C1956" t="s">
        <v>26</v>
      </c>
      <c r="D1956">
        <v>1600</v>
      </c>
      <c r="E1956" s="4">
        <f t="shared" si="60"/>
        <v>44860</v>
      </c>
      <c r="F1956">
        <f t="shared" si="61"/>
        <v>169</v>
      </c>
    </row>
    <row r="1957" spans="1:6" x14ac:dyDescent="0.55000000000000004">
      <c r="A1957">
        <v>1.2231084717582371E+19</v>
      </c>
      <c r="B1957" t="s">
        <v>124</v>
      </c>
      <c r="C1957" t="s">
        <v>13</v>
      </c>
      <c r="D1957">
        <v>906</v>
      </c>
      <c r="E1957" s="4">
        <f t="shared" si="60"/>
        <v>44370</v>
      </c>
      <c r="F1957">
        <f t="shared" si="61"/>
        <v>659</v>
      </c>
    </row>
    <row r="1958" spans="1:6" x14ac:dyDescent="0.55000000000000004">
      <c r="A1958">
        <v>1.382011487606887E+19</v>
      </c>
      <c r="B1958" t="s">
        <v>1021</v>
      </c>
      <c r="C1958" t="s">
        <v>10</v>
      </c>
      <c r="D1958">
        <v>450</v>
      </c>
      <c r="E1958" s="4">
        <f t="shared" si="60"/>
        <v>44000</v>
      </c>
      <c r="F1958">
        <f t="shared" si="61"/>
        <v>1029</v>
      </c>
    </row>
    <row r="1959" spans="1:6" x14ac:dyDescent="0.55000000000000004">
      <c r="A1959">
        <v>1.4545690347344841E+19</v>
      </c>
      <c r="B1959" t="s">
        <v>1022</v>
      </c>
      <c r="C1959" t="s">
        <v>10</v>
      </c>
      <c r="D1959">
        <v>299</v>
      </c>
      <c r="E1959" s="4">
        <f t="shared" si="60"/>
        <v>44816</v>
      </c>
      <c r="F1959">
        <f t="shared" si="61"/>
        <v>213</v>
      </c>
    </row>
    <row r="1960" spans="1:6" x14ac:dyDescent="0.55000000000000004">
      <c r="A1960">
        <v>3.7872091168844288E+18</v>
      </c>
      <c r="B1960" t="s">
        <v>1016</v>
      </c>
      <c r="C1960" t="s">
        <v>13</v>
      </c>
      <c r="D1960">
        <v>1467</v>
      </c>
      <c r="E1960" s="4">
        <f t="shared" si="60"/>
        <v>44107</v>
      </c>
      <c r="F1960">
        <f t="shared" si="61"/>
        <v>922</v>
      </c>
    </row>
    <row r="1961" spans="1:6" x14ac:dyDescent="0.55000000000000004">
      <c r="A1961">
        <v>8.4806805688854006E+18</v>
      </c>
      <c r="B1961" t="s">
        <v>946</v>
      </c>
      <c r="C1961" t="s">
        <v>10</v>
      </c>
      <c r="D1961">
        <v>299</v>
      </c>
      <c r="E1961" s="4">
        <f t="shared" si="60"/>
        <v>44114</v>
      </c>
      <c r="F1961">
        <f t="shared" si="61"/>
        <v>915</v>
      </c>
    </row>
    <row r="1962" spans="1:6" x14ac:dyDescent="0.55000000000000004">
      <c r="A1962">
        <v>3.03090006843757E+18</v>
      </c>
      <c r="B1962" t="s">
        <v>1023</v>
      </c>
      <c r="C1962" t="s">
        <v>46</v>
      </c>
      <c r="D1962">
        <v>481</v>
      </c>
      <c r="E1962" s="4">
        <f t="shared" si="60"/>
        <v>43728</v>
      </c>
      <c r="F1962">
        <f t="shared" si="61"/>
        <v>1301</v>
      </c>
    </row>
    <row r="1963" spans="1:6" x14ac:dyDescent="0.55000000000000004">
      <c r="A1963">
        <v>1.1721901524167759E+18</v>
      </c>
      <c r="B1963" t="s">
        <v>708</v>
      </c>
      <c r="C1963" t="s">
        <v>13</v>
      </c>
      <c r="D1963">
        <v>2550</v>
      </c>
      <c r="E1963" s="4">
        <f t="shared" si="60"/>
        <v>44822</v>
      </c>
      <c r="F1963">
        <f t="shared" si="61"/>
        <v>207</v>
      </c>
    </row>
    <row r="1964" spans="1:6" x14ac:dyDescent="0.55000000000000004">
      <c r="A1964">
        <v>1.755766016541449E+19</v>
      </c>
      <c r="B1964" t="s">
        <v>571</v>
      </c>
      <c r="C1964" t="s">
        <v>10</v>
      </c>
      <c r="D1964">
        <v>255</v>
      </c>
      <c r="E1964" s="4">
        <f t="shared" si="60"/>
        <v>44718</v>
      </c>
      <c r="F1964">
        <f t="shared" si="61"/>
        <v>311</v>
      </c>
    </row>
    <row r="1965" spans="1:6" x14ac:dyDescent="0.55000000000000004">
      <c r="A1965">
        <v>1.58638210703E+19</v>
      </c>
      <c r="B1965" t="s">
        <v>14</v>
      </c>
      <c r="C1965" t="s">
        <v>10</v>
      </c>
      <c r="D1965">
        <v>10795</v>
      </c>
      <c r="E1965" s="4">
        <f t="shared" si="60"/>
        <v>44832</v>
      </c>
      <c r="F1965">
        <f t="shared" si="61"/>
        <v>197</v>
      </c>
    </row>
    <row r="1966" spans="1:6" x14ac:dyDescent="0.55000000000000004">
      <c r="A1966">
        <v>1.1493028239600341E+19</v>
      </c>
      <c r="B1966" t="s">
        <v>1024</v>
      </c>
      <c r="C1966" t="s">
        <v>10</v>
      </c>
      <c r="D1966">
        <v>1086</v>
      </c>
      <c r="E1966" s="4">
        <f t="shared" si="60"/>
        <v>44908</v>
      </c>
      <c r="F1966">
        <f t="shared" si="61"/>
        <v>121</v>
      </c>
    </row>
    <row r="1967" spans="1:6" x14ac:dyDescent="0.55000000000000004">
      <c r="A1967">
        <v>7.5960602852994256E+16</v>
      </c>
      <c r="B1967" t="s">
        <v>340</v>
      </c>
      <c r="C1967" t="s">
        <v>13</v>
      </c>
      <c r="D1967">
        <v>205</v>
      </c>
      <c r="E1967" s="4">
        <f t="shared" si="60"/>
        <v>45002</v>
      </c>
      <c r="F1967">
        <f t="shared" si="61"/>
        <v>27</v>
      </c>
    </row>
    <row r="1968" spans="1:6" x14ac:dyDescent="0.55000000000000004">
      <c r="A1968">
        <v>1.4384908371794829E+19</v>
      </c>
      <c r="B1968" t="s">
        <v>1025</v>
      </c>
      <c r="C1968" t="s">
        <v>10</v>
      </c>
      <c r="D1968">
        <v>5130</v>
      </c>
      <c r="E1968" s="4">
        <f t="shared" si="60"/>
        <v>44338</v>
      </c>
      <c r="F1968">
        <f t="shared" si="61"/>
        <v>691</v>
      </c>
    </row>
    <row r="1969" spans="1:6" x14ac:dyDescent="0.55000000000000004">
      <c r="A1969">
        <v>1.6843239157042E+19</v>
      </c>
      <c r="B1969" t="s">
        <v>710</v>
      </c>
      <c r="C1969" t="s">
        <v>13</v>
      </c>
      <c r="D1969">
        <v>523</v>
      </c>
      <c r="E1969" s="4">
        <f t="shared" si="60"/>
        <v>44198</v>
      </c>
      <c r="F1969">
        <f t="shared" si="61"/>
        <v>831</v>
      </c>
    </row>
    <row r="1970" spans="1:6" x14ac:dyDescent="0.55000000000000004">
      <c r="A1970">
        <v>2.6284022932710202E+17</v>
      </c>
      <c r="B1970" t="s">
        <v>211</v>
      </c>
      <c r="C1970" t="s">
        <v>50</v>
      </c>
      <c r="D1970">
        <v>39</v>
      </c>
      <c r="E1970" s="4">
        <f t="shared" si="60"/>
        <v>44519</v>
      </c>
      <c r="F1970">
        <f t="shared" si="61"/>
        <v>510</v>
      </c>
    </row>
    <row r="1971" spans="1:6" x14ac:dyDescent="0.55000000000000004">
      <c r="A1971">
        <v>1.2110034943482069E+19</v>
      </c>
      <c r="B1971" t="s">
        <v>105</v>
      </c>
      <c r="C1971" t="s">
        <v>10</v>
      </c>
      <c r="D1971">
        <v>4047</v>
      </c>
      <c r="E1971" s="4">
        <f t="shared" si="60"/>
        <v>44989</v>
      </c>
      <c r="F1971">
        <f t="shared" si="61"/>
        <v>40</v>
      </c>
    </row>
    <row r="1972" spans="1:6" x14ac:dyDescent="0.55000000000000004">
      <c r="A1972">
        <v>3.8856884712820838E+18</v>
      </c>
      <c r="B1972" t="s">
        <v>311</v>
      </c>
      <c r="C1972" t="s">
        <v>10</v>
      </c>
      <c r="D1972">
        <v>259</v>
      </c>
      <c r="E1972" s="4">
        <f t="shared" si="60"/>
        <v>44056</v>
      </c>
      <c r="F1972">
        <f t="shared" si="61"/>
        <v>973</v>
      </c>
    </row>
    <row r="1973" spans="1:6" x14ac:dyDescent="0.55000000000000004">
      <c r="A1973">
        <v>1.6798863010277089E+19</v>
      </c>
      <c r="B1973" t="s">
        <v>1026</v>
      </c>
      <c r="C1973" t="s">
        <v>13</v>
      </c>
      <c r="D1973">
        <v>741</v>
      </c>
      <c r="E1973" s="4">
        <f t="shared" si="60"/>
        <v>44328</v>
      </c>
      <c r="F1973">
        <f t="shared" si="61"/>
        <v>701</v>
      </c>
    </row>
    <row r="1974" spans="1:6" x14ac:dyDescent="0.55000000000000004">
      <c r="A1974">
        <v>1.4311714084248011E+19</v>
      </c>
      <c r="B1974" t="s">
        <v>1027</v>
      </c>
      <c r="C1974" t="s">
        <v>10</v>
      </c>
      <c r="D1974">
        <v>4499</v>
      </c>
      <c r="E1974" s="4">
        <f t="shared" si="60"/>
        <v>44084</v>
      </c>
      <c r="F1974">
        <f t="shared" si="61"/>
        <v>945</v>
      </c>
    </row>
    <row r="1975" spans="1:6" x14ac:dyDescent="0.55000000000000004">
      <c r="A1975">
        <v>7.6043741143239148E+18</v>
      </c>
      <c r="B1975" t="s">
        <v>152</v>
      </c>
      <c r="C1975" t="s">
        <v>26</v>
      </c>
      <c r="D1975">
        <v>711</v>
      </c>
      <c r="E1975" s="4">
        <f t="shared" si="60"/>
        <v>44256</v>
      </c>
      <c r="F1975">
        <f t="shared" si="61"/>
        <v>773</v>
      </c>
    </row>
    <row r="1976" spans="1:6" x14ac:dyDescent="0.55000000000000004">
      <c r="A1976">
        <v>5.4967923404373617E+18</v>
      </c>
      <c r="B1976" t="s">
        <v>555</v>
      </c>
      <c r="C1976" t="s">
        <v>13</v>
      </c>
      <c r="D1976">
        <v>2004</v>
      </c>
      <c r="E1976" s="4">
        <f t="shared" si="60"/>
        <v>44283</v>
      </c>
      <c r="F1976">
        <f t="shared" si="61"/>
        <v>746</v>
      </c>
    </row>
    <row r="1977" spans="1:6" x14ac:dyDescent="0.55000000000000004">
      <c r="A1977">
        <v>5.5746640187933563E+18</v>
      </c>
      <c r="B1977" t="s">
        <v>1028</v>
      </c>
      <c r="C1977" t="s">
        <v>10</v>
      </c>
      <c r="D1977">
        <v>549</v>
      </c>
      <c r="E1977" s="4">
        <f t="shared" si="60"/>
        <v>44424</v>
      </c>
      <c r="F1977">
        <f t="shared" si="61"/>
        <v>605</v>
      </c>
    </row>
    <row r="1978" spans="1:6" x14ac:dyDescent="0.55000000000000004">
      <c r="A1978">
        <v>8.5477181507552604E+18</v>
      </c>
      <c r="B1978" t="s">
        <v>882</v>
      </c>
      <c r="C1978" t="s">
        <v>7</v>
      </c>
      <c r="D1978">
        <v>3276</v>
      </c>
      <c r="E1978" s="4">
        <f t="shared" si="60"/>
        <v>44941</v>
      </c>
      <c r="F1978">
        <f t="shared" si="61"/>
        <v>88</v>
      </c>
    </row>
    <row r="1979" spans="1:6" x14ac:dyDescent="0.55000000000000004">
      <c r="A1979">
        <v>1.41654505370513E+19</v>
      </c>
      <c r="B1979" t="s">
        <v>902</v>
      </c>
      <c r="C1979" t="s">
        <v>10</v>
      </c>
      <c r="D1979">
        <v>995</v>
      </c>
      <c r="E1979" s="4">
        <f t="shared" si="60"/>
        <v>44730</v>
      </c>
      <c r="F1979">
        <f t="shared" si="61"/>
        <v>299</v>
      </c>
    </row>
    <row r="1980" spans="1:6" x14ac:dyDescent="0.55000000000000004">
      <c r="A1980">
        <v>4.6112523702828739E+18</v>
      </c>
      <c r="B1980" t="s">
        <v>1029</v>
      </c>
      <c r="C1980" t="s">
        <v>26</v>
      </c>
      <c r="D1980">
        <v>588</v>
      </c>
      <c r="E1980" s="4">
        <f t="shared" si="60"/>
        <v>44351</v>
      </c>
      <c r="F1980">
        <f t="shared" si="61"/>
        <v>678</v>
      </c>
    </row>
    <row r="1981" spans="1:6" x14ac:dyDescent="0.55000000000000004">
      <c r="A1981">
        <v>9.7425249189334835E+18</v>
      </c>
      <c r="B1981" t="s">
        <v>723</v>
      </c>
      <c r="C1981" t="s">
        <v>10</v>
      </c>
      <c r="D1981">
        <v>24631</v>
      </c>
      <c r="E1981" s="4">
        <f t="shared" si="60"/>
        <v>44463</v>
      </c>
      <c r="F1981">
        <f t="shared" si="61"/>
        <v>566</v>
      </c>
    </row>
    <row r="1982" spans="1:6" x14ac:dyDescent="0.55000000000000004">
      <c r="A1982">
        <v>1.4703058494907261E+19</v>
      </c>
      <c r="B1982" t="s">
        <v>1030</v>
      </c>
      <c r="C1982" t="s">
        <v>13</v>
      </c>
      <c r="D1982">
        <v>646</v>
      </c>
      <c r="E1982" s="4">
        <f t="shared" si="60"/>
        <v>44794</v>
      </c>
      <c r="F1982">
        <f t="shared" si="61"/>
        <v>235</v>
      </c>
    </row>
    <row r="1983" spans="1:6" x14ac:dyDescent="0.55000000000000004">
      <c r="A1983">
        <v>7.6031945168167496E+18</v>
      </c>
      <c r="B1983" t="s">
        <v>181</v>
      </c>
      <c r="C1983" t="s">
        <v>13</v>
      </c>
      <c r="D1983">
        <v>519</v>
      </c>
      <c r="E1983" s="4">
        <f t="shared" si="60"/>
        <v>45000</v>
      </c>
      <c r="F1983">
        <f t="shared" si="61"/>
        <v>29</v>
      </c>
    </row>
    <row r="1984" spans="1:6" x14ac:dyDescent="0.55000000000000004">
      <c r="A1984">
        <v>3.3312355588157609E+18</v>
      </c>
      <c r="B1984" t="s">
        <v>709</v>
      </c>
      <c r="C1984" t="s">
        <v>10</v>
      </c>
      <c r="D1984">
        <v>108</v>
      </c>
      <c r="E1984" s="4">
        <f t="shared" si="60"/>
        <v>43986</v>
      </c>
      <c r="F1984">
        <f t="shared" si="61"/>
        <v>1043</v>
      </c>
    </row>
    <row r="1985" spans="1:6" x14ac:dyDescent="0.55000000000000004">
      <c r="A1985">
        <v>9.0800793897535898E+18</v>
      </c>
      <c r="B1985" t="s">
        <v>464</v>
      </c>
      <c r="C1985" t="s">
        <v>5</v>
      </c>
      <c r="D1985">
        <v>146</v>
      </c>
      <c r="E1985" s="4">
        <f t="shared" si="60"/>
        <v>43954</v>
      </c>
      <c r="F1985">
        <f t="shared" si="61"/>
        <v>1075</v>
      </c>
    </row>
    <row r="1986" spans="1:6" x14ac:dyDescent="0.55000000000000004">
      <c r="A1986">
        <v>1.301611376028535E+19</v>
      </c>
      <c r="B1986" t="s">
        <v>1031</v>
      </c>
      <c r="C1986" t="s">
        <v>10</v>
      </c>
      <c r="D1986">
        <v>786</v>
      </c>
      <c r="E1986" s="4">
        <f t="shared" si="60"/>
        <v>43808</v>
      </c>
      <c r="F1986">
        <f t="shared" si="61"/>
        <v>1221</v>
      </c>
    </row>
    <row r="1987" spans="1:6" x14ac:dyDescent="0.55000000000000004">
      <c r="A1987">
        <v>1.659447872300382E+19</v>
      </c>
      <c r="B1987" t="s">
        <v>645</v>
      </c>
      <c r="C1987" t="s">
        <v>5</v>
      </c>
      <c r="D1987">
        <v>250</v>
      </c>
      <c r="E1987" s="4">
        <f t="shared" ref="E1987:E2050" si="62">DATEVALUE(B1987)</f>
        <v>44897</v>
      </c>
      <c r="F1987">
        <f t="shared" ref="F1987:F2050" si="63">$H$1-E1987</f>
        <v>132</v>
      </c>
    </row>
    <row r="1988" spans="1:6" x14ac:dyDescent="0.55000000000000004">
      <c r="A1988">
        <v>1.5767204741208119E+19</v>
      </c>
      <c r="B1988" t="s">
        <v>1032</v>
      </c>
      <c r="C1988" t="s">
        <v>13</v>
      </c>
      <c r="D1988">
        <v>2475</v>
      </c>
      <c r="E1988" s="4">
        <f t="shared" si="62"/>
        <v>43785</v>
      </c>
      <c r="F1988">
        <f t="shared" si="63"/>
        <v>1244</v>
      </c>
    </row>
    <row r="1989" spans="1:6" x14ac:dyDescent="0.55000000000000004">
      <c r="A1989">
        <v>1.39215048584352E+18</v>
      </c>
      <c r="B1989" t="s">
        <v>530</v>
      </c>
      <c r="C1989" t="s">
        <v>13</v>
      </c>
      <c r="D1989">
        <v>193</v>
      </c>
      <c r="E1989" s="4">
        <f t="shared" si="62"/>
        <v>44509</v>
      </c>
      <c r="F1989">
        <f t="shared" si="63"/>
        <v>520</v>
      </c>
    </row>
    <row r="1990" spans="1:6" x14ac:dyDescent="0.55000000000000004">
      <c r="A1990">
        <v>1.2922861665473069E+19</v>
      </c>
      <c r="B1990" t="s">
        <v>525</v>
      </c>
      <c r="C1990" t="s">
        <v>10</v>
      </c>
      <c r="D1990">
        <v>795</v>
      </c>
      <c r="E1990" s="4">
        <f t="shared" si="62"/>
        <v>44475</v>
      </c>
      <c r="F1990">
        <f t="shared" si="63"/>
        <v>554</v>
      </c>
    </row>
    <row r="1991" spans="1:6" x14ac:dyDescent="0.55000000000000004">
      <c r="A1991">
        <v>5.4120567348960328E+18</v>
      </c>
      <c r="B1991" t="s">
        <v>297</v>
      </c>
      <c r="C1991" t="s">
        <v>5</v>
      </c>
      <c r="D1991">
        <v>301</v>
      </c>
      <c r="E1991" s="4">
        <f t="shared" si="62"/>
        <v>44743</v>
      </c>
      <c r="F1991">
        <f t="shared" si="63"/>
        <v>286</v>
      </c>
    </row>
    <row r="1992" spans="1:6" x14ac:dyDescent="0.55000000000000004">
      <c r="A1992">
        <v>1.5404156029051601E+19</v>
      </c>
      <c r="B1992" t="s">
        <v>202</v>
      </c>
      <c r="C1992" t="s">
        <v>13</v>
      </c>
      <c r="D1992">
        <v>2691</v>
      </c>
      <c r="E1992" s="4">
        <f t="shared" si="62"/>
        <v>44520</v>
      </c>
      <c r="F1992">
        <f t="shared" si="63"/>
        <v>509</v>
      </c>
    </row>
    <row r="1993" spans="1:6" x14ac:dyDescent="0.55000000000000004">
      <c r="A1993">
        <v>7.5205544625974272E+18</v>
      </c>
      <c r="B1993" t="s">
        <v>959</v>
      </c>
      <c r="C1993" t="s">
        <v>10</v>
      </c>
      <c r="D1993">
        <v>597</v>
      </c>
      <c r="E1993" s="4">
        <f t="shared" si="62"/>
        <v>44697</v>
      </c>
      <c r="F1993">
        <f t="shared" si="63"/>
        <v>332</v>
      </c>
    </row>
    <row r="1994" spans="1:6" x14ac:dyDescent="0.55000000000000004">
      <c r="A1994">
        <v>4.0215809108254679E+18</v>
      </c>
      <c r="B1994" t="s">
        <v>278</v>
      </c>
      <c r="C1994" t="s">
        <v>13</v>
      </c>
      <c r="D1994">
        <v>1106</v>
      </c>
      <c r="E1994" s="4">
        <f t="shared" si="62"/>
        <v>44222</v>
      </c>
      <c r="F1994">
        <f t="shared" si="63"/>
        <v>807</v>
      </c>
    </row>
    <row r="1995" spans="1:6" x14ac:dyDescent="0.55000000000000004">
      <c r="A1995">
        <v>1.4961346208182901E+19</v>
      </c>
      <c r="B1995" t="s">
        <v>1033</v>
      </c>
      <c r="C1995" t="s">
        <v>10</v>
      </c>
      <c r="D1995">
        <v>430</v>
      </c>
      <c r="E1995" s="4">
        <f t="shared" si="62"/>
        <v>43892</v>
      </c>
      <c r="F1995">
        <f t="shared" si="63"/>
        <v>1137</v>
      </c>
    </row>
    <row r="1996" spans="1:6" x14ac:dyDescent="0.55000000000000004">
      <c r="A1996">
        <v>1.7245230336518781E+19</v>
      </c>
      <c r="B1996" t="s">
        <v>543</v>
      </c>
      <c r="C1996" t="s">
        <v>13</v>
      </c>
      <c r="D1996">
        <v>1597</v>
      </c>
      <c r="E1996" s="4">
        <f t="shared" si="62"/>
        <v>44998</v>
      </c>
      <c r="F1996">
        <f t="shared" si="63"/>
        <v>31</v>
      </c>
    </row>
    <row r="1997" spans="1:6" x14ac:dyDescent="0.55000000000000004">
      <c r="A1997">
        <v>4.7497946326800097E+18</v>
      </c>
      <c r="B1997" t="s">
        <v>151</v>
      </c>
      <c r="C1997" t="s">
        <v>7</v>
      </c>
      <c r="D1997">
        <v>74</v>
      </c>
      <c r="E1997" s="4">
        <f t="shared" si="62"/>
        <v>44952</v>
      </c>
      <c r="F1997">
        <f t="shared" si="63"/>
        <v>77</v>
      </c>
    </row>
    <row r="1998" spans="1:6" x14ac:dyDescent="0.55000000000000004">
      <c r="A1998">
        <v>1.0510261592622371E+18</v>
      </c>
      <c r="B1998" t="s">
        <v>1034</v>
      </c>
      <c r="C1998" t="s">
        <v>13</v>
      </c>
      <c r="D1998">
        <v>470</v>
      </c>
      <c r="E1998" s="4">
        <f t="shared" si="62"/>
        <v>44227</v>
      </c>
      <c r="F1998">
        <f t="shared" si="63"/>
        <v>802</v>
      </c>
    </row>
    <row r="1999" spans="1:6" x14ac:dyDescent="0.55000000000000004">
      <c r="A1999">
        <v>5.4108562764381123E+18</v>
      </c>
      <c r="B1999" t="s">
        <v>198</v>
      </c>
      <c r="C1999" t="s">
        <v>13</v>
      </c>
      <c r="D1999">
        <v>568</v>
      </c>
      <c r="E1999" s="4">
        <f t="shared" si="62"/>
        <v>44149</v>
      </c>
      <c r="F1999">
        <f t="shared" si="63"/>
        <v>880</v>
      </c>
    </row>
    <row r="2000" spans="1:6" x14ac:dyDescent="0.55000000000000004">
      <c r="A2000">
        <v>1.23702259131362E+19</v>
      </c>
      <c r="B2000" t="s">
        <v>543</v>
      </c>
      <c r="C2000" t="s">
        <v>5</v>
      </c>
      <c r="D2000">
        <v>2352</v>
      </c>
      <c r="E2000" s="4">
        <f t="shared" si="62"/>
        <v>44998</v>
      </c>
      <c r="F2000">
        <f t="shared" si="63"/>
        <v>31</v>
      </c>
    </row>
    <row r="2001" spans="1:6" x14ac:dyDescent="0.55000000000000004">
      <c r="A2001">
        <v>4.9679677734774938E+18</v>
      </c>
      <c r="B2001" t="s">
        <v>254</v>
      </c>
      <c r="C2001" t="s">
        <v>5</v>
      </c>
      <c r="D2001">
        <v>3600</v>
      </c>
      <c r="E2001" s="4">
        <f t="shared" si="62"/>
        <v>44478</v>
      </c>
      <c r="F2001">
        <f t="shared" si="63"/>
        <v>551</v>
      </c>
    </row>
    <row r="2002" spans="1:6" x14ac:dyDescent="0.55000000000000004">
      <c r="A2002">
        <v>5.0200884906810337E+18</v>
      </c>
      <c r="B2002" t="s">
        <v>1035</v>
      </c>
      <c r="C2002" t="s">
        <v>10</v>
      </c>
      <c r="D2002">
        <v>1080</v>
      </c>
      <c r="E2002" s="4">
        <f t="shared" si="62"/>
        <v>43942</v>
      </c>
      <c r="F2002">
        <f t="shared" si="63"/>
        <v>1087</v>
      </c>
    </row>
    <row r="2003" spans="1:6" x14ac:dyDescent="0.55000000000000004">
      <c r="A2003">
        <v>6.1981796903171369E+18</v>
      </c>
      <c r="B2003" t="s">
        <v>591</v>
      </c>
      <c r="C2003" t="s">
        <v>13</v>
      </c>
      <c r="D2003">
        <v>2570</v>
      </c>
      <c r="E2003" s="4">
        <f t="shared" si="62"/>
        <v>44387</v>
      </c>
      <c r="F2003">
        <f t="shared" si="63"/>
        <v>642</v>
      </c>
    </row>
    <row r="2004" spans="1:6" x14ac:dyDescent="0.55000000000000004">
      <c r="A2004">
        <v>5.718961874495673E+17</v>
      </c>
      <c r="B2004" t="s">
        <v>1036</v>
      </c>
      <c r="C2004" t="s">
        <v>13</v>
      </c>
      <c r="D2004">
        <v>1060</v>
      </c>
      <c r="E2004" s="4">
        <f t="shared" si="62"/>
        <v>44736</v>
      </c>
      <c r="F2004">
        <f t="shared" si="63"/>
        <v>293</v>
      </c>
    </row>
    <row r="2005" spans="1:6" x14ac:dyDescent="0.55000000000000004">
      <c r="A2005">
        <v>5.5869190576617318E+18</v>
      </c>
      <c r="B2005" t="s">
        <v>253</v>
      </c>
      <c r="C2005" t="s">
        <v>13</v>
      </c>
      <c r="D2005">
        <v>3631</v>
      </c>
      <c r="E2005" s="4">
        <f t="shared" si="62"/>
        <v>44376</v>
      </c>
      <c r="F2005">
        <f t="shared" si="63"/>
        <v>653</v>
      </c>
    </row>
    <row r="2006" spans="1:6" x14ac:dyDescent="0.55000000000000004">
      <c r="A2006">
        <v>1.365967540316247E+19</v>
      </c>
      <c r="B2006" t="s">
        <v>638</v>
      </c>
      <c r="C2006" t="s">
        <v>13</v>
      </c>
      <c r="D2006">
        <v>550</v>
      </c>
      <c r="E2006" s="4">
        <f t="shared" si="62"/>
        <v>44191</v>
      </c>
      <c r="F2006">
        <f t="shared" si="63"/>
        <v>838</v>
      </c>
    </row>
    <row r="2007" spans="1:6" x14ac:dyDescent="0.55000000000000004">
      <c r="A2007">
        <v>3.7872091168844288E+18</v>
      </c>
      <c r="B2007" t="s">
        <v>1037</v>
      </c>
      <c r="C2007" t="s">
        <v>13</v>
      </c>
      <c r="D2007">
        <v>1122</v>
      </c>
      <c r="E2007" s="4">
        <f t="shared" si="62"/>
        <v>43651</v>
      </c>
      <c r="F2007">
        <f t="shared" si="63"/>
        <v>1378</v>
      </c>
    </row>
    <row r="2008" spans="1:6" x14ac:dyDescent="0.55000000000000004">
      <c r="A2008">
        <v>1.360218157738563E+19</v>
      </c>
      <c r="B2008" t="s">
        <v>1038</v>
      </c>
      <c r="C2008" t="s">
        <v>7</v>
      </c>
      <c r="D2008">
        <v>29</v>
      </c>
      <c r="E2008" s="4">
        <f t="shared" si="62"/>
        <v>44724</v>
      </c>
      <c r="F2008">
        <f t="shared" si="63"/>
        <v>305</v>
      </c>
    </row>
    <row r="2009" spans="1:6" x14ac:dyDescent="0.55000000000000004">
      <c r="A2009">
        <v>3.0682120085675418E+18</v>
      </c>
      <c r="B2009" t="s">
        <v>143</v>
      </c>
      <c r="C2009" t="s">
        <v>10</v>
      </c>
      <c r="D2009">
        <v>399</v>
      </c>
      <c r="E2009" s="4">
        <f t="shared" si="62"/>
        <v>44552</v>
      </c>
      <c r="F2009">
        <f t="shared" si="63"/>
        <v>477</v>
      </c>
    </row>
    <row r="2010" spans="1:6" x14ac:dyDescent="0.55000000000000004">
      <c r="A2010">
        <v>9.7042332944123105E+18</v>
      </c>
      <c r="B2010" t="s">
        <v>980</v>
      </c>
      <c r="C2010" t="s">
        <v>10</v>
      </c>
      <c r="D2010">
        <v>6750</v>
      </c>
      <c r="E2010" s="4">
        <f t="shared" si="62"/>
        <v>44409</v>
      </c>
      <c r="F2010">
        <f t="shared" si="63"/>
        <v>620</v>
      </c>
    </row>
    <row r="2011" spans="1:6" x14ac:dyDescent="0.55000000000000004">
      <c r="A2011">
        <v>1.4020845570534651E+18</v>
      </c>
      <c r="B2011" t="s">
        <v>1039</v>
      </c>
      <c r="C2011" t="s">
        <v>13</v>
      </c>
      <c r="D2011">
        <v>8760</v>
      </c>
      <c r="E2011" s="4">
        <f t="shared" si="62"/>
        <v>43614</v>
      </c>
      <c r="F2011">
        <f t="shared" si="63"/>
        <v>1415</v>
      </c>
    </row>
    <row r="2012" spans="1:6" x14ac:dyDescent="0.55000000000000004">
      <c r="A2012">
        <v>1.7777396627559979E+19</v>
      </c>
      <c r="B2012" t="s">
        <v>296</v>
      </c>
      <c r="C2012" t="s">
        <v>5</v>
      </c>
      <c r="D2012">
        <v>699</v>
      </c>
      <c r="E2012" s="4">
        <f t="shared" si="62"/>
        <v>44945</v>
      </c>
      <c r="F2012">
        <f t="shared" si="63"/>
        <v>84</v>
      </c>
    </row>
    <row r="2013" spans="1:6" x14ac:dyDescent="0.55000000000000004">
      <c r="A2013">
        <v>1.594292530528237E+19</v>
      </c>
      <c r="B2013" t="s">
        <v>618</v>
      </c>
      <c r="C2013" t="s">
        <v>5</v>
      </c>
      <c r="D2013">
        <v>4136</v>
      </c>
      <c r="E2013" s="4">
        <f t="shared" si="62"/>
        <v>44911</v>
      </c>
      <c r="F2013">
        <f t="shared" si="63"/>
        <v>118</v>
      </c>
    </row>
    <row r="2014" spans="1:6" x14ac:dyDescent="0.55000000000000004">
      <c r="A2014">
        <v>6.3829002099703767E+18</v>
      </c>
      <c r="B2014" t="s">
        <v>598</v>
      </c>
      <c r="C2014" t="s">
        <v>13</v>
      </c>
      <c r="D2014">
        <v>629</v>
      </c>
      <c r="E2014" s="4">
        <f t="shared" si="62"/>
        <v>44931</v>
      </c>
      <c r="F2014">
        <f t="shared" si="63"/>
        <v>98</v>
      </c>
    </row>
    <row r="2015" spans="1:6" x14ac:dyDescent="0.55000000000000004">
      <c r="A2015">
        <v>5.3973038049061745E+18</v>
      </c>
      <c r="B2015" t="s">
        <v>1040</v>
      </c>
      <c r="C2015" t="s">
        <v>46</v>
      </c>
      <c r="D2015">
        <v>2060</v>
      </c>
      <c r="E2015" s="4">
        <f t="shared" si="62"/>
        <v>43934</v>
      </c>
      <c r="F2015">
        <f t="shared" si="63"/>
        <v>1095</v>
      </c>
    </row>
    <row r="2016" spans="1:6" x14ac:dyDescent="0.55000000000000004">
      <c r="A2016">
        <v>1.5641110136120521E+19</v>
      </c>
      <c r="B2016" t="s">
        <v>343</v>
      </c>
      <c r="C2016" t="s">
        <v>13</v>
      </c>
      <c r="D2016">
        <v>1495</v>
      </c>
      <c r="E2016" s="4">
        <f t="shared" si="62"/>
        <v>44297</v>
      </c>
      <c r="F2016">
        <f t="shared" si="63"/>
        <v>732</v>
      </c>
    </row>
    <row r="2017" spans="1:6" x14ac:dyDescent="0.55000000000000004">
      <c r="A2017">
        <v>1.719510632926738E+19</v>
      </c>
      <c r="B2017" t="s">
        <v>53</v>
      </c>
      <c r="C2017" t="s">
        <v>10</v>
      </c>
      <c r="D2017">
        <v>6450</v>
      </c>
      <c r="E2017" s="4">
        <f t="shared" si="62"/>
        <v>44866</v>
      </c>
      <c r="F2017">
        <f t="shared" si="63"/>
        <v>163</v>
      </c>
    </row>
    <row r="2018" spans="1:6" x14ac:dyDescent="0.55000000000000004">
      <c r="A2018">
        <v>1.8030433549853759E+19</v>
      </c>
      <c r="B2018" t="s">
        <v>561</v>
      </c>
      <c r="C2018" t="s">
        <v>7</v>
      </c>
      <c r="D2018">
        <v>119</v>
      </c>
      <c r="E2018" s="4">
        <f t="shared" si="62"/>
        <v>44296</v>
      </c>
      <c r="F2018">
        <f t="shared" si="63"/>
        <v>733</v>
      </c>
    </row>
    <row r="2019" spans="1:6" x14ac:dyDescent="0.55000000000000004">
      <c r="A2019">
        <v>8.4172921343653243E+18</v>
      </c>
      <c r="B2019" t="s">
        <v>1004</v>
      </c>
      <c r="C2019" t="s">
        <v>7</v>
      </c>
      <c r="D2019">
        <v>119</v>
      </c>
      <c r="E2019" s="4">
        <f t="shared" si="62"/>
        <v>44728</v>
      </c>
      <c r="F2019">
        <f t="shared" si="63"/>
        <v>301</v>
      </c>
    </row>
    <row r="2020" spans="1:6" x14ac:dyDescent="0.55000000000000004">
      <c r="A2020">
        <v>5.0342814580087347E+18</v>
      </c>
      <c r="B2020" t="s">
        <v>769</v>
      </c>
      <c r="C2020" t="s">
        <v>50</v>
      </c>
      <c r="D2020">
        <v>39</v>
      </c>
      <c r="E2020" s="4">
        <f t="shared" si="62"/>
        <v>44510</v>
      </c>
      <c r="F2020">
        <f t="shared" si="63"/>
        <v>519</v>
      </c>
    </row>
    <row r="2021" spans="1:6" x14ac:dyDescent="0.55000000000000004">
      <c r="A2021">
        <v>1.352293588496357E+19</v>
      </c>
      <c r="B2021" t="s">
        <v>82</v>
      </c>
      <c r="C2021" t="s">
        <v>50</v>
      </c>
      <c r="D2021">
        <v>58</v>
      </c>
      <c r="E2021" s="4">
        <f t="shared" si="62"/>
        <v>44225</v>
      </c>
      <c r="F2021">
        <f t="shared" si="63"/>
        <v>804</v>
      </c>
    </row>
    <row r="2022" spans="1:6" x14ac:dyDescent="0.55000000000000004">
      <c r="A2022">
        <v>2.6730237118069891E+17</v>
      </c>
      <c r="B2022" t="s">
        <v>294</v>
      </c>
      <c r="C2022" t="s">
        <v>13</v>
      </c>
      <c r="D2022">
        <v>1200</v>
      </c>
      <c r="E2022" s="4">
        <f t="shared" si="62"/>
        <v>45008</v>
      </c>
      <c r="F2022">
        <f t="shared" si="63"/>
        <v>21</v>
      </c>
    </row>
    <row r="2023" spans="1:6" x14ac:dyDescent="0.55000000000000004">
      <c r="A2023">
        <v>1.33750832693039E+19</v>
      </c>
      <c r="B2023" t="s">
        <v>159</v>
      </c>
      <c r="C2023" t="s">
        <v>13</v>
      </c>
      <c r="D2023">
        <v>378</v>
      </c>
      <c r="E2023" s="4">
        <f t="shared" si="62"/>
        <v>44762</v>
      </c>
      <c r="F2023">
        <f t="shared" si="63"/>
        <v>267</v>
      </c>
    </row>
    <row r="2024" spans="1:6" x14ac:dyDescent="0.55000000000000004">
      <c r="A2024">
        <v>1.351887796399998E+19</v>
      </c>
      <c r="B2024" t="s">
        <v>126</v>
      </c>
      <c r="C2024" t="s">
        <v>13</v>
      </c>
      <c r="D2024">
        <v>385</v>
      </c>
      <c r="E2024" s="4">
        <f t="shared" si="62"/>
        <v>43833</v>
      </c>
      <c r="F2024">
        <f t="shared" si="63"/>
        <v>1196</v>
      </c>
    </row>
    <row r="2025" spans="1:6" x14ac:dyDescent="0.55000000000000004">
      <c r="A2025">
        <v>3.8030632454519009E+18</v>
      </c>
      <c r="B2025" t="s">
        <v>778</v>
      </c>
      <c r="C2025" t="s">
        <v>5</v>
      </c>
      <c r="D2025">
        <v>1350</v>
      </c>
      <c r="E2025" s="4">
        <f t="shared" si="62"/>
        <v>44413</v>
      </c>
      <c r="F2025">
        <f t="shared" si="63"/>
        <v>616</v>
      </c>
    </row>
    <row r="2026" spans="1:6" x14ac:dyDescent="0.55000000000000004">
      <c r="A2026">
        <v>2.2533622592515241E+18</v>
      </c>
      <c r="B2026" t="s">
        <v>909</v>
      </c>
      <c r="C2026" t="s">
        <v>50</v>
      </c>
      <c r="D2026">
        <v>89</v>
      </c>
      <c r="E2026" s="4">
        <f t="shared" si="62"/>
        <v>44496</v>
      </c>
      <c r="F2026">
        <f t="shared" si="63"/>
        <v>533</v>
      </c>
    </row>
    <row r="2027" spans="1:6" x14ac:dyDescent="0.55000000000000004">
      <c r="A2027">
        <v>5.8340963873294909E+18</v>
      </c>
      <c r="B2027" t="s">
        <v>513</v>
      </c>
      <c r="C2027" t="s">
        <v>50</v>
      </c>
      <c r="D2027">
        <v>153</v>
      </c>
      <c r="E2027" s="4">
        <f t="shared" si="62"/>
        <v>44452</v>
      </c>
      <c r="F2027">
        <f t="shared" si="63"/>
        <v>577</v>
      </c>
    </row>
    <row r="2028" spans="1:6" x14ac:dyDescent="0.55000000000000004">
      <c r="A2028">
        <v>8.9447154892374354E+18</v>
      </c>
      <c r="B2028" t="s">
        <v>569</v>
      </c>
      <c r="C2028" t="s">
        <v>10</v>
      </c>
      <c r="D2028">
        <v>2289</v>
      </c>
      <c r="E2028" s="4">
        <f t="shared" si="62"/>
        <v>44273</v>
      </c>
      <c r="F2028">
        <f t="shared" si="63"/>
        <v>756</v>
      </c>
    </row>
    <row r="2029" spans="1:6" x14ac:dyDescent="0.55000000000000004">
      <c r="A2029">
        <v>7.7311230077990822E+17</v>
      </c>
      <c r="B2029" t="s">
        <v>1041</v>
      </c>
      <c r="C2029" t="s">
        <v>10</v>
      </c>
      <c r="D2029">
        <v>1196</v>
      </c>
      <c r="E2029" s="4">
        <f t="shared" si="62"/>
        <v>44780</v>
      </c>
      <c r="F2029">
        <f t="shared" si="63"/>
        <v>249</v>
      </c>
    </row>
    <row r="2030" spans="1:6" x14ac:dyDescent="0.55000000000000004">
      <c r="A2030">
        <v>1.256304617985765E+19</v>
      </c>
      <c r="B2030" t="s">
        <v>1042</v>
      </c>
      <c r="C2030" t="s">
        <v>10</v>
      </c>
      <c r="D2030">
        <v>252</v>
      </c>
      <c r="E2030" s="4">
        <f t="shared" si="62"/>
        <v>44182</v>
      </c>
      <c r="F2030">
        <f t="shared" si="63"/>
        <v>847</v>
      </c>
    </row>
    <row r="2031" spans="1:6" x14ac:dyDescent="0.55000000000000004">
      <c r="A2031">
        <v>7.1818682123350518E+18</v>
      </c>
      <c r="B2031" t="s">
        <v>6</v>
      </c>
      <c r="C2031" t="s">
        <v>13</v>
      </c>
      <c r="D2031">
        <v>269</v>
      </c>
      <c r="E2031" s="4">
        <f t="shared" si="62"/>
        <v>44591</v>
      </c>
      <c r="F2031">
        <f t="shared" si="63"/>
        <v>438</v>
      </c>
    </row>
    <row r="2032" spans="1:6" x14ac:dyDescent="0.55000000000000004">
      <c r="A2032">
        <v>1.695130641619191E+18</v>
      </c>
      <c r="B2032" t="s">
        <v>1043</v>
      </c>
      <c r="C2032" t="s">
        <v>10</v>
      </c>
      <c r="D2032">
        <v>539</v>
      </c>
      <c r="E2032" s="4">
        <f t="shared" si="62"/>
        <v>45029</v>
      </c>
      <c r="F2032">
        <f t="shared" si="63"/>
        <v>0</v>
      </c>
    </row>
    <row r="2033" spans="1:6" x14ac:dyDescent="0.55000000000000004">
      <c r="A2033">
        <v>9.2220926223088968E+18</v>
      </c>
      <c r="B2033" t="s">
        <v>105</v>
      </c>
      <c r="C2033" t="s">
        <v>13</v>
      </c>
      <c r="D2033">
        <v>8297</v>
      </c>
      <c r="E2033" s="4">
        <f t="shared" si="62"/>
        <v>44989</v>
      </c>
      <c r="F2033">
        <f t="shared" si="63"/>
        <v>40</v>
      </c>
    </row>
    <row r="2034" spans="1:6" x14ac:dyDescent="0.55000000000000004">
      <c r="A2034">
        <v>1.753867985580528E+19</v>
      </c>
      <c r="B2034" t="s">
        <v>1044</v>
      </c>
      <c r="C2034" t="s">
        <v>26</v>
      </c>
      <c r="D2034">
        <v>358</v>
      </c>
      <c r="E2034" s="4">
        <f t="shared" si="62"/>
        <v>43768</v>
      </c>
      <c r="F2034">
        <f t="shared" si="63"/>
        <v>1261</v>
      </c>
    </row>
    <row r="2035" spans="1:6" x14ac:dyDescent="0.55000000000000004">
      <c r="A2035">
        <v>4.6573412077654477E+18</v>
      </c>
      <c r="B2035" t="s">
        <v>52</v>
      </c>
      <c r="C2035" t="s">
        <v>26</v>
      </c>
      <c r="D2035">
        <v>1100</v>
      </c>
      <c r="E2035" s="4">
        <f t="shared" si="62"/>
        <v>44896</v>
      </c>
      <c r="F2035">
        <f t="shared" si="63"/>
        <v>133</v>
      </c>
    </row>
    <row r="2036" spans="1:6" x14ac:dyDescent="0.55000000000000004">
      <c r="A2036">
        <v>8.0400317019907297E+18</v>
      </c>
      <c r="B2036" t="s">
        <v>785</v>
      </c>
      <c r="C2036" t="s">
        <v>10</v>
      </c>
      <c r="D2036">
        <v>4288</v>
      </c>
      <c r="E2036" s="4">
        <f t="shared" si="62"/>
        <v>44974</v>
      </c>
      <c r="F2036">
        <f t="shared" si="63"/>
        <v>55</v>
      </c>
    </row>
    <row r="2037" spans="1:6" x14ac:dyDescent="0.55000000000000004">
      <c r="A2037">
        <v>1.464810874174613E+18</v>
      </c>
      <c r="B2037" t="s">
        <v>670</v>
      </c>
      <c r="C2037" t="s">
        <v>7</v>
      </c>
      <c r="D2037">
        <v>62</v>
      </c>
      <c r="E2037" s="4">
        <f t="shared" si="62"/>
        <v>44211</v>
      </c>
      <c r="F2037">
        <f t="shared" si="63"/>
        <v>818</v>
      </c>
    </row>
    <row r="2038" spans="1:6" x14ac:dyDescent="0.55000000000000004">
      <c r="A2038">
        <v>6.3308097158382285E+18</v>
      </c>
      <c r="B2038" t="s">
        <v>130</v>
      </c>
      <c r="C2038" t="s">
        <v>46</v>
      </c>
      <c r="D2038">
        <v>257</v>
      </c>
      <c r="E2038" s="4">
        <f t="shared" si="62"/>
        <v>44627</v>
      </c>
      <c r="F2038">
        <f t="shared" si="63"/>
        <v>402</v>
      </c>
    </row>
    <row r="2039" spans="1:6" x14ac:dyDescent="0.55000000000000004">
      <c r="A2039">
        <v>7.3827463218525409E+18</v>
      </c>
      <c r="B2039" t="s">
        <v>1045</v>
      </c>
      <c r="C2039" t="s">
        <v>13</v>
      </c>
      <c r="D2039">
        <v>4300</v>
      </c>
      <c r="E2039" s="4">
        <f t="shared" si="62"/>
        <v>44827</v>
      </c>
      <c r="F2039">
        <f t="shared" si="63"/>
        <v>202</v>
      </c>
    </row>
    <row r="2040" spans="1:6" x14ac:dyDescent="0.55000000000000004">
      <c r="A2040">
        <v>2.5146266350727972E+18</v>
      </c>
      <c r="B2040" t="s">
        <v>208</v>
      </c>
      <c r="C2040" t="s">
        <v>10</v>
      </c>
      <c r="D2040">
        <v>376</v>
      </c>
      <c r="E2040" s="4">
        <f t="shared" si="62"/>
        <v>44630</v>
      </c>
      <c r="F2040">
        <f t="shared" si="63"/>
        <v>399</v>
      </c>
    </row>
    <row r="2041" spans="1:6" x14ac:dyDescent="0.55000000000000004">
      <c r="A2041">
        <v>1.0672287716018579E+19</v>
      </c>
      <c r="B2041" t="s">
        <v>922</v>
      </c>
      <c r="C2041" t="s">
        <v>13</v>
      </c>
      <c r="D2041">
        <v>3812</v>
      </c>
      <c r="E2041" s="4">
        <f t="shared" si="62"/>
        <v>44216</v>
      </c>
      <c r="F2041">
        <f t="shared" si="63"/>
        <v>813</v>
      </c>
    </row>
    <row r="2042" spans="1:6" x14ac:dyDescent="0.55000000000000004">
      <c r="A2042">
        <v>6.2994961456809595E+18</v>
      </c>
      <c r="B2042" t="s">
        <v>1046</v>
      </c>
      <c r="C2042" t="s">
        <v>13</v>
      </c>
      <c r="D2042">
        <v>695</v>
      </c>
      <c r="E2042" s="4">
        <f t="shared" si="62"/>
        <v>43804</v>
      </c>
      <c r="F2042">
        <f t="shared" si="63"/>
        <v>1225</v>
      </c>
    </row>
    <row r="2043" spans="1:6" x14ac:dyDescent="0.55000000000000004">
      <c r="A2043">
        <v>1.169399923837425E+19</v>
      </c>
      <c r="B2043" t="s">
        <v>282</v>
      </c>
      <c r="C2043" t="s">
        <v>10</v>
      </c>
      <c r="D2043">
        <v>1516</v>
      </c>
      <c r="E2043" s="4">
        <f t="shared" si="62"/>
        <v>44557</v>
      </c>
      <c r="F2043">
        <f t="shared" si="63"/>
        <v>472</v>
      </c>
    </row>
    <row r="2044" spans="1:6" x14ac:dyDescent="0.55000000000000004">
      <c r="A2044">
        <v>1.811954021724073E+19</v>
      </c>
      <c r="B2044" t="s">
        <v>1047</v>
      </c>
      <c r="C2044" t="s">
        <v>13</v>
      </c>
      <c r="D2044">
        <v>5010</v>
      </c>
      <c r="E2044" s="4">
        <f t="shared" si="62"/>
        <v>43702</v>
      </c>
      <c r="F2044">
        <f t="shared" si="63"/>
        <v>1327</v>
      </c>
    </row>
    <row r="2045" spans="1:6" x14ac:dyDescent="0.55000000000000004">
      <c r="A2045">
        <v>1.2418058850637941E+19</v>
      </c>
      <c r="B2045" t="s">
        <v>811</v>
      </c>
      <c r="C2045" t="s">
        <v>7</v>
      </c>
      <c r="D2045">
        <v>357</v>
      </c>
      <c r="E2045" s="4">
        <f t="shared" si="62"/>
        <v>44104</v>
      </c>
      <c r="F2045">
        <f t="shared" si="63"/>
        <v>925</v>
      </c>
    </row>
    <row r="2046" spans="1:6" x14ac:dyDescent="0.55000000000000004">
      <c r="A2046">
        <v>4.7992098544701256E+18</v>
      </c>
      <c r="B2046" t="s">
        <v>1034</v>
      </c>
      <c r="C2046" t="s">
        <v>10</v>
      </c>
      <c r="D2046">
        <v>0</v>
      </c>
      <c r="E2046" s="4">
        <f t="shared" si="62"/>
        <v>44227</v>
      </c>
      <c r="F2046">
        <f t="shared" si="63"/>
        <v>802</v>
      </c>
    </row>
    <row r="2047" spans="1:6" x14ac:dyDescent="0.55000000000000004">
      <c r="A2047">
        <v>1.0761137595070679E+19</v>
      </c>
      <c r="B2047" t="s">
        <v>880</v>
      </c>
      <c r="C2047" t="s">
        <v>10</v>
      </c>
      <c r="D2047">
        <v>2142</v>
      </c>
      <c r="E2047" s="4">
        <f t="shared" si="62"/>
        <v>44430</v>
      </c>
      <c r="F2047">
        <f t="shared" si="63"/>
        <v>599</v>
      </c>
    </row>
    <row r="2048" spans="1:6" x14ac:dyDescent="0.55000000000000004">
      <c r="A2048">
        <v>4.8461358195959821E+17</v>
      </c>
      <c r="B2048" t="s">
        <v>1048</v>
      </c>
      <c r="C2048" t="s">
        <v>13</v>
      </c>
      <c r="D2048">
        <v>34200</v>
      </c>
      <c r="E2048" s="4">
        <f t="shared" si="62"/>
        <v>44364</v>
      </c>
      <c r="F2048">
        <f t="shared" si="63"/>
        <v>665</v>
      </c>
    </row>
    <row r="2049" spans="1:6" x14ac:dyDescent="0.55000000000000004">
      <c r="A2049">
        <v>4.7913437573787628E+18</v>
      </c>
      <c r="B2049" t="s">
        <v>563</v>
      </c>
      <c r="C2049" t="s">
        <v>13</v>
      </c>
      <c r="D2049">
        <v>540</v>
      </c>
      <c r="E2049" s="4">
        <f t="shared" si="62"/>
        <v>43816</v>
      </c>
      <c r="F2049">
        <f t="shared" si="63"/>
        <v>1213</v>
      </c>
    </row>
    <row r="2050" spans="1:6" x14ac:dyDescent="0.55000000000000004">
      <c r="A2050">
        <v>1.746727121862911E+19</v>
      </c>
      <c r="B2050" t="s">
        <v>230</v>
      </c>
      <c r="C2050" t="s">
        <v>13</v>
      </c>
      <c r="D2050">
        <v>3790</v>
      </c>
      <c r="E2050" s="4">
        <f t="shared" si="62"/>
        <v>44252</v>
      </c>
      <c r="F2050">
        <f t="shared" si="63"/>
        <v>777</v>
      </c>
    </row>
    <row r="2051" spans="1:6" x14ac:dyDescent="0.55000000000000004">
      <c r="A2051">
        <v>1.4386736385218251E+19</v>
      </c>
      <c r="B2051" t="s">
        <v>474</v>
      </c>
      <c r="C2051" t="s">
        <v>13</v>
      </c>
      <c r="D2051">
        <v>1800</v>
      </c>
      <c r="E2051" s="4">
        <f t="shared" ref="E2051:E2114" si="64">DATEVALUE(B2051)</f>
        <v>44785</v>
      </c>
      <c r="F2051">
        <f t="shared" ref="F2051:F2114" si="65">$H$1-E2051</f>
        <v>244</v>
      </c>
    </row>
    <row r="2052" spans="1:6" x14ac:dyDescent="0.55000000000000004">
      <c r="A2052">
        <v>4.3931228336396959E+18</v>
      </c>
      <c r="B2052" t="s">
        <v>1049</v>
      </c>
      <c r="C2052" t="s">
        <v>13</v>
      </c>
      <c r="D2052">
        <v>1572</v>
      </c>
      <c r="E2052" s="4">
        <f t="shared" si="64"/>
        <v>44259</v>
      </c>
      <c r="F2052">
        <f t="shared" si="65"/>
        <v>770</v>
      </c>
    </row>
    <row r="2053" spans="1:6" x14ac:dyDescent="0.55000000000000004">
      <c r="A2053">
        <v>1.7526643656921291E+19</v>
      </c>
      <c r="B2053" t="s">
        <v>662</v>
      </c>
      <c r="C2053" t="s">
        <v>13</v>
      </c>
      <c r="D2053">
        <v>3345</v>
      </c>
      <c r="E2053" s="4">
        <f t="shared" si="64"/>
        <v>44523</v>
      </c>
      <c r="F2053">
        <f t="shared" si="65"/>
        <v>506</v>
      </c>
    </row>
    <row r="2054" spans="1:6" x14ac:dyDescent="0.55000000000000004">
      <c r="A2054">
        <v>1.8137111385135651E+19</v>
      </c>
      <c r="B2054" t="s">
        <v>388</v>
      </c>
      <c r="C2054" t="s">
        <v>26</v>
      </c>
      <c r="D2054">
        <v>122</v>
      </c>
      <c r="E2054" s="4">
        <f t="shared" si="64"/>
        <v>43884</v>
      </c>
      <c r="F2054">
        <f t="shared" si="65"/>
        <v>1145</v>
      </c>
    </row>
    <row r="2055" spans="1:6" x14ac:dyDescent="0.55000000000000004">
      <c r="A2055">
        <v>1.1707371591004559E+19</v>
      </c>
      <c r="B2055" t="s">
        <v>1050</v>
      </c>
      <c r="C2055" t="s">
        <v>10</v>
      </c>
      <c r="D2055">
        <v>442</v>
      </c>
      <c r="E2055" s="4">
        <f t="shared" si="64"/>
        <v>44726</v>
      </c>
      <c r="F2055">
        <f t="shared" si="65"/>
        <v>303</v>
      </c>
    </row>
    <row r="2056" spans="1:6" x14ac:dyDescent="0.55000000000000004">
      <c r="A2056">
        <v>1.004436856264552E+19</v>
      </c>
      <c r="B2056" t="s">
        <v>798</v>
      </c>
      <c r="C2056" t="s">
        <v>46</v>
      </c>
      <c r="D2056">
        <v>455</v>
      </c>
      <c r="E2056" s="4">
        <f t="shared" si="64"/>
        <v>44604</v>
      </c>
      <c r="F2056">
        <f t="shared" si="65"/>
        <v>425</v>
      </c>
    </row>
    <row r="2057" spans="1:6" x14ac:dyDescent="0.55000000000000004">
      <c r="A2057">
        <v>2.8520025775292242E+18</v>
      </c>
      <c r="B2057" t="s">
        <v>1051</v>
      </c>
      <c r="C2057" t="s">
        <v>10</v>
      </c>
      <c r="D2057">
        <v>35</v>
      </c>
      <c r="E2057" s="4">
        <f t="shared" si="64"/>
        <v>43571</v>
      </c>
      <c r="F2057">
        <f t="shared" si="65"/>
        <v>1458</v>
      </c>
    </row>
    <row r="2058" spans="1:6" x14ac:dyDescent="0.55000000000000004">
      <c r="A2058">
        <v>1.353243066773127E+19</v>
      </c>
      <c r="B2058" t="s">
        <v>1052</v>
      </c>
      <c r="C2058" t="s">
        <v>7</v>
      </c>
      <c r="D2058">
        <v>1327</v>
      </c>
      <c r="E2058" s="4">
        <f t="shared" si="64"/>
        <v>43878</v>
      </c>
      <c r="F2058">
        <f t="shared" si="65"/>
        <v>1151</v>
      </c>
    </row>
    <row r="2059" spans="1:6" x14ac:dyDescent="0.55000000000000004">
      <c r="A2059">
        <v>7.4657880540474552E+18</v>
      </c>
      <c r="B2059" t="s">
        <v>11</v>
      </c>
      <c r="C2059" t="s">
        <v>10</v>
      </c>
      <c r="D2059">
        <v>1114</v>
      </c>
      <c r="E2059" s="4">
        <f t="shared" si="64"/>
        <v>44923</v>
      </c>
      <c r="F2059">
        <f t="shared" si="65"/>
        <v>106</v>
      </c>
    </row>
    <row r="2060" spans="1:6" x14ac:dyDescent="0.55000000000000004">
      <c r="A2060">
        <v>1.6665605870802829E+19</v>
      </c>
      <c r="B2060" t="s">
        <v>406</v>
      </c>
      <c r="C2060" t="s">
        <v>46</v>
      </c>
      <c r="D2060">
        <v>1600</v>
      </c>
      <c r="E2060" s="4">
        <f t="shared" si="64"/>
        <v>44415</v>
      </c>
      <c r="F2060">
        <f t="shared" si="65"/>
        <v>614</v>
      </c>
    </row>
    <row r="2061" spans="1:6" x14ac:dyDescent="0.55000000000000004">
      <c r="A2061">
        <v>5.2725860293849027E+18</v>
      </c>
      <c r="B2061" t="s">
        <v>366</v>
      </c>
      <c r="C2061" t="s">
        <v>13</v>
      </c>
      <c r="D2061">
        <v>607</v>
      </c>
      <c r="E2061" s="4">
        <f t="shared" si="64"/>
        <v>44746</v>
      </c>
      <c r="F2061">
        <f t="shared" si="65"/>
        <v>283</v>
      </c>
    </row>
    <row r="2062" spans="1:6" x14ac:dyDescent="0.55000000000000004">
      <c r="A2062">
        <v>1.5997309967392891E+19</v>
      </c>
      <c r="B2062" t="s">
        <v>206</v>
      </c>
      <c r="C2062" t="s">
        <v>26</v>
      </c>
      <c r="D2062">
        <v>1947</v>
      </c>
      <c r="E2062" s="4">
        <f t="shared" si="64"/>
        <v>44970</v>
      </c>
      <c r="F2062">
        <f t="shared" si="65"/>
        <v>59</v>
      </c>
    </row>
    <row r="2063" spans="1:6" x14ac:dyDescent="0.55000000000000004">
      <c r="A2063">
        <v>7.6017591493459118E+18</v>
      </c>
      <c r="B2063" t="s">
        <v>422</v>
      </c>
      <c r="C2063" t="s">
        <v>46</v>
      </c>
      <c r="D2063">
        <v>242</v>
      </c>
      <c r="E2063" s="4">
        <f t="shared" si="64"/>
        <v>44967</v>
      </c>
      <c r="F2063">
        <f t="shared" si="65"/>
        <v>62</v>
      </c>
    </row>
    <row r="2064" spans="1:6" x14ac:dyDescent="0.55000000000000004">
      <c r="A2064">
        <v>8.7531651469895475E+18</v>
      </c>
      <c r="B2064" t="s">
        <v>1053</v>
      </c>
      <c r="C2064" t="s">
        <v>13</v>
      </c>
      <c r="D2064">
        <v>1484</v>
      </c>
      <c r="E2064" s="4">
        <f t="shared" si="64"/>
        <v>44244</v>
      </c>
      <c r="F2064">
        <f t="shared" si="65"/>
        <v>785</v>
      </c>
    </row>
    <row r="2065" spans="1:6" x14ac:dyDescent="0.55000000000000004">
      <c r="A2065">
        <v>1.73052055947601E+19</v>
      </c>
      <c r="B2065" t="s">
        <v>1054</v>
      </c>
      <c r="C2065" t="s">
        <v>13</v>
      </c>
      <c r="D2065">
        <v>357</v>
      </c>
      <c r="E2065" s="4">
        <f t="shared" si="64"/>
        <v>44119</v>
      </c>
      <c r="F2065">
        <f t="shared" si="65"/>
        <v>910</v>
      </c>
    </row>
    <row r="2066" spans="1:6" x14ac:dyDescent="0.55000000000000004">
      <c r="A2066">
        <v>1.5473358029831711E+19</v>
      </c>
      <c r="B2066" t="s">
        <v>39</v>
      </c>
      <c r="C2066" t="s">
        <v>13</v>
      </c>
      <c r="D2066">
        <v>957</v>
      </c>
      <c r="E2066" s="4">
        <f t="shared" si="64"/>
        <v>44285</v>
      </c>
      <c r="F2066">
        <f t="shared" si="65"/>
        <v>744</v>
      </c>
    </row>
    <row r="2067" spans="1:6" x14ac:dyDescent="0.55000000000000004">
      <c r="A2067">
        <v>7.8378446372614328E+18</v>
      </c>
      <c r="B2067" t="s">
        <v>126</v>
      </c>
      <c r="C2067" t="s">
        <v>7</v>
      </c>
      <c r="D2067">
        <v>53</v>
      </c>
      <c r="E2067" s="4">
        <f t="shared" si="64"/>
        <v>43833</v>
      </c>
      <c r="F2067">
        <f t="shared" si="65"/>
        <v>1196</v>
      </c>
    </row>
    <row r="2068" spans="1:6" x14ac:dyDescent="0.55000000000000004">
      <c r="A2068">
        <v>1.815082326075271E+19</v>
      </c>
      <c r="B2068" t="s">
        <v>1019</v>
      </c>
      <c r="C2068" t="s">
        <v>10</v>
      </c>
      <c r="D2068">
        <v>1239</v>
      </c>
      <c r="E2068" s="4">
        <f t="shared" si="64"/>
        <v>44065</v>
      </c>
      <c r="F2068">
        <f t="shared" si="65"/>
        <v>964</v>
      </c>
    </row>
    <row r="2069" spans="1:6" x14ac:dyDescent="0.55000000000000004">
      <c r="A2069">
        <v>1.162860962495036E+19</v>
      </c>
      <c r="B2069" t="s">
        <v>437</v>
      </c>
      <c r="C2069" t="s">
        <v>13</v>
      </c>
      <c r="D2069">
        <v>4390</v>
      </c>
      <c r="E2069" s="4">
        <f t="shared" si="64"/>
        <v>44658</v>
      </c>
      <c r="F2069">
        <f t="shared" si="65"/>
        <v>371</v>
      </c>
    </row>
    <row r="2070" spans="1:6" x14ac:dyDescent="0.55000000000000004">
      <c r="A2070">
        <v>1.7057264045690991E+19</v>
      </c>
      <c r="B2070" t="s">
        <v>1055</v>
      </c>
      <c r="C2070" t="s">
        <v>10</v>
      </c>
      <c r="D2070">
        <v>664</v>
      </c>
      <c r="E2070" s="4">
        <f t="shared" si="64"/>
        <v>44408</v>
      </c>
      <c r="F2070">
        <f t="shared" si="65"/>
        <v>621</v>
      </c>
    </row>
    <row r="2071" spans="1:6" x14ac:dyDescent="0.55000000000000004">
      <c r="A2071">
        <v>6.5055564192307231E+18</v>
      </c>
      <c r="B2071" t="s">
        <v>683</v>
      </c>
      <c r="C2071" t="s">
        <v>13</v>
      </c>
      <c r="D2071">
        <v>374</v>
      </c>
      <c r="E2071" s="4">
        <f t="shared" si="64"/>
        <v>44652</v>
      </c>
      <c r="F2071">
        <f t="shared" si="65"/>
        <v>377</v>
      </c>
    </row>
    <row r="2072" spans="1:6" x14ac:dyDescent="0.55000000000000004">
      <c r="A2072">
        <v>1.51815318591329E+18</v>
      </c>
      <c r="B2072" t="s">
        <v>334</v>
      </c>
      <c r="C2072" t="s">
        <v>13</v>
      </c>
      <c r="D2072">
        <v>969</v>
      </c>
      <c r="E2072" s="4">
        <f t="shared" si="64"/>
        <v>44915</v>
      </c>
      <c r="F2072">
        <f t="shared" si="65"/>
        <v>114</v>
      </c>
    </row>
    <row r="2073" spans="1:6" x14ac:dyDescent="0.55000000000000004">
      <c r="A2073">
        <v>8.8435373430543657E+18</v>
      </c>
      <c r="B2073" t="s">
        <v>719</v>
      </c>
      <c r="C2073" t="s">
        <v>13</v>
      </c>
      <c r="D2073">
        <v>318</v>
      </c>
      <c r="E2073" s="4">
        <f t="shared" si="64"/>
        <v>44045</v>
      </c>
      <c r="F2073">
        <f t="shared" si="65"/>
        <v>984</v>
      </c>
    </row>
    <row r="2074" spans="1:6" x14ac:dyDescent="0.55000000000000004">
      <c r="A2074">
        <v>7.2685606215086868E+18</v>
      </c>
      <c r="B2074" t="s">
        <v>187</v>
      </c>
      <c r="C2074" t="s">
        <v>7</v>
      </c>
      <c r="D2074">
        <v>579</v>
      </c>
      <c r="E2074" s="4">
        <f t="shared" si="64"/>
        <v>44156</v>
      </c>
      <c r="F2074">
        <f t="shared" si="65"/>
        <v>873</v>
      </c>
    </row>
    <row r="2075" spans="1:6" x14ac:dyDescent="0.55000000000000004">
      <c r="A2075">
        <v>5.7314394643560571E+18</v>
      </c>
      <c r="B2075" t="s">
        <v>1056</v>
      </c>
      <c r="C2075" t="s">
        <v>7</v>
      </c>
      <c r="D2075">
        <v>403</v>
      </c>
      <c r="E2075" s="4">
        <f t="shared" si="64"/>
        <v>44406</v>
      </c>
      <c r="F2075">
        <f t="shared" si="65"/>
        <v>623</v>
      </c>
    </row>
    <row r="2076" spans="1:6" x14ac:dyDescent="0.55000000000000004">
      <c r="A2076">
        <v>2.4981247657363702E+18</v>
      </c>
      <c r="B2076" t="s">
        <v>340</v>
      </c>
      <c r="C2076" t="s">
        <v>26</v>
      </c>
      <c r="D2076">
        <v>127</v>
      </c>
      <c r="E2076" s="4">
        <f t="shared" si="64"/>
        <v>45002</v>
      </c>
      <c r="F2076">
        <f t="shared" si="65"/>
        <v>27</v>
      </c>
    </row>
    <row r="2077" spans="1:6" x14ac:dyDescent="0.55000000000000004">
      <c r="A2077">
        <v>7.7337721717866086E+18</v>
      </c>
      <c r="B2077" t="s">
        <v>360</v>
      </c>
      <c r="C2077" t="s">
        <v>10</v>
      </c>
      <c r="D2077">
        <v>2310</v>
      </c>
      <c r="E2077" s="4">
        <f t="shared" si="64"/>
        <v>44995</v>
      </c>
      <c r="F2077">
        <f t="shared" si="65"/>
        <v>34</v>
      </c>
    </row>
    <row r="2078" spans="1:6" x14ac:dyDescent="0.55000000000000004">
      <c r="A2078">
        <v>3.8673138421728932E+18</v>
      </c>
      <c r="B2078" t="s">
        <v>271</v>
      </c>
      <c r="C2078" t="s">
        <v>7</v>
      </c>
      <c r="D2078">
        <v>2593</v>
      </c>
      <c r="E2078" s="4">
        <f t="shared" si="64"/>
        <v>44962</v>
      </c>
      <c r="F2078">
        <f t="shared" si="65"/>
        <v>67</v>
      </c>
    </row>
    <row r="2079" spans="1:6" x14ac:dyDescent="0.55000000000000004">
      <c r="A2079">
        <v>1.780933424292872E+19</v>
      </c>
      <c r="B2079" t="s">
        <v>359</v>
      </c>
      <c r="C2079" t="s">
        <v>10</v>
      </c>
      <c r="D2079">
        <v>580</v>
      </c>
      <c r="E2079" s="4">
        <f t="shared" si="64"/>
        <v>44824</v>
      </c>
      <c r="F2079">
        <f t="shared" si="65"/>
        <v>205</v>
      </c>
    </row>
    <row r="2080" spans="1:6" x14ac:dyDescent="0.55000000000000004">
      <c r="A2080">
        <v>1.6502892064455491E+18</v>
      </c>
      <c r="B2080" t="s">
        <v>517</v>
      </c>
      <c r="C2080" t="s">
        <v>7</v>
      </c>
      <c r="D2080">
        <v>35</v>
      </c>
      <c r="E2080" s="4">
        <f t="shared" si="64"/>
        <v>44015</v>
      </c>
      <c r="F2080">
        <f t="shared" si="65"/>
        <v>1014</v>
      </c>
    </row>
    <row r="2081" spans="1:6" x14ac:dyDescent="0.55000000000000004">
      <c r="A2081">
        <v>1.3087525420781629E+18</v>
      </c>
      <c r="B2081" t="s">
        <v>107</v>
      </c>
      <c r="C2081" t="s">
        <v>13</v>
      </c>
      <c r="D2081">
        <v>1481</v>
      </c>
      <c r="E2081" s="4">
        <f t="shared" si="64"/>
        <v>45019</v>
      </c>
      <c r="F2081">
        <f t="shared" si="65"/>
        <v>10</v>
      </c>
    </row>
    <row r="2082" spans="1:6" x14ac:dyDescent="0.55000000000000004">
      <c r="A2082">
        <v>3.1248014644552192E+18</v>
      </c>
      <c r="B2082" t="s">
        <v>298</v>
      </c>
      <c r="C2082" t="s">
        <v>7</v>
      </c>
      <c r="D2082">
        <v>113</v>
      </c>
      <c r="E2082" s="4">
        <f t="shared" si="64"/>
        <v>44682</v>
      </c>
      <c r="F2082">
        <f t="shared" si="65"/>
        <v>347</v>
      </c>
    </row>
    <row r="2083" spans="1:6" x14ac:dyDescent="0.55000000000000004">
      <c r="A2083">
        <v>1.758784029319852E+19</v>
      </c>
      <c r="B2083" t="s">
        <v>745</v>
      </c>
      <c r="C2083" t="s">
        <v>13</v>
      </c>
      <c r="D2083">
        <v>1576</v>
      </c>
      <c r="E2083" s="4">
        <f t="shared" si="64"/>
        <v>44074</v>
      </c>
      <c r="F2083">
        <f t="shared" si="65"/>
        <v>955</v>
      </c>
    </row>
    <row r="2084" spans="1:6" x14ac:dyDescent="0.55000000000000004">
      <c r="A2084">
        <v>1.3410837503769211E+19</v>
      </c>
      <c r="B2084" t="s">
        <v>211</v>
      </c>
      <c r="C2084" t="s">
        <v>10</v>
      </c>
      <c r="D2084">
        <v>915</v>
      </c>
      <c r="E2084" s="4">
        <f t="shared" si="64"/>
        <v>44519</v>
      </c>
      <c r="F2084">
        <f t="shared" si="65"/>
        <v>510</v>
      </c>
    </row>
    <row r="2085" spans="1:6" x14ac:dyDescent="0.55000000000000004">
      <c r="A2085">
        <v>3.113980125917739E+18</v>
      </c>
      <c r="B2085" t="s">
        <v>139</v>
      </c>
      <c r="C2085" t="s">
        <v>13</v>
      </c>
      <c r="D2085">
        <v>1539</v>
      </c>
      <c r="E2085" s="4">
        <f t="shared" si="64"/>
        <v>44125</v>
      </c>
      <c r="F2085">
        <f t="shared" si="65"/>
        <v>904</v>
      </c>
    </row>
    <row r="2086" spans="1:6" x14ac:dyDescent="0.55000000000000004">
      <c r="A2086">
        <v>7.0215235198250227E+17</v>
      </c>
      <c r="B2086" t="s">
        <v>706</v>
      </c>
      <c r="C2086" t="s">
        <v>13</v>
      </c>
      <c r="D2086">
        <v>2594</v>
      </c>
      <c r="E2086" s="4">
        <f t="shared" si="64"/>
        <v>44646</v>
      </c>
      <c r="F2086">
        <f t="shared" si="65"/>
        <v>383</v>
      </c>
    </row>
    <row r="2087" spans="1:6" x14ac:dyDescent="0.55000000000000004">
      <c r="A2087">
        <v>1.5103585447139899E+19</v>
      </c>
      <c r="B2087" t="s">
        <v>560</v>
      </c>
      <c r="C2087" t="s">
        <v>13</v>
      </c>
      <c r="D2087">
        <v>366</v>
      </c>
      <c r="E2087" s="4">
        <f t="shared" si="64"/>
        <v>44985</v>
      </c>
      <c r="F2087">
        <f t="shared" si="65"/>
        <v>44</v>
      </c>
    </row>
    <row r="2088" spans="1:6" x14ac:dyDescent="0.55000000000000004">
      <c r="A2088">
        <v>3.9337276893371848E+18</v>
      </c>
      <c r="B2088" t="s">
        <v>362</v>
      </c>
      <c r="C2088" t="s">
        <v>10</v>
      </c>
      <c r="D2088">
        <v>2559</v>
      </c>
      <c r="E2088" s="4">
        <f t="shared" si="64"/>
        <v>44164</v>
      </c>
      <c r="F2088">
        <f t="shared" si="65"/>
        <v>865</v>
      </c>
    </row>
    <row r="2089" spans="1:6" x14ac:dyDescent="0.55000000000000004">
      <c r="A2089">
        <v>4.2650534554014602E+18</v>
      </c>
      <c r="B2089" t="s">
        <v>578</v>
      </c>
      <c r="C2089" t="s">
        <v>50</v>
      </c>
      <c r="D2089">
        <v>65</v>
      </c>
      <c r="E2089" s="4">
        <f t="shared" si="64"/>
        <v>44590</v>
      </c>
      <c r="F2089">
        <f t="shared" si="65"/>
        <v>439</v>
      </c>
    </row>
    <row r="2090" spans="1:6" x14ac:dyDescent="0.55000000000000004">
      <c r="A2090">
        <v>4.0114768138737981E+18</v>
      </c>
      <c r="B2090" t="s">
        <v>1057</v>
      </c>
      <c r="C2090" t="s">
        <v>50</v>
      </c>
      <c r="D2090">
        <v>540</v>
      </c>
      <c r="E2090" s="4">
        <f t="shared" si="64"/>
        <v>43646</v>
      </c>
      <c r="F2090">
        <f t="shared" si="65"/>
        <v>1383</v>
      </c>
    </row>
    <row r="2091" spans="1:6" x14ac:dyDescent="0.55000000000000004">
      <c r="A2091">
        <v>8.4138462489579254E+18</v>
      </c>
      <c r="B2091" t="s">
        <v>507</v>
      </c>
      <c r="C2091" t="s">
        <v>13</v>
      </c>
      <c r="D2091">
        <v>660</v>
      </c>
      <c r="E2091" s="4">
        <f t="shared" si="64"/>
        <v>44581</v>
      </c>
      <c r="F2091">
        <f t="shared" si="65"/>
        <v>448</v>
      </c>
    </row>
    <row r="2092" spans="1:6" x14ac:dyDescent="0.55000000000000004">
      <c r="A2092">
        <v>1.3923104189276819E+19</v>
      </c>
      <c r="B2092" t="s">
        <v>138</v>
      </c>
      <c r="C2092" t="s">
        <v>10</v>
      </c>
      <c r="D2092">
        <v>1588</v>
      </c>
      <c r="E2092" s="4">
        <f t="shared" si="64"/>
        <v>44320</v>
      </c>
      <c r="F2092">
        <f t="shared" si="65"/>
        <v>709</v>
      </c>
    </row>
    <row r="2093" spans="1:6" x14ac:dyDescent="0.55000000000000004">
      <c r="A2093">
        <v>1.5835843431138941E+19</v>
      </c>
      <c r="B2093" t="s">
        <v>1058</v>
      </c>
      <c r="C2093" t="s">
        <v>7</v>
      </c>
      <c r="D2093">
        <v>56</v>
      </c>
      <c r="E2093" s="4">
        <f t="shared" si="64"/>
        <v>43879</v>
      </c>
      <c r="F2093">
        <f t="shared" si="65"/>
        <v>1150</v>
      </c>
    </row>
    <row r="2094" spans="1:6" x14ac:dyDescent="0.55000000000000004">
      <c r="A2094">
        <v>1.732278700249387E+19</v>
      </c>
      <c r="B2094" t="s">
        <v>588</v>
      </c>
      <c r="C2094" t="s">
        <v>13</v>
      </c>
      <c r="D2094">
        <v>385</v>
      </c>
      <c r="E2094" s="4">
        <f t="shared" si="64"/>
        <v>43822</v>
      </c>
      <c r="F2094">
        <f t="shared" si="65"/>
        <v>1207</v>
      </c>
    </row>
    <row r="2095" spans="1:6" x14ac:dyDescent="0.55000000000000004">
      <c r="A2095">
        <v>1.3563156145143859E+19</v>
      </c>
      <c r="B2095" t="s">
        <v>903</v>
      </c>
      <c r="C2095" t="s">
        <v>10</v>
      </c>
      <c r="D2095">
        <v>207</v>
      </c>
      <c r="E2095" s="4">
        <f t="shared" si="64"/>
        <v>43894</v>
      </c>
      <c r="F2095">
        <f t="shared" si="65"/>
        <v>1135</v>
      </c>
    </row>
    <row r="2096" spans="1:6" x14ac:dyDescent="0.55000000000000004">
      <c r="A2096">
        <v>4.094269431837227E+18</v>
      </c>
      <c r="B2096" t="s">
        <v>1059</v>
      </c>
      <c r="C2096" t="s">
        <v>10</v>
      </c>
      <c r="D2096">
        <v>1991</v>
      </c>
      <c r="E2096" s="4">
        <f t="shared" si="64"/>
        <v>44735</v>
      </c>
      <c r="F2096">
        <f t="shared" si="65"/>
        <v>294</v>
      </c>
    </row>
    <row r="2097" spans="1:6" x14ac:dyDescent="0.55000000000000004">
      <c r="A2097">
        <v>4.4233063623482399E+18</v>
      </c>
      <c r="B2097" t="s">
        <v>1060</v>
      </c>
      <c r="C2097" t="s">
        <v>7</v>
      </c>
      <c r="D2097">
        <v>523</v>
      </c>
      <c r="E2097" s="4">
        <f t="shared" si="64"/>
        <v>44732</v>
      </c>
      <c r="F2097">
        <f t="shared" si="65"/>
        <v>297</v>
      </c>
    </row>
    <row r="2098" spans="1:6" x14ac:dyDescent="0.55000000000000004">
      <c r="A2098">
        <v>1.671170596198391E+19</v>
      </c>
      <c r="B2098" t="s">
        <v>1061</v>
      </c>
      <c r="C2098" t="s">
        <v>13</v>
      </c>
      <c r="D2098">
        <v>1383</v>
      </c>
      <c r="E2098" s="4">
        <f t="shared" si="64"/>
        <v>44654</v>
      </c>
      <c r="F2098">
        <f t="shared" si="65"/>
        <v>375</v>
      </c>
    </row>
    <row r="2099" spans="1:6" x14ac:dyDescent="0.55000000000000004">
      <c r="A2099">
        <v>6.2303015627692554E+18</v>
      </c>
      <c r="B2099" t="s">
        <v>300</v>
      </c>
      <c r="C2099" t="s">
        <v>10</v>
      </c>
      <c r="D2099">
        <v>1299</v>
      </c>
      <c r="E2099" s="4">
        <f t="shared" si="64"/>
        <v>44245</v>
      </c>
      <c r="F2099">
        <f t="shared" si="65"/>
        <v>784</v>
      </c>
    </row>
    <row r="2100" spans="1:6" x14ac:dyDescent="0.55000000000000004">
      <c r="A2100">
        <v>5.5885706773209549E+18</v>
      </c>
      <c r="B2100" t="s">
        <v>1062</v>
      </c>
      <c r="C2100" t="s">
        <v>10</v>
      </c>
      <c r="D2100">
        <v>3200</v>
      </c>
      <c r="E2100" s="4">
        <f t="shared" si="64"/>
        <v>43863</v>
      </c>
      <c r="F2100">
        <f t="shared" si="65"/>
        <v>1166</v>
      </c>
    </row>
    <row r="2101" spans="1:6" x14ac:dyDescent="0.55000000000000004">
      <c r="A2101">
        <v>1.708265761661158E+19</v>
      </c>
      <c r="B2101" t="s">
        <v>585</v>
      </c>
      <c r="C2101" t="s">
        <v>10</v>
      </c>
      <c r="D2101">
        <v>507</v>
      </c>
      <c r="E2101" s="4">
        <f t="shared" si="64"/>
        <v>44860</v>
      </c>
      <c r="F2101">
        <f t="shared" si="65"/>
        <v>169</v>
      </c>
    </row>
    <row r="2102" spans="1:6" x14ac:dyDescent="0.55000000000000004">
      <c r="A2102">
        <v>1.5679140564797399E+19</v>
      </c>
      <c r="B2102" t="s">
        <v>374</v>
      </c>
      <c r="C2102" t="s">
        <v>5</v>
      </c>
      <c r="D2102">
        <v>400</v>
      </c>
      <c r="E2102" s="4">
        <f t="shared" si="64"/>
        <v>44610</v>
      </c>
      <c r="F2102">
        <f t="shared" si="65"/>
        <v>419</v>
      </c>
    </row>
    <row r="2103" spans="1:6" x14ac:dyDescent="0.55000000000000004">
      <c r="A2103">
        <v>1.5372990738145679E+19</v>
      </c>
      <c r="B2103" t="s">
        <v>1015</v>
      </c>
      <c r="C2103" t="s">
        <v>13</v>
      </c>
      <c r="D2103">
        <v>1068</v>
      </c>
      <c r="E2103" s="4">
        <f t="shared" si="64"/>
        <v>44440</v>
      </c>
      <c r="F2103">
        <f t="shared" si="65"/>
        <v>589</v>
      </c>
    </row>
    <row r="2104" spans="1:6" x14ac:dyDescent="0.55000000000000004">
      <c r="A2104">
        <v>1.0512258066659389E+19</v>
      </c>
      <c r="B2104" t="s">
        <v>400</v>
      </c>
      <c r="C2104" t="s">
        <v>7</v>
      </c>
      <c r="D2104">
        <v>780</v>
      </c>
      <c r="E2104" s="4">
        <f t="shared" si="64"/>
        <v>44675</v>
      </c>
      <c r="F2104">
        <f t="shared" si="65"/>
        <v>354</v>
      </c>
    </row>
    <row r="2105" spans="1:6" x14ac:dyDescent="0.55000000000000004">
      <c r="A2105">
        <v>6.6423141965100452E+18</v>
      </c>
      <c r="B2105" t="s">
        <v>216</v>
      </c>
      <c r="C2105" t="s">
        <v>50</v>
      </c>
      <c r="D2105">
        <v>236</v>
      </c>
      <c r="E2105" s="4">
        <f t="shared" si="64"/>
        <v>44027</v>
      </c>
      <c r="F2105">
        <f t="shared" si="65"/>
        <v>1002</v>
      </c>
    </row>
    <row r="2106" spans="1:6" x14ac:dyDescent="0.55000000000000004">
      <c r="A2106">
        <v>6.8623891938470922E+18</v>
      </c>
      <c r="B2106" t="s">
        <v>1063</v>
      </c>
      <c r="C2106" t="s">
        <v>26</v>
      </c>
      <c r="D2106">
        <v>171</v>
      </c>
      <c r="E2106" s="4">
        <f t="shared" si="64"/>
        <v>44202</v>
      </c>
      <c r="F2106">
        <f t="shared" si="65"/>
        <v>827</v>
      </c>
    </row>
    <row r="2107" spans="1:6" x14ac:dyDescent="0.55000000000000004">
      <c r="A2107">
        <v>3.1915338919570048E+18</v>
      </c>
      <c r="B2107" t="s">
        <v>278</v>
      </c>
      <c r="C2107" t="s">
        <v>13</v>
      </c>
      <c r="D2107">
        <v>1178</v>
      </c>
      <c r="E2107" s="4">
        <f t="shared" si="64"/>
        <v>44222</v>
      </c>
      <c r="F2107">
        <f t="shared" si="65"/>
        <v>807</v>
      </c>
    </row>
    <row r="2108" spans="1:6" x14ac:dyDescent="0.55000000000000004">
      <c r="A2108">
        <v>8.6532902772659466E+18</v>
      </c>
      <c r="B2108" t="s">
        <v>963</v>
      </c>
      <c r="C2108" t="s">
        <v>10</v>
      </c>
      <c r="D2108">
        <v>388</v>
      </c>
      <c r="E2108" s="4">
        <f t="shared" si="64"/>
        <v>44035</v>
      </c>
      <c r="F2108">
        <f t="shared" si="65"/>
        <v>994</v>
      </c>
    </row>
    <row r="2109" spans="1:6" x14ac:dyDescent="0.55000000000000004">
      <c r="A2109">
        <v>3.508511586932777E+18</v>
      </c>
      <c r="B2109" t="s">
        <v>664</v>
      </c>
      <c r="C2109" t="s">
        <v>7</v>
      </c>
      <c r="D2109">
        <v>50</v>
      </c>
      <c r="E2109" s="4">
        <f t="shared" si="64"/>
        <v>44367</v>
      </c>
      <c r="F2109">
        <f t="shared" si="65"/>
        <v>662</v>
      </c>
    </row>
    <row r="2110" spans="1:6" x14ac:dyDescent="0.55000000000000004">
      <c r="A2110">
        <v>4.9010360200738509E+18</v>
      </c>
      <c r="B2110" t="s">
        <v>154</v>
      </c>
      <c r="C2110" t="s">
        <v>10</v>
      </c>
      <c r="D2110">
        <v>2638</v>
      </c>
      <c r="E2110" s="4">
        <f t="shared" si="64"/>
        <v>44884</v>
      </c>
      <c r="F2110">
        <f t="shared" si="65"/>
        <v>145</v>
      </c>
    </row>
    <row r="2111" spans="1:6" x14ac:dyDescent="0.55000000000000004">
      <c r="A2111">
        <v>1.6701735048719409E+19</v>
      </c>
      <c r="B2111" t="s">
        <v>197</v>
      </c>
      <c r="C2111" t="s">
        <v>10</v>
      </c>
      <c r="D2111">
        <v>676</v>
      </c>
      <c r="E2111" s="4">
        <f t="shared" si="64"/>
        <v>45003</v>
      </c>
      <c r="F2111">
        <f t="shared" si="65"/>
        <v>26</v>
      </c>
    </row>
    <row r="2112" spans="1:6" x14ac:dyDescent="0.55000000000000004">
      <c r="A2112">
        <v>2.4955275502023101E+18</v>
      </c>
      <c r="B2112" t="s">
        <v>537</v>
      </c>
      <c r="C2112" t="s">
        <v>10</v>
      </c>
      <c r="D2112">
        <v>3960</v>
      </c>
      <c r="E2112" s="4">
        <f t="shared" si="64"/>
        <v>44617</v>
      </c>
      <c r="F2112">
        <f t="shared" si="65"/>
        <v>412</v>
      </c>
    </row>
    <row r="2113" spans="1:6" x14ac:dyDescent="0.55000000000000004">
      <c r="A2113">
        <v>6.9217811551564902E+17</v>
      </c>
      <c r="B2113" t="s">
        <v>1064</v>
      </c>
      <c r="C2113" t="s">
        <v>13</v>
      </c>
      <c r="D2113">
        <v>208</v>
      </c>
      <c r="E2113" s="4">
        <f t="shared" si="64"/>
        <v>44069</v>
      </c>
      <c r="F2113">
        <f t="shared" si="65"/>
        <v>960</v>
      </c>
    </row>
    <row r="2114" spans="1:6" x14ac:dyDescent="0.55000000000000004">
      <c r="A2114">
        <v>5.8446676842090926E+18</v>
      </c>
      <c r="B2114" t="s">
        <v>721</v>
      </c>
      <c r="C2114" t="s">
        <v>13</v>
      </c>
      <c r="D2114">
        <v>520</v>
      </c>
      <c r="E2114" s="4">
        <f t="shared" si="64"/>
        <v>44876</v>
      </c>
      <c r="F2114">
        <f t="shared" si="65"/>
        <v>153</v>
      </c>
    </row>
    <row r="2115" spans="1:6" x14ac:dyDescent="0.55000000000000004">
      <c r="A2115">
        <v>5.3973038049061745E+18</v>
      </c>
      <c r="B2115" t="s">
        <v>796</v>
      </c>
      <c r="C2115" t="s">
        <v>7</v>
      </c>
      <c r="D2115">
        <v>32225</v>
      </c>
      <c r="E2115" s="4">
        <f t="shared" ref="E2115:E2178" si="66">DATEVALUE(B2115)</f>
        <v>44100</v>
      </c>
      <c r="F2115">
        <f t="shared" ref="F2115:F2178" si="67">$H$1-E2115</f>
        <v>929</v>
      </c>
    </row>
    <row r="2116" spans="1:6" x14ac:dyDescent="0.55000000000000004">
      <c r="A2116">
        <v>6.0699786435620608E+18</v>
      </c>
      <c r="B2116" t="s">
        <v>1065</v>
      </c>
      <c r="C2116" t="s">
        <v>13</v>
      </c>
      <c r="D2116">
        <v>849</v>
      </c>
      <c r="E2116" s="4">
        <f t="shared" si="66"/>
        <v>44242</v>
      </c>
      <c r="F2116">
        <f t="shared" si="67"/>
        <v>787</v>
      </c>
    </row>
    <row r="2117" spans="1:6" x14ac:dyDescent="0.55000000000000004">
      <c r="A2117">
        <v>7.2685606215086868E+18</v>
      </c>
      <c r="B2117" t="s">
        <v>1066</v>
      </c>
      <c r="C2117" t="s">
        <v>13</v>
      </c>
      <c r="D2117">
        <v>2284</v>
      </c>
      <c r="E2117" s="4">
        <f t="shared" si="66"/>
        <v>44187</v>
      </c>
      <c r="F2117">
        <f t="shared" si="67"/>
        <v>842</v>
      </c>
    </row>
    <row r="2118" spans="1:6" x14ac:dyDescent="0.55000000000000004">
      <c r="A2118">
        <v>8.6127016178122445E+18</v>
      </c>
      <c r="B2118" t="s">
        <v>888</v>
      </c>
      <c r="C2118" t="s">
        <v>13</v>
      </c>
      <c r="D2118">
        <v>652</v>
      </c>
      <c r="E2118" s="4">
        <f t="shared" si="66"/>
        <v>43867</v>
      </c>
      <c r="F2118">
        <f t="shared" si="67"/>
        <v>1162</v>
      </c>
    </row>
    <row r="2119" spans="1:6" x14ac:dyDescent="0.55000000000000004">
      <c r="A2119">
        <v>5.3973038049061745E+18</v>
      </c>
      <c r="B2119" t="s">
        <v>1067</v>
      </c>
      <c r="C2119" t="s">
        <v>13</v>
      </c>
      <c r="D2119">
        <v>1662694.54</v>
      </c>
      <c r="E2119" s="4">
        <f t="shared" si="66"/>
        <v>42837</v>
      </c>
      <c r="F2119">
        <f t="shared" si="67"/>
        <v>2192</v>
      </c>
    </row>
    <row r="2120" spans="1:6" x14ac:dyDescent="0.55000000000000004">
      <c r="A2120">
        <v>5.4651937541551749E+18</v>
      </c>
      <c r="B2120" t="s">
        <v>885</v>
      </c>
      <c r="C2120" t="s">
        <v>10</v>
      </c>
      <c r="D2120">
        <v>100</v>
      </c>
      <c r="E2120" s="4">
        <f t="shared" si="66"/>
        <v>43794</v>
      </c>
      <c r="F2120">
        <f t="shared" si="67"/>
        <v>1235</v>
      </c>
    </row>
    <row r="2121" spans="1:6" x14ac:dyDescent="0.55000000000000004">
      <c r="A2121">
        <v>4.7497946326800097E+18</v>
      </c>
      <c r="B2121" t="s">
        <v>4</v>
      </c>
      <c r="C2121" t="s">
        <v>10</v>
      </c>
      <c r="D2121">
        <v>3300</v>
      </c>
      <c r="E2121" s="4">
        <f t="shared" si="66"/>
        <v>45001</v>
      </c>
      <c r="F2121">
        <f t="shared" si="67"/>
        <v>28</v>
      </c>
    </row>
    <row r="2122" spans="1:6" x14ac:dyDescent="0.55000000000000004">
      <c r="A2122">
        <v>1.137483445246679E+19</v>
      </c>
      <c r="B2122" t="s">
        <v>587</v>
      </c>
      <c r="C2122" t="s">
        <v>13</v>
      </c>
      <c r="D2122">
        <v>694</v>
      </c>
      <c r="E2122" s="4">
        <f t="shared" si="66"/>
        <v>44729</v>
      </c>
      <c r="F2122">
        <f t="shared" si="67"/>
        <v>300</v>
      </c>
    </row>
    <row r="2123" spans="1:6" x14ac:dyDescent="0.55000000000000004">
      <c r="A2123">
        <v>1.685469016719214E+19</v>
      </c>
      <c r="B2123" t="s">
        <v>930</v>
      </c>
      <c r="C2123" t="s">
        <v>7</v>
      </c>
      <c r="D2123">
        <v>156</v>
      </c>
      <c r="E2123" s="4">
        <f t="shared" si="66"/>
        <v>44688</v>
      </c>
      <c r="F2123">
        <f t="shared" si="67"/>
        <v>341</v>
      </c>
    </row>
    <row r="2124" spans="1:6" x14ac:dyDescent="0.55000000000000004">
      <c r="A2124">
        <v>7.5613128868329021E+18</v>
      </c>
      <c r="B2124" t="s">
        <v>242</v>
      </c>
      <c r="C2124" t="s">
        <v>13</v>
      </c>
      <c r="D2124">
        <v>1214</v>
      </c>
      <c r="E2124" s="4">
        <f t="shared" si="66"/>
        <v>44938</v>
      </c>
      <c r="F2124">
        <f t="shared" si="67"/>
        <v>91</v>
      </c>
    </row>
    <row r="2125" spans="1:6" x14ac:dyDescent="0.55000000000000004">
      <c r="A2125">
        <v>1.3849874418398641E+18</v>
      </c>
      <c r="B2125" t="s">
        <v>620</v>
      </c>
      <c r="C2125" t="s">
        <v>10</v>
      </c>
      <c r="D2125">
        <v>889</v>
      </c>
      <c r="E2125" s="4">
        <f t="shared" si="66"/>
        <v>44425</v>
      </c>
      <c r="F2125">
        <f t="shared" si="67"/>
        <v>604</v>
      </c>
    </row>
    <row r="2126" spans="1:6" x14ac:dyDescent="0.55000000000000004">
      <c r="A2126">
        <v>4.9074909914343188E+18</v>
      </c>
      <c r="B2126" t="s">
        <v>914</v>
      </c>
      <c r="C2126" t="s">
        <v>13</v>
      </c>
      <c r="D2126">
        <v>642</v>
      </c>
      <c r="E2126" s="4">
        <f t="shared" si="66"/>
        <v>44505</v>
      </c>
      <c r="F2126">
        <f t="shared" si="67"/>
        <v>524</v>
      </c>
    </row>
    <row r="2127" spans="1:6" x14ac:dyDescent="0.55000000000000004">
      <c r="A2127">
        <v>2.0142520458862761E+18</v>
      </c>
      <c r="B2127" t="s">
        <v>494</v>
      </c>
      <c r="C2127" t="s">
        <v>7</v>
      </c>
      <c r="D2127">
        <v>1560</v>
      </c>
      <c r="E2127" s="4">
        <f t="shared" si="66"/>
        <v>44891</v>
      </c>
      <c r="F2127">
        <f t="shared" si="67"/>
        <v>138</v>
      </c>
    </row>
    <row r="2128" spans="1:6" x14ac:dyDescent="0.55000000000000004">
      <c r="A2128">
        <v>1.6508999763208319E+19</v>
      </c>
      <c r="B2128" t="s">
        <v>1068</v>
      </c>
      <c r="C2128" t="s">
        <v>46</v>
      </c>
      <c r="D2128">
        <v>548</v>
      </c>
      <c r="E2128" s="4">
        <f t="shared" si="66"/>
        <v>44859</v>
      </c>
      <c r="F2128">
        <f t="shared" si="67"/>
        <v>170</v>
      </c>
    </row>
    <row r="2129" spans="1:6" x14ac:dyDescent="0.55000000000000004">
      <c r="A2129">
        <v>5.3973038049061745E+18</v>
      </c>
      <c r="B2129" t="s">
        <v>341</v>
      </c>
      <c r="C2129" t="s">
        <v>7</v>
      </c>
      <c r="D2129">
        <v>104152</v>
      </c>
      <c r="E2129" s="4">
        <f t="shared" si="66"/>
        <v>44354</v>
      </c>
      <c r="F2129">
        <f t="shared" si="67"/>
        <v>675</v>
      </c>
    </row>
    <row r="2130" spans="1:6" x14ac:dyDescent="0.55000000000000004">
      <c r="A2130">
        <v>6.9030815266361641E+18</v>
      </c>
      <c r="B2130" t="s">
        <v>226</v>
      </c>
      <c r="C2130" t="s">
        <v>13</v>
      </c>
      <c r="D2130">
        <v>1806</v>
      </c>
      <c r="E2130" s="4">
        <f t="shared" si="66"/>
        <v>44613</v>
      </c>
      <c r="F2130">
        <f t="shared" si="67"/>
        <v>416</v>
      </c>
    </row>
    <row r="2131" spans="1:6" x14ac:dyDescent="0.55000000000000004">
      <c r="A2131">
        <v>5.0025370734544476E+18</v>
      </c>
      <c r="B2131" t="s">
        <v>1069</v>
      </c>
      <c r="C2131" t="s">
        <v>10</v>
      </c>
      <c r="D2131">
        <v>4390</v>
      </c>
      <c r="E2131" s="4">
        <f t="shared" si="66"/>
        <v>44544</v>
      </c>
      <c r="F2131">
        <f t="shared" si="67"/>
        <v>485</v>
      </c>
    </row>
    <row r="2132" spans="1:6" x14ac:dyDescent="0.55000000000000004">
      <c r="A2132">
        <v>1.2239227043159931E+18</v>
      </c>
      <c r="B2132" t="s">
        <v>11</v>
      </c>
      <c r="C2132" t="s">
        <v>13</v>
      </c>
      <c r="D2132">
        <v>1479</v>
      </c>
      <c r="E2132" s="4">
        <f t="shared" si="66"/>
        <v>44923</v>
      </c>
      <c r="F2132">
        <f t="shared" si="67"/>
        <v>106</v>
      </c>
    </row>
    <row r="2133" spans="1:6" x14ac:dyDescent="0.55000000000000004">
      <c r="A2133">
        <v>9.3759268339452088E+18</v>
      </c>
      <c r="B2133" t="s">
        <v>535</v>
      </c>
      <c r="C2133" t="s">
        <v>13</v>
      </c>
      <c r="D2133">
        <v>686</v>
      </c>
      <c r="E2133" s="4">
        <f t="shared" si="66"/>
        <v>44275</v>
      </c>
      <c r="F2133">
        <f t="shared" si="67"/>
        <v>754</v>
      </c>
    </row>
    <row r="2134" spans="1:6" x14ac:dyDescent="0.55000000000000004">
      <c r="A2134">
        <v>6.0654496658877901E+18</v>
      </c>
      <c r="B2134" t="s">
        <v>187</v>
      </c>
      <c r="C2134" t="s">
        <v>13</v>
      </c>
      <c r="D2134">
        <v>10090</v>
      </c>
      <c r="E2134" s="4">
        <f t="shared" si="66"/>
        <v>44156</v>
      </c>
      <c r="F2134">
        <f t="shared" si="67"/>
        <v>873</v>
      </c>
    </row>
    <row r="2135" spans="1:6" x14ac:dyDescent="0.55000000000000004">
      <c r="A2135">
        <v>1.1903747901253439E+19</v>
      </c>
      <c r="B2135" t="s">
        <v>1070</v>
      </c>
      <c r="C2135" t="s">
        <v>10</v>
      </c>
      <c r="D2135">
        <v>0</v>
      </c>
      <c r="E2135" s="4">
        <f t="shared" si="66"/>
        <v>44869</v>
      </c>
      <c r="F2135">
        <f t="shared" si="67"/>
        <v>160</v>
      </c>
    </row>
    <row r="2136" spans="1:6" x14ac:dyDescent="0.55000000000000004">
      <c r="A2136">
        <v>4.8366144911632036E+18</v>
      </c>
      <c r="B2136" t="s">
        <v>877</v>
      </c>
      <c r="C2136" t="s">
        <v>13</v>
      </c>
      <c r="D2136">
        <v>573</v>
      </c>
      <c r="E2136" s="4">
        <f t="shared" si="66"/>
        <v>44796</v>
      </c>
      <c r="F2136">
        <f t="shared" si="67"/>
        <v>233</v>
      </c>
    </row>
    <row r="2137" spans="1:6" x14ac:dyDescent="0.55000000000000004">
      <c r="A2137">
        <v>4.2674102297674528E+17</v>
      </c>
      <c r="B2137" t="s">
        <v>795</v>
      </c>
      <c r="C2137" t="s">
        <v>13</v>
      </c>
      <c r="D2137">
        <v>289</v>
      </c>
      <c r="E2137" s="4">
        <f t="shared" si="66"/>
        <v>44698</v>
      </c>
      <c r="F2137">
        <f t="shared" si="67"/>
        <v>331</v>
      </c>
    </row>
    <row r="2138" spans="1:6" x14ac:dyDescent="0.55000000000000004">
      <c r="A2138">
        <v>8.3705728870820383E+18</v>
      </c>
      <c r="B2138" t="s">
        <v>403</v>
      </c>
      <c r="C2138" t="s">
        <v>7</v>
      </c>
      <c r="D2138">
        <v>1438</v>
      </c>
      <c r="E2138" s="4">
        <f t="shared" si="66"/>
        <v>44975</v>
      </c>
      <c r="F2138">
        <f t="shared" si="67"/>
        <v>54</v>
      </c>
    </row>
    <row r="2139" spans="1:6" x14ac:dyDescent="0.55000000000000004">
      <c r="A2139">
        <v>7.9630113413524603E+18</v>
      </c>
      <c r="B2139" t="s">
        <v>1071</v>
      </c>
      <c r="C2139" t="s">
        <v>13</v>
      </c>
      <c r="D2139">
        <v>4380</v>
      </c>
      <c r="E2139" s="4">
        <f t="shared" si="66"/>
        <v>44288</v>
      </c>
      <c r="F2139">
        <f t="shared" si="67"/>
        <v>741</v>
      </c>
    </row>
    <row r="2140" spans="1:6" x14ac:dyDescent="0.55000000000000004">
      <c r="A2140">
        <v>1.262800564840045E+19</v>
      </c>
      <c r="B2140" t="s">
        <v>268</v>
      </c>
      <c r="C2140" t="s">
        <v>13</v>
      </c>
      <c r="D2140">
        <v>476</v>
      </c>
      <c r="E2140" s="4">
        <f t="shared" si="66"/>
        <v>44620</v>
      </c>
      <c r="F2140">
        <f t="shared" si="67"/>
        <v>409</v>
      </c>
    </row>
    <row r="2141" spans="1:6" x14ac:dyDescent="0.55000000000000004">
      <c r="A2141">
        <v>4.7091871911527956E+18</v>
      </c>
      <c r="B2141" t="s">
        <v>820</v>
      </c>
      <c r="C2141" t="s">
        <v>7</v>
      </c>
      <c r="D2141">
        <v>618</v>
      </c>
      <c r="E2141" s="4">
        <f t="shared" si="66"/>
        <v>43658</v>
      </c>
      <c r="F2141">
        <f t="shared" si="67"/>
        <v>1371</v>
      </c>
    </row>
    <row r="2142" spans="1:6" x14ac:dyDescent="0.55000000000000004">
      <c r="A2142">
        <v>4.2320153372283551E+18</v>
      </c>
      <c r="B2142" t="s">
        <v>695</v>
      </c>
      <c r="C2142" t="s">
        <v>26</v>
      </c>
      <c r="D2142">
        <v>889</v>
      </c>
      <c r="E2142" s="4">
        <f t="shared" si="66"/>
        <v>44493</v>
      </c>
      <c r="F2142">
        <f t="shared" si="67"/>
        <v>536</v>
      </c>
    </row>
    <row r="2143" spans="1:6" x14ac:dyDescent="0.55000000000000004">
      <c r="A2143">
        <v>3.8923791312289418E+18</v>
      </c>
      <c r="B2143" t="s">
        <v>115</v>
      </c>
      <c r="C2143" t="s">
        <v>13</v>
      </c>
      <c r="D2143">
        <v>2261</v>
      </c>
      <c r="E2143" s="4">
        <f t="shared" si="66"/>
        <v>44580</v>
      </c>
      <c r="F2143">
        <f t="shared" si="67"/>
        <v>449</v>
      </c>
    </row>
    <row r="2144" spans="1:6" x14ac:dyDescent="0.55000000000000004">
      <c r="A2144">
        <v>1.5332872620488651E+19</v>
      </c>
      <c r="B2144" t="s">
        <v>444</v>
      </c>
      <c r="C2144" t="s">
        <v>13</v>
      </c>
      <c r="D2144">
        <v>508</v>
      </c>
      <c r="E2144" s="4">
        <f t="shared" si="66"/>
        <v>44606</v>
      </c>
      <c r="F2144">
        <f t="shared" si="67"/>
        <v>423</v>
      </c>
    </row>
    <row r="2145" spans="1:6" x14ac:dyDescent="0.55000000000000004">
      <c r="A2145">
        <v>9.4530084499309056E+18</v>
      </c>
      <c r="B2145" t="s">
        <v>295</v>
      </c>
      <c r="C2145" t="s">
        <v>5</v>
      </c>
      <c r="D2145">
        <v>1335</v>
      </c>
      <c r="E2145" s="4">
        <f t="shared" si="66"/>
        <v>44369</v>
      </c>
      <c r="F2145">
        <f t="shared" si="67"/>
        <v>660</v>
      </c>
    </row>
    <row r="2146" spans="1:6" x14ac:dyDescent="0.55000000000000004">
      <c r="A2146">
        <v>1.54539279670714E+19</v>
      </c>
      <c r="B2146" t="s">
        <v>705</v>
      </c>
      <c r="C2146" t="s">
        <v>7</v>
      </c>
      <c r="D2146">
        <v>7070</v>
      </c>
      <c r="E2146" s="4">
        <f t="shared" si="66"/>
        <v>44971</v>
      </c>
      <c r="F2146">
        <f t="shared" si="67"/>
        <v>58</v>
      </c>
    </row>
    <row r="2147" spans="1:6" x14ac:dyDescent="0.55000000000000004">
      <c r="A2147">
        <v>1.8435387853663261E+19</v>
      </c>
      <c r="B2147" t="s">
        <v>159</v>
      </c>
      <c r="C2147" t="s">
        <v>13</v>
      </c>
      <c r="D2147">
        <v>5179</v>
      </c>
      <c r="E2147" s="4">
        <f t="shared" si="66"/>
        <v>44762</v>
      </c>
      <c r="F2147">
        <f t="shared" si="67"/>
        <v>267</v>
      </c>
    </row>
    <row r="2148" spans="1:6" x14ac:dyDescent="0.55000000000000004">
      <c r="A2148">
        <v>1.2984463081915011E+18</v>
      </c>
      <c r="B2148" t="s">
        <v>119</v>
      </c>
      <c r="C2148" t="s">
        <v>10</v>
      </c>
      <c r="D2148">
        <v>621</v>
      </c>
      <c r="E2148" s="4">
        <f t="shared" si="66"/>
        <v>44792</v>
      </c>
      <c r="F2148">
        <f t="shared" si="67"/>
        <v>237</v>
      </c>
    </row>
    <row r="2149" spans="1:6" x14ac:dyDescent="0.55000000000000004">
      <c r="A2149">
        <v>5.0326461427474545E+18</v>
      </c>
      <c r="B2149" t="s">
        <v>1072</v>
      </c>
      <c r="C2149" t="s">
        <v>10</v>
      </c>
      <c r="D2149">
        <v>1309</v>
      </c>
      <c r="E2149" s="4">
        <f t="shared" si="66"/>
        <v>44203</v>
      </c>
      <c r="F2149">
        <f t="shared" si="67"/>
        <v>826</v>
      </c>
    </row>
    <row r="2150" spans="1:6" x14ac:dyDescent="0.55000000000000004">
      <c r="A2150">
        <v>4.7497946326800097E+18</v>
      </c>
      <c r="B2150" t="s">
        <v>1050</v>
      </c>
      <c r="C2150" t="s">
        <v>46</v>
      </c>
      <c r="D2150">
        <v>404</v>
      </c>
      <c r="E2150" s="4">
        <f t="shared" si="66"/>
        <v>44726</v>
      </c>
      <c r="F2150">
        <f t="shared" si="67"/>
        <v>303</v>
      </c>
    </row>
    <row r="2151" spans="1:6" x14ac:dyDescent="0.55000000000000004">
      <c r="A2151">
        <v>1.7718341296387379E+19</v>
      </c>
      <c r="B2151" t="s">
        <v>715</v>
      </c>
      <c r="C2151" t="s">
        <v>10</v>
      </c>
      <c r="D2151">
        <v>1341</v>
      </c>
      <c r="E2151" s="4">
        <f t="shared" si="66"/>
        <v>43826</v>
      </c>
      <c r="F2151">
        <f t="shared" si="67"/>
        <v>1203</v>
      </c>
    </row>
    <row r="2152" spans="1:6" x14ac:dyDescent="0.55000000000000004">
      <c r="A2152">
        <v>9.0986447618061926E+18</v>
      </c>
      <c r="B2152" t="s">
        <v>560</v>
      </c>
      <c r="C2152" t="s">
        <v>10</v>
      </c>
      <c r="D2152">
        <v>2594</v>
      </c>
      <c r="E2152" s="4">
        <f t="shared" si="66"/>
        <v>44985</v>
      </c>
      <c r="F2152">
        <f t="shared" si="67"/>
        <v>44</v>
      </c>
    </row>
    <row r="2153" spans="1:6" x14ac:dyDescent="0.55000000000000004">
      <c r="A2153">
        <v>1.693120736134671E+19</v>
      </c>
      <c r="B2153" t="s">
        <v>895</v>
      </c>
      <c r="C2153" t="s">
        <v>10</v>
      </c>
      <c r="D2153">
        <v>5824</v>
      </c>
      <c r="E2153" s="4">
        <f t="shared" si="66"/>
        <v>44999</v>
      </c>
      <c r="F2153">
        <f t="shared" si="67"/>
        <v>30</v>
      </c>
    </row>
    <row r="2154" spans="1:6" x14ac:dyDescent="0.55000000000000004">
      <c r="A2154">
        <v>1.3886858499474489E+19</v>
      </c>
      <c r="B2154" t="s">
        <v>732</v>
      </c>
      <c r="C2154" t="s">
        <v>13</v>
      </c>
      <c r="D2154">
        <v>14100</v>
      </c>
      <c r="E2154" s="4">
        <f t="shared" si="66"/>
        <v>44136</v>
      </c>
      <c r="F2154">
        <f t="shared" si="67"/>
        <v>893</v>
      </c>
    </row>
    <row r="2155" spans="1:6" x14ac:dyDescent="0.55000000000000004">
      <c r="A2155">
        <v>5.8485697205147709E+18</v>
      </c>
      <c r="B2155" t="s">
        <v>901</v>
      </c>
      <c r="C2155" t="s">
        <v>7</v>
      </c>
      <c r="D2155">
        <v>167</v>
      </c>
      <c r="E2155" s="4">
        <f t="shared" si="66"/>
        <v>43862</v>
      </c>
      <c r="F2155">
        <f t="shared" si="67"/>
        <v>1167</v>
      </c>
    </row>
    <row r="2156" spans="1:6" x14ac:dyDescent="0.55000000000000004">
      <c r="A2156">
        <v>1.8075727275591049E+19</v>
      </c>
      <c r="B2156" t="s">
        <v>947</v>
      </c>
      <c r="C2156" t="s">
        <v>7</v>
      </c>
      <c r="D2156">
        <v>286</v>
      </c>
      <c r="E2156" s="4">
        <f t="shared" si="66"/>
        <v>45025</v>
      </c>
      <c r="F2156">
        <f t="shared" si="67"/>
        <v>4</v>
      </c>
    </row>
    <row r="2157" spans="1:6" x14ac:dyDescent="0.55000000000000004">
      <c r="A2157">
        <v>9.4244478564576563E+18</v>
      </c>
      <c r="B2157" t="s">
        <v>385</v>
      </c>
      <c r="C2157" t="s">
        <v>50</v>
      </c>
      <c r="D2157">
        <v>254</v>
      </c>
      <c r="E2157" s="4">
        <f t="shared" si="66"/>
        <v>44765</v>
      </c>
      <c r="F2157">
        <f t="shared" si="67"/>
        <v>264</v>
      </c>
    </row>
    <row r="2158" spans="1:6" x14ac:dyDescent="0.55000000000000004">
      <c r="A2158">
        <v>1.0797882498486391E+19</v>
      </c>
      <c r="B2158" t="s">
        <v>264</v>
      </c>
      <c r="C2158" t="s">
        <v>7</v>
      </c>
      <c r="D2158">
        <v>118</v>
      </c>
      <c r="E2158" s="4">
        <f t="shared" si="66"/>
        <v>43859</v>
      </c>
      <c r="F2158">
        <f t="shared" si="67"/>
        <v>1170</v>
      </c>
    </row>
    <row r="2159" spans="1:6" x14ac:dyDescent="0.55000000000000004">
      <c r="A2159">
        <v>2.2216710197921889E+18</v>
      </c>
      <c r="B2159" t="s">
        <v>1073</v>
      </c>
      <c r="C2159" t="s">
        <v>7</v>
      </c>
      <c r="D2159">
        <v>6240</v>
      </c>
      <c r="E2159" s="4">
        <f t="shared" si="66"/>
        <v>44852</v>
      </c>
      <c r="F2159">
        <f t="shared" si="67"/>
        <v>177</v>
      </c>
    </row>
    <row r="2160" spans="1:6" x14ac:dyDescent="0.55000000000000004">
      <c r="A2160">
        <v>7.2717939104775229E+18</v>
      </c>
      <c r="B2160" t="s">
        <v>414</v>
      </c>
      <c r="C2160" t="s">
        <v>13</v>
      </c>
      <c r="D2160">
        <v>2708</v>
      </c>
      <c r="E2160" s="4">
        <f t="shared" si="66"/>
        <v>44554</v>
      </c>
      <c r="F2160">
        <f t="shared" si="67"/>
        <v>475</v>
      </c>
    </row>
    <row r="2161" spans="1:6" x14ac:dyDescent="0.55000000000000004">
      <c r="A2161">
        <v>1.1557647190012129E+19</v>
      </c>
      <c r="B2161" t="s">
        <v>14</v>
      </c>
      <c r="C2161" t="s">
        <v>13</v>
      </c>
      <c r="D2161">
        <v>38.65</v>
      </c>
      <c r="E2161" s="4">
        <f t="shared" si="66"/>
        <v>44832</v>
      </c>
      <c r="F2161">
        <f t="shared" si="67"/>
        <v>197</v>
      </c>
    </row>
    <row r="2162" spans="1:6" x14ac:dyDescent="0.55000000000000004">
      <c r="A2162">
        <v>2.3773168916203341E+18</v>
      </c>
      <c r="B2162" t="s">
        <v>432</v>
      </c>
      <c r="C2162" t="s">
        <v>13</v>
      </c>
      <c r="D2162">
        <v>6297</v>
      </c>
      <c r="E2162" s="4">
        <f t="shared" si="66"/>
        <v>44777</v>
      </c>
      <c r="F2162">
        <f t="shared" si="67"/>
        <v>252</v>
      </c>
    </row>
    <row r="2163" spans="1:6" x14ac:dyDescent="0.55000000000000004">
      <c r="A2163">
        <v>1.0611866942011081E+19</v>
      </c>
      <c r="B2163" t="s">
        <v>91</v>
      </c>
      <c r="C2163" t="s">
        <v>10</v>
      </c>
      <c r="D2163">
        <v>675</v>
      </c>
      <c r="E2163" s="4">
        <f t="shared" si="66"/>
        <v>44831</v>
      </c>
      <c r="F2163">
        <f t="shared" si="67"/>
        <v>198</v>
      </c>
    </row>
    <row r="2164" spans="1:6" x14ac:dyDescent="0.55000000000000004">
      <c r="A2164">
        <v>3.9077561414754412E+18</v>
      </c>
      <c r="B2164" t="s">
        <v>1002</v>
      </c>
      <c r="C2164" t="s">
        <v>7</v>
      </c>
      <c r="D2164">
        <v>175</v>
      </c>
      <c r="E2164" s="4">
        <f t="shared" si="66"/>
        <v>43762</v>
      </c>
      <c r="F2164">
        <f t="shared" si="67"/>
        <v>1267</v>
      </c>
    </row>
    <row r="2165" spans="1:6" x14ac:dyDescent="0.55000000000000004">
      <c r="A2165">
        <v>1.3030830290680691E+19</v>
      </c>
      <c r="B2165" t="s">
        <v>960</v>
      </c>
      <c r="C2165" t="s">
        <v>10</v>
      </c>
      <c r="D2165">
        <v>158</v>
      </c>
      <c r="E2165" s="4">
        <f t="shared" si="66"/>
        <v>43811</v>
      </c>
      <c r="F2165">
        <f t="shared" si="67"/>
        <v>1218</v>
      </c>
    </row>
    <row r="2166" spans="1:6" x14ac:dyDescent="0.55000000000000004">
      <c r="A2166">
        <v>3.54381987202991E+18</v>
      </c>
      <c r="B2166" t="s">
        <v>137</v>
      </c>
      <c r="C2166" t="s">
        <v>10</v>
      </c>
      <c r="D2166">
        <v>789</v>
      </c>
      <c r="E2166" s="4">
        <f t="shared" si="66"/>
        <v>44294</v>
      </c>
      <c r="F2166">
        <f t="shared" si="67"/>
        <v>735</v>
      </c>
    </row>
    <row r="2167" spans="1:6" x14ac:dyDescent="0.55000000000000004">
      <c r="A2167">
        <v>1.589297249966993E+19</v>
      </c>
      <c r="B2167" t="s">
        <v>196</v>
      </c>
      <c r="C2167" t="s">
        <v>10</v>
      </c>
      <c r="D2167">
        <v>470</v>
      </c>
      <c r="E2167" s="4">
        <f t="shared" si="66"/>
        <v>44759</v>
      </c>
      <c r="F2167">
        <f t="shared" si="67"/>
        <v>270</v>
      </c>
    </row>
    <row r="2168" spans="1:6" x14ac:dyDescent="0.55000000000000004">
      <c r="A2168">
        <v>2.005586247580137E+18</v>
      </c>
      <c r="B2168" t="s">
        <v>360</v>
      </c>
      <c r="C2168" t="s">
        <v>10</v>
      </c>
      <c r="D2168">
        <v>597</v>
      </c>
      <c r="E2168" s="4">
        <f t="shared" si="66"/>
        <v>44995</v>
      </c>
      <c r="F2168">
        <f t="shared" si="67"/>
        <v>34</v>
      </c>
    </row>
    <row r="2169" spans="1:6" x14ac:dyDescent="0.55000000000000004">
      <c r="A2169">
        <v>3.2887384232777748E+18</v>
      </c>
      <c r="B2169" t="s">
        <v>1056</v>
      </c>
      <c r="C2169" t="s">
        <v>10</v>
      </c>
      <c r="D2169">
        <v>3428</v>
      </c>
      <c r="E2169" s="4">
        <f t="shared" si="66"/>
        <v>44406</v>
      </c>
      <c r="F2169">
        <f t="shared" si="67"/>
        <v>623</v>
      </c>
    </row>
    <row r="2170" spans="1:6" x14ac:dyDescent="0.55000000000000004">
      <c r="A2170">
        <v>1.7037595928923709E+19</v>
      </c>
      <c r="B2170" t="s">
        <v>259</v>
      </c>
      <c r="C2170" t="s">
        <v>10</v>
      </c>
      <c r="D2170">
        <v>109</v>
      </c>
      <c r="E2170" s="4">
        <f t="shared" si="66"/>
        <v>44555</v>
      </c>
      <c r="F2170">
        <f t="shared" si="67"/>
        <v>474</v>
      </c>
    </row>
    <row r="2171" spans="1:6" x14ac:dyDescent="0.55000000000000004">
      <c r="A2171">
        <v>5.3973038049061745E+18</v>
      </c>
      <c r="B2171" t="s">
        <v>737</v>
      </c>
      <c r="C2171" t="s">
        <v>10</v>
      </c>
      <c r="D2171">
        <v>1181823.79</v>
      </c>
      <c r="E2171" s="4">
        <f t="shared" si="66"/>
        <v>44742</v>
      </c>
      <c r="F2171">
        <f t="shared" si="67"/>
        <v>287</v>
      </c>
    </row>
    <row r="2172" spans="1:6" x14ac:dyDescent="0.55000000000000004">
      <c r="A2172">
        <v>9.6724537078458496E+17</v>
      </c>
      <c r="B2172" t="s">
        <v>1074</v>
      </c>
      <c r="C2172" t="s">
        <v>13</v>
      </c>
      <c r="D2172">
        <v>3430</v>
      </c>
      <c r="E2172" s="4">
        <f t="shared" si="66"/>
        <v>44932</v>
      </c>
      <c r="F2172">
        <f t="shared" si="67"/>
        <v>97</v>
      </c>
    </row>
    <row r="2173" spans="1:6" x14ac:dyDescent="0.55000000000000004">
      <c r="A2173">
        <v>9.0114498001082378E+18</v>
      </c>
      <c r="B2173" t="s">
        <v>61</v>
      </c>
      <c r="C2173" t="s">
        <v>5</v>
      </c>
      <c r="D2173">
        <v>1959</v>
      </c>
      <c r="E2173" s="4">
        <f t="shared" si="66"/>
        <v>44894</v>
      </c>
      <c r="F2173">
        <f t="shared" si="67"/>
        <v>135</v>
      </c>
    </row>
    <row r="2174" spans="1:6" x14ac:dyDescent="0.55000000000000004">
      <c r="A2174">
        <v>1.1199090371459011E+19</v>
      </c>
      <c r="B2174" t="s">
        <v>80</v>
      </c>
      <c r="C2174" t="s">
        <v>46</v>
      </c>
      <c r="D2174">
        <v>442</v>
      </c>
      <c r="E2174" s="4">
        <f t="shared" si="66"/>
        <v>44621</v>
      </c>
      <c r="F2174">
        <f t="shared" si="67"/>
        <v>408</v>
      </c>
    </row>
    <row r="2175" spans="1:6" x14ac:dyDescent="0.55000000000000004">
      <c r="A2175">
        <v>6.6437018081170381E+17</v>
      </c>
      <c r="B2175" t="s">
        <v>685</v>
      </c>
      <c r="C2175" t="s">
        <v>10</v>
      </c>
      <c r="D2175">
        <v>188</v>
      </c>
      <c r="E2175" s="4">
        <f t="shared" si="66"/>
        <v>44200</v>
      </c>
      <c r="F2175">
        <f t="shared" si="67"/>
        <v>829</v>
      </c>
    </row>
    <row r="2176" spans="1:6" x14ac:dyDescent="0.55000000000000004">
      <c r="A2176">
        <v>4.6570495975165635E+18</v>
      </c>
      <c r="B2176" t="s">
        <v>645</v>
      </c>
      <c r="C2176" t="s">
        <v>7</v>
      </c>
      <c r="D2176">
        <v>309</v>
      </c>
      <c r="E2176" s="4">
        <f t="shared" si="66"/>
        <v>44897</v>
      </c>
      <c r="F2176">
        <f t="shared" si="67"/>
        <v>132</v>
      </c>
    </row>
    <row r="2177" spans="1:6" x14ac:dyDescent="0.55000000000000004">
      <c r="A2177">
        <v>8.2788082138379418E+18</v>
      </c>
      <c r="B2177" t="s">
        <v>786</v>
      </c>
      <c r="C2177" t="s">
        <v>10</v>
      </c>
      <c r="D2177">
        <v>357</v>
      </c>
      <c r="E2177" s="4">
        <f t="shared" si="66"/>
        <v>44485</v>
      </c>
      <c r="F2177">
        <f t="shared" si="67"/>
        <v>544</v>
      </c>
    </row>
    <row r="2178" spans="1:6" x14ac:dyDescent="0.55000000000000004">
      <c r="A2178">
        <v>1.5902464288007451E+19</v>
      </c>
      <c r="B2178" t="s">
        <v>545</v>
      </c>
      <c r="C2178" t="s">
        <v>13</v>
      </c>
      <c r="D2178">
        <v>1070</v>
      </c>
      <c r="E2178" s="4">
        <f t="shared" si="66"/>
        <v>44411</v>
      </c>
      <c r="F2178">
        <f t="shared" si="67"/>
        <v>618</v>
      </c>
    </row>
    <row r="2179" spans="1:6" x14ac:dyDescent="0.55000000000000004">
      <c r="A2179">
        <v>1.4292414189915501E+19</v>
      </c>
      <c r="B2179" t="s">
        <v>866</v>
      </c>
      <c r="C2179" t="s">
        <v>10</v>
      </c>
      <c r="D2179">
        <v>439</v>
      </c>
      <c r="E2179" s="4">
        <f t="shared" ref="E2179:E2242" si="68">DATEVALUE(B2179)</f>
        <v>44862</v>
      </c>
      <c r="F2179">
        <f t="shared" ref="F2179:F2242" si="69">$H$1-E2179</f>
        <v>167</v>
      </c>
    </row>
    <row r="2180" spans="1:6" x14ac:dyDescent="0.55000000000000004">
      <c r="A2180">
        <v>3.3897601747129359E+18</v>
      </c>
      <c r="B2180" t="s">
        <v>334</v>
      </c>
      <c r="C2180" t="s">
        <v>10</v>
      </c>
      <c r="D2180">
        <v>390</v>
      </c>
      <c r="E2180" s="4">
        <f t="shared" si="68"/>
        <v>44915</v>
      </c>
      <c r="F2180">
        <f t="shared" si="69"/>
        <v>114</v>
      </c>
    </row>
    <row r="2181" spans="1:6" x14ac:dyDescent="0.55000000000000004">
      <c r="A2181">
        <v>4.4937326221003612E+18</v>
      </c>
      <c r="B2181" t="s">
        <v>36</v>
      </c>
      <c r="C2181" t="s">
        <v>50</v>
      </c>
      <c r="D2181">
        <v>130</v>
      </c>
      <c r="E2181" s="4">
        <f t="shared" si="68"/>
        <v>44808</v>
      </c>
      <c r="F2181">
        <f t="shared" si="69"/>
        <v>221</v>
      </c>
    </row>
    <row r="2182" spans="1:6" x14ac:dyDescent="0.55000000000000004">
      <c r="A2182">
        <v>1.6644801055629181E+19</v>
      </c>
      <c r="B2182" t="s">
        <v>262</v>
      </c>
      <c r="C2182" t="s">
        <v>7</v>
      </c>
      <c r="D2182">
        <v>231</v>
      </c>
      <c r="E2182" s="4">
        <f t="shared" si="68"/>
        <v>44343</v>
      </c>
      <c r="F2182">
        <f t="shared" si="69"/>
        <v>686</v>
      </c>
    </row>
    <row r="2183" spans="1:6" x14ac:dyDescent="0.55000000000000004">
      <c r="A2183">
        <v>6.5503717846688806E+17</v>
      </c>
      <c r="B2183" t="s">
        <v>1075</v>
      </c>
      <c r="C2183" t="s">
        <v>13</v>
      </c>
      <c r="D2183">
        <v>249</v>
      </c>
      <c r="E2183" s="4">
        <f t="shared" si="68"/>
        <v>44261</v>
      </c>
      <c r="F2183">
        <f t="shared" si="69"/>
        <v>768</v>
      </c>
    </row>
    <row r="2184" spans="1:6" x14ac:dyDescent="0.55000000000000004">
      <c r="A2184">
        <v>4.7412492185996429E+17</v>
      </c>
      <c r="B2184" t="s">
        <v>437</v>
      </c>
      <c r="C2184" t="s">
        <v>13</v>
      </c>
      <c r="D2184">
        <v>4599</v>
      </c>
      <c r="E2184" s="4">
        <f t="shared" si="68"/>
        <v>44658</v>
      </c>
      <c r="F2184">
        <f t="shared" si="69"/>
        <v>371</v>
      </c>
    </row>
    <row r="2185" spans="1:6" x14ac:dyDescent="0.55000000000000004">
      <c r="A2185">
        <v>8.7531651469895475E+18</v>
      </c>
      <c r="B2185" t="s">
        <v>761</v>
      </c>
      <c r="C2185" t="s">
        <v>10</v>
      </c>
      <c r="D2185">
        <v>789</v>
      </c>
      <c r="E2185" s="4">
        <f t="shared" si="68"/>
        <v>43999</v>
      </c>
      <c r="F2185">
        <f t="shared" si="69"/>
        <v>1030</v>
      </c>
    </row>
    <row r="2186" spans="1:6" x14ac:dyDescent="0.55000000000000004">
      <c r="A2186">
        <v>2.2472947791115561E+18</v>
      </c>
      <c r="B2186" t="s">
        <v>817</v>
      </c>
      <c r="C2186" t="s">
        <v>26</v>
      </c>
      <c r="D2186">
        <v>270</v>
      </c>
      <c r="E2186" s="4">
        <f t="shared" si="68"/>
        <v>43871</v>
      </c>
      <c r="F2186">
        <f t="shared" si="69"/>
        <v>1158</v>
      </c>
    </row>
    <row r="2187" spans="1:6" x14ac:dyDescent="0.55000000000000004">
      <c r="A2187">
        <v>1.933930612224873E+18</v>
      </c>
      <c r="B2187" t="s">
        <v>843</v>
      </c>
      <c r="C2187" t="s">
        <v>10</v>
      </c>
      <c r="D2187">
        <v>598</v>
      </c>
      <c r="E2187" s="4">
        <f t="shared" si="68"/>
        <v>44758</v>
      </c>
      <c r="F2187">
        <f t="shared" si="69"/>
        <v>271</v>
      </c>
    </row>
    <row r="2188" spans="1:6" x14ac:dyDescent="0.55000000000000004">
      <c r="A2188">
        <v>1.6145584499031321E+19</v>
      </c>
      <c r="B2188" t="s">
        <v>673</v>
      </c>
      <c r="C2188" t="s">
        <v>26</v>
      </c>
      <c r="D2188">
        <v>417</v>
      </c>
      <c r="E2188" s="4">
        <f t="shared" si="68"/>
        <v>44141</v>
      </c>
      <c r="F2188">
        <f t="shared" si="69"/>
        <v>888</v>
      </c>
    </row>
    <row r="2189" spans="1:6" x14ac:dyDescent="0.55000000000000004">
      <c r="A2189">
        <v>9.3935191066238013E+18</v>
      </c>
      <c r="B2189" t="s">
        <v>1076</v>
      </c>
      <c r="C2189" t="s">
        <v>10</v>
      </c>
      <c r="D2189">
        <v>3670</v>
      </c>
      <c r="E2189" s="4">
        <f t="shared" si="68"/>
        <v>44207</v>
      </c>
      <c r="F2189">
        <f t="shared" si="69"/>
        <v>822</v>
      </c>
    </row>
    <row r="2190" spans="1:6" x14ac:dyDescent="0.55000000000000004">
      <c r="A2190">
        <v>7.4140334679101583E+18</v>
      </c>
      <c r="B2190" t="s">
        <v>361</v>
      </c>
      <c r="C2190" t="s">
        <v>7</v>
      </c>
      <c r="D2190">
        <v>129</v>
      </c>
      <c r="E2190" s="4">
        <f t="shared" si="68"/>
        <v>44438</v>
      </c>
      <c r="F2190">
        <f t="shared" si="69"/>
        <v>591</v>
      </c>
    </row>
    <row r="2191" spans="1:6" x14ac:dyDescent="0.55000000000000004">
      <c r="A2191">
        <v>4.2618102748152248E+18</v>
      </c>
      <c r="B2191" t="s">
        <v>644</v>
      </c>
      <c r="C2191" t="s">
        <v>10</v>
      </c>
      <c r="D2191">
        <v>551</v>
      </c>
      <c r="E2191" s="4">
        <f t="shared" si="68"/>
        <v>44814</v>
      </c>
      <c r="F2191">
        <f t="shared" si="69"/>
        <v>215</v>
      </c>
    </row>
    <row r="2192" spans="1:6" x14ac:dyDescent="0.55000000000000004">
      <c r="A2192">
        <v>1.7892811772394758E+17</v>
      </c>
      <c r="B2192" t="s">
        <v>119</v>
      </c>
      <c r="C2192" t="s">
        <v>10</v>
      </c>
      <c r="D2192">
        <v>736</v>
      </c>
      <c r="E2192" s="4">
        <f t="shared" si="68"/>
        <v>44792</v>
      </c>
      <c r="F2192">
        <f t="shared" si="69"/>
        <v>237</v>
      </c>
    </row>
    <row r="2193" spans="1:6" x14ac:dyDescent="0.55000000000000004">
      <c r="A2193">
        <v>1.0124995188450449E+19</v>
      </c>
      <c r="B2193" t="s">
        <v>752</v>
      </c>
      <c r="C2193" t="s">
        <v>13</v>
      </c>
      <c r="D2193">
        <v>4848</v>
      </c>
      <c r="E2193" s="4">
        <f t="shared" si="68"/>
        <v>44631</v>
      </c>
      <c r="F2193">
        <f t="shared" si="69"/>
        <v>398</v>
      </c>
    </row>
    <row r="2194" spans="1:6" x14ac:dyDescent="0.55000000000000004">
      <c r="A2194">
        <v>3.54381987202991E+18</v>
      </c>
      <c r="B2194" t="s">
        <v>1077</v>
      </c>
      <c r="C2194" t="s">
        <v>13</v>
      </c>
      <c r="D2194">
        <v>1842</v>
      </c>
      <c r="E2194" s="4">
        <f t="shared" si="68"/>
        <v>44378</v>
      </c>
      <c r="F2194">
        <f t="shared" si="69"/>
        <v>651</v>
      </c>
    </row>
    <row r="2195" spans="1:6" x14ac:dyDescent="0.55000000000000004">
      <c r="A2195">
        <v>1.7195823753244791E+19</v>
      </c>
      <c r="B2195" t="s">
        <v>1078</v>
      </c>
      <c r="C2195" t="s">
        <v>13</v>
      </c>
      <c r="D2195">
        <v>179</v>
      </c>
      <c r="E2195" s="4">
        <f t="shared" si="68"/>
        <v>44784</v>
      </c>
      <c r="F2195">
        <f t="shared" si="69"/>
        <v>245</v>
      </c>
    </row>
    <row r="2196" spans="1:6" x14ac:dyDescent="0.55000000000000004">
      <c r="A2196">
        <v>1.2672251890430099E+19</v>
      </c>
      <c r="B2196" t="s">
        <v>813</v>
      </c>
      <c r="C2196" t="s">
        <v>10</v>
      </c>
      <c r="D2196">
        <v>354</v>
      </c>
      <c r="E2196" s="4">
        <f t="shared" si="68"/>
        <v>44461</v>
      </c>
      <c r="F2196">
        <f t="shared" si="69"/>
        <v>568</v>
      </c>
    </row>
    <row r="2197" spans="1:6" x14ac:dyDescent="0.55000000000000004">
      <c r="A2197">
        <v>7.6501057150357299E+18</v>
      </c>
      <c r="B2197" t="s">
        <v>966</v>
      </c>
      <c r="C2197" t="s">
        <v>13</v>
      </c>
      <c r="D2197">
        <v>2223</v>
      </c>
      <c r="E2197" s="4">
        <f t="shared" si="68"/>
        <v>44919</v>
      </c>
      <c r="F2197">
        <f t="shared" si="69"/>
        <v>110</v>
      </c>
    </row>
    <row r="2198" spans="1:6" x14ac:dyDescent="0.55000000000000004">
      <c r="A2198">
        <v>1.61330462329647E+19</v>
      </c>
      <c r="B2198" t="s">
        <v>25</v>
      </c>
      <c r="C2198" t="s">
        <v>13</v>
      </c>
      <c r="D2198">
        <v>8769</v>
      </c>
      <c r="E2198" s="4">
        <f t="shared" si="68"/>
        <v>44976</v>
      </c>
      <c r="F2198">
        <f t="shared" si="69"/>
        <v>53</v>
      </c>
    </row>
    <row r="2199" spans="1:6" x14ac:dyDescent="0.55000000000000004">
      <c r="A2199">
        <v>5.5419601185334149E+18</v>
      </c>
      <c r="B2199" t="s">
        <v>1073</v>
      </c>
      <c r="C2199" t="s">
        <v>13</v>
      </c>
      <c r="D2199">
        <v>607</v>
      </c>
      <c r="E2199" s="4">
        <f t="shared" si="68"/>
        <v>44852</v>
      </c>
      <c r="F2199">
        <f t="shared" si="69"/>
        <v>177</v>
      </c>
    </row>
    <row r="2200" spans="1:6" x14ac:dyDescent="0.55000000000000004">
      <c r="A2200">
        <v>6.7389753197457009E+18</v>
      </c>
      <c r="B2200" t="s">
        <v>1079</v>
      </c>
      <c r="C2200" t="s">
        <v>13</v>
      </c>
      <c r="D2200">
        <v>745</v>
      </c>
      <c r="E2200" s="4">
        <f t="shared" si="68"/>
        <v>44561</v>
      </c>
      <c r="F2200">
        <f t="shared" si="69"/>
        <v>468</v>
      </c>
    </row>
    <row r="2201" spans="1:6" x14ac:dyDescent="0.55000000000000004">
      <c r="A2201">
        <v>2.6197657737649992E+18</v>
      </c>
      <c r="B2201" t="s">
        <v>548</v>
      </c>
      <c r="C2201" t="s">
        <v>7</v>
      </c>
      <c r="D2201">
        <v>6480</v>
      </c>
      <c r="E2201" s="4">
        <f t="shared" si="68"/>
        <v>44778</v>
      </c>
      <c r="F2201">
        <f t="shared" si="69"/>
        <v>251</v>
      </c>
    </row>
    <row r="2202" spans="1:6" x14ac:dyDescent="0.55000000000000004">
      <c r="A2202">
        <v>1.524683085751996E+19</v>
      </c>
      <c r="B2202" t="s">
        <v>1038</v>
      </c>
      <c r="C2202" t="s">
        <v>7</v>
      </c>
      <c r="D2202">
        <v>266</v>
      </c>
      <c r="E2202" s="4">
        <f t="shared" si="68"/>
        <v>44724</v>
      </c>
      <c r="F2202">
        <f t="shared" si="69"/>
        <v>305</v>
      </c>
    </row>
    <row r="2203" spans="1:6" x14ac:dyDescent="0.55000000000000004">
      <c r="A2203">
        <v>9.0181856789402378E+18</v>
      </c>
      <c r="B2203" t="s">
        <v>259</v>
      </c>
      <c r="C2203" t="s">
        <v>10</v>
      </c>
      <c r="D2203">
        <v>1615</v>
      </c>
      <c r="E2203" s="4">
        <f t="shared" si="68"/>
        <v>44555</v>
      </c>
      <c r="F2203">
        <f t="shared" si="69"/>
        <v>474</v>
      </c>
    </row>
    <row r="2204" spans="1:6" x14ac:dyDescent="0.55000000000000004">
      <c r="A2204">
        <v>1.439986715900904E+19</v>
      </c>
      <c r="B2204" t="s">
        <v>542</v>
      </c>
      <c r="C2204" t="s">
        <v>7</v>
      </c>
      <c r="D2204">
        <v>555</v>
      </c>
      <c r="E2204" s="4">
        <f t="shared" si="68"/>
        <v>44066</v>
      </c>
      <c r="F2204">
        <f t="shared" si="69"/>
        <v>963</v>
      </c>
    </row>
    <row r="2205" spans="1:6" x14ac:dyDescent="0.55000000000000004">
      <c r="A2205">
        <v>1.045491442995763E+19</v>
      </c>
      <c r="B2205" t="s">
        <v>1080</v>
      </c>
      <c r="C2205" t="s">
        <v>10</v>
      </c>
      <c r="D2205">
        <v>1719</v>
      </c>
      <c r="E2205" s="4">
        <f t="shared" si="68"/>
        <v>44823</v>
      </c>
      <c r="F2205">
        <f t="shared" si="69"/>
        <v>206</v>
      </c>
    </row>
    <row r="2206" spans="1:6" x14ac:dyDescent="0.55000000000000004">
      <c r="A2206">
        <v>1.1126621026109131E+19</v>
      </c>
      <c r="B2206" t="s">
        <v>1081</v>
      </c>
      <c r="C2206" t="s">
        <v>10</v>
      </c>
      <c r="D2206">
        <v>355</v>
      </c>
      <c r="E2206" s="4">
        <f t="shared" si="68"/>
        <v>44572</v>
      </c>
      <c r="F2206">
        <f t="shared" si="69"/>
        <v>457</v>
      </c>
    </row>
    <row r="2207" spans="1:6" x14ac:dyDescent="0.55000000000000004">
      <c r="A2207">
        <v>1.786116080626841E+19</v>
      </c>
      <c r="B2207" t="s">
        <v>328</v>
      </c>
      <c r="C2207" t="s">
        <v>7</v>
      </c>
      <c r="D2207">
        <v>490</v>
      </c>
      <c r="E2207" s="4">
        <f t="shared" si="68"/>
        <v>44834</v>
      </c>
      <c r="F2207">
        <f t="shared" si="69"/>
        <v>195</v>
      </c>
    </row>
    <row r="2208" spans="1:6" x14ac:dyDescent="0.55000000000000004">
      <c r="A2208">
        <v>8.9188782512294784E+17</v>
      </c>
      <c r="B2208" t="s">
        <v>1082</v>
      </c>
      <c r="C2208" t="s">
        <v>7</v>
      </c>
      <c r="D2208">
        <v>24</v>
      </c>
      <c r="E2208" s="4">
        <f t="shared" si="68"/>
        <v>44813</v>
      </c>
      <c r="F2208">
        <f t="shared" si="69"/>
        <v>216</v>
      </c>
    </row>
    <row r="2209" spans="1:6" x14ac:dyDescent="0.55000000000000004">
      <c r="A2209">
        <v>5.8176783672434412E+18</v>
      </c>
      <c r="B2209" t="s">
        <v>1083</v>
      </c>
      <c r="C2209" t="s">
        <v>13</v>
      </c>
      <c r="D2209">
        <v>400</v>
      </c>
      <c r="E2209" s="4">
        <f t="shared" si="68"/>
        <v>44139</v>
      </c>
      <c r="F2209">
        <f t="shared" si="69"/>
        <v>890</v>
      </c>
    </row>
    <row r="2210" spans="1:6" x14ac:dyDescent="0.55000000000000004">
      <c r="A2210">
        <v>3.8730926034270961E+18</v>
      </c>
      <c r="B2210" t="s">
        <v>160</v>
      </c>
      <c r="C2210" t="s">
        <v>10</v>
      </c>
      <c r="D2210">
        <v>3314</v>
      </c>
      <c r="E2210" s="4">
        <f t="shared" si="68"/>
        <v>44723</v>
      </c>
      <c r="F2210">
        <f t="shared" si="69"/>
        <v>306</v>
      </c>
    </row>
    <row r="2211" spans="1:6" x14ac:dyDescent="0.55000000000000004">
      <c r="A2211">
        <v>2.1153047796426621E+17</v>
      </c>
      <c r="B2211" t="s">
        <v>734</v>
      </c>
      <c r="C2211" t="s">
        <v>10</v>
      </c>
      <c r="D2211">
        <v>1828</v>
      </c>
      <c r="E2211" s="4">
        <f t="shared" si="68"/>
        <v>44565</v>
      </c>
      <c r="F2211">
        <f t="shared" si="69"/>
        <v>464</v>
      </c>
    </row>
    <row r="2212" spans="1:6" x14ac:dyDescent="0.55000000000000004">
      <c r="A2212">
        <v>9.8583348048057221E+18</v>
      </c>
      <c r="B2212" t="s">
        <v>890</v>
      </c>
      <c r="C2212" t="s">
        <v>50</v>
      </c>
      <c r="D2212">
        <v>55</v>
      </c>
      <c r="E2212" s="4">
        <f t="shared" si="68"/>
        <v>43755</v>
      </c>
      <c r="F2212">
        <f t="shared" si="69"/>
        <v>1274</v>
      </c>
    </row>
    <row r="2213" spans="1:6" x14ac:dyDescent="0.55000000000000004">
      <c r="A2213">
        <v>6.0705676511978691E+18</v>
      </c>
      <c r="B2213" t="s">
        <v>263</v>
      </c>
      <c r="C2213" t="s">
        <v>10</v>
      </c>
      <c r="D2213">
        <v>1880</v>
      </c>
      <c r="E2213" s="4">
        <f t="shared" si="68"/>
        <v>44549</v>
      </c>
      <c r="F2213">
        <f t="shared" si="69"/>
        <v>480</v>
      </c>
    </row>
    <row r="2214" spans="1:6" x14ac:dyDescent="0.55000000000000004">
      <c r="A2214">
        <v>9.0023427849385574E+18</v>
      </c>
      <c r="B2214" t="s">
        <v>225</v>
      </c>
      <c r="C2214" t="s">
        <v>7</v>
      </c>
      <c r="D2214">
        <v>707</v>
      </c>
      <c r="E2214" s="4">
        <f t="shared" si="68"/>
        <v>43830</v>
      </c>
      <c r="F2214">
        <f t="shared" si="69"/>
        <v>1199</v>
      </c>
    </row>
    <row r="2215" spans="1:6" x14ac:dyDescent="0.55000000000000004">
      <c r="A2215">
        <v>1.3063865385494589E+18</v>
      </c>
      <c r="B2215" t="s">
        <v>281</v>
      </c>
      <c r="C2215" t="s">
        <v>13</v>
      </c>
      <c r="D2215">
        <v>1479</v>
      </c>
      <c r="E2215" s="4">
        <f t="shared" si="68"/>
        <v>44833</v>
      </c>
      <c r="F2215">
        <f t="shared" si="69"/>
        <v>196</v>
      </c>
    </row>
    <row r="2216" spans="1:6" x14ac:dyDescent="0.55000000000000004">
      <c r="A2216">
        <v>5.1344811324232817E+18</v>
      </c>
      <c r="B2216" t="s">
        <v>290</v>
      </c>
      <c r="C2216" t="s">
        <v>13</v>
      </c>
      <c r="D2216">
        <v>5860</v>
      </c>
      <c r="E2216" s="4">
        <f t="shared" si="68"/>
        <v>44639</v>
      </c>
      <c r="F2216">
        <f t="shared" si="69"/>
        <v>390</v>
      </c>
    </row>
    <row r="2217" spans="1:6" x14ac:dyDescent="0.55000000000000004">
      <c r="A2217">
        <v>1.799160600154973E+19</v>
      </c>
      <c r="B2217" t="s">
        <v>324</v>
      </c>
      <c r="C2217" t="s">
        <v>13</v>
      </c>
      <c r="D2217">
        <v>122</v>
      </c>
      <c r="E2217" s="4">
        <f t="shared" si="68"/>
        <v>44421</v>
      </c>
      <c r="F2217">
        <f t="shared" si="69"/>
        <v>608</v>
      </c>
    </row>
    <row r="2218" spans="1:6" x14ac:dyDescent="0.55000000000000004">
      <c r="A2218">
        <v>4.2667909490277059E+18</v>
      </c>
      <c r="B2218" t="s">
        <v>293</v>
      </c>
      <c r="C2218" t="s">
        <v>10</v>
      </c>
      <c r="D2218">
        <v>475</v>
      </c>
      <c r="E2218" s="4">
        <f t="shared" si="68"/>
        <v>44598</v>
      </c>
      <c r="F2218">
        <f t="shared" si="69"/>
        <v>431</v>
      </c>
    </row>
    <row r="2219" spans="1:6" x14ac:dyDescent="0.55000000000000004">
      <c r="A2219">
        <v>8.5783702206405376E+17</v>
      </c>
      <c r="B2219" t="s">
        <v>648</v>
      </c>
      <c r="C2219" t="s">
        <v>10</v>
      </c>
      <c r="D2219">
        <v>445</v>
      </c>
      <c r="E2219" s="4">
        <f t="shared" si="68"/>
        <v>43810</v>
      </c>
      <c r="F2219">
        <f t="shared" si="69"/>
        <v>1219</v>
      </c>
    </row>
    <row r="2220" spans="1:6" x14ac:dyDescent="0.55000000000000004">
      <c r="A2220">
        <v>1.205505894706743E+17</v>
      </c>
      <c r="B2220" t="s">
        <v>1084</v>
      </c>
      <c r="C2220" t="s">
        <v>5</v>
      </c>
      <c r="D2220">
        <v>659</v>
      </c>
      <c r="E2220" s="4">
        <f t="shared" si="68"/>
        <v>44704</v>
      </c>
      <c r="F2220">
        <f t="shared" si="69"/>
        <v>325</v>
      </c>
    </row>
    <row r="2221" spans="1:6" x14ac:dyDescent="0.55000000000000004">
      <c r="A2221">
        <v>7.7611629578833347E+18</v>
      </c>
      <c r="B2221" t="s">
        <v>274</v>
      </c>
      <c r="C2221" t="s">
        <v>46</v>
      </c>
      <c r="D2221">
        <v>563</v>
      </c>
      <c r="E2221" s="4">
        <f t="shared" si="68"/>
        <v>45026</v>
      </c>
      <c r="F2221">
        <f t="shared" si="69"/>
        <v>3</v>
      </c>
    </row>
    <row r="2222" spans="1:6" x14ac:dyDescent="0.55000000000000004">
      <c r="A2222">
        <v>1.073968906688454E+19</v>
      </c>
      <c r="B2222" t="s">
        <v>1085</v>
      </c>
      <c r="C2222" t="s">
        <v>10</v>
      </c>
      <c r="D2222">
        <v>393</v>
      </c>
      <c r="E2222" s="4">
        <f t="shared" si="68"/>
        <v>43955</v>
      </c>
      <c r="F2222">
        <f t="shared" si="69"/>
        <v>1074</v>
      </c>
    </row>
    <row r="2223" spans="1:6" x14ac:dyDescent="0.55000000000000004">
      <c r="A2223">
        <v>8.2526436168957706E+18</v>
      </c>
      <c r="B2223" t="s">
        <v>642</v>
      </c>
      <c r="C2223" t="s">
        <v>5</v>
      </c>
      <c r="D2223">
        <v>4183</v>
      </c>
      <c r="E2223" s="4">
        <f t="shared" si="68"/>
        <v>44703</v>
      </c>
      <c r="F2223">
        <f t="shared" si="69"/>
        <v>326</v>
      </c>
    </row>
    <row r="2224" spans="1:6" x14ac:dyDescent="0.55000000000000004">
      <c r="A2224">
        <v>2.4900764070208317E+18</v>
      </c>
      <c r="B2224" t="s">
        <v>1086</v>
      </c>
      <c r="C2224" t="s">
        <v>10</v>
      </c>
      <c r="D2224">
        <v>130</v>
      </c>
      <c r="E2224" s="4">
        <f t="shared" si="68"/>
        <v>44091</v>
      </c>
      <c r="F2224">
        <f t="shared" si="69"/>
        <v>938</v>
      </c>
    </row>
    <row r="2225" spans="1:6" x14ac:dyDescent="0.55000000000000004">
      <c r="A2225">
        <v>1.064432394007756E+19</v>
      </c>
      <c r="B2225" t="s">
        <v>246</v>
      </c>
      <c r="C2225" t="s">
        <v>50</v>
      </c>
      <c r="D2225">
        <v>327</v>
      </c>
      <c r="E2225" s="4">
        <f t="shared" si="68"/>
        <v>44348</v>
      </c>
      <c r="F2225">
        <f t="shared" si="69"/>
        <v>681</v>
      </c>
    </row>
    <row r="2226" spans="1:6" x14ac:dyDescent="0.55000000000000004">
      <c r="A2226">
        <v>1.748010131203328E+19</v>
      </c>
      <c r="B2226" t="s">
        <v>954</v>
      </c>
      <c r="C2226" t="s">
        <v>13</v>
      </c>
      <c r="D2226">
        <v>3264</v>
      </c>
      <c r="E2226" s="4">
        <f t="shared" si="68"/>
        <v>44717</v>
      </c>
      <c r="F2226">
        <f t="shared" si="69"/>
        <v>312</v>
      </c>
    </row>
    <row r="2227" spans="1:6" x14ac:dyDescent="0.55000000000000004">
      <c r="A2227">
        <v>2.055053471575446E+18</v>
      </c>
      <c r="B2227" t="s">
        <v>1028</v>
      </c>
      <c r="C2227" t="s">
        <v>26</v>
      </c>
      <c r="D2227">
        <v>318</v>
      </c>
      <c r="E2227" s="4">
        <f t="shared" si="68"/>
        <v>44424</v>
      </c>
      <c r="F2227">
        <f t="shared" si="69"/>
        <v>605</v>
      </c>
    </row>
    <row r="2228" spans="1:6" x14ac:dyDescent="0.55000000000000004">
      <c r="A2228">
        <v>7.2450631337090017E+18</v>
      </c>
      <c r="B2228" t="s">
        <v>927</v>
      </c>
      <c r="C2228" t="s">
        <v>10</v>
      </c>
      <c r="D2228">
        <v>1047</v>
      </c>
      <c r="E2228" s="4">
        <f t="shared" si="68"/>
        <v>44775</v>
      </c>
      <c r="F2228">
        <f t="shared" si="69"/>
        <v>254</v>
      </c>
    </row>
    <row r="2229" spans="1:6" x14ac:dyDescent="0.55000000000000004">
      <c r="A2229">
        <v>4.3720849680859843E+18</v>
      </c>
      <c r="B2229" t="s">
        <v>1087</v>
      </c>
      <c r="C2229" t="s">
        <v>13</v>
      </c>
      <c r="D2229">
        <v>430</v>
      </c>
      <c r="E2229" s="4">
        <f t="shared" si="68"/>
        <v>43793</v>
      </c>
      <c r="F2229">
        <f t="shared" si="69"/>
        <v>1236</v>
      </c>
    </row>
    <row r="2230" spans="1:6" x14ac:dyDescent="0.55000000000000004">
      <c r="A2230">
        <v>2.5752748189004631E+18</v>
      </c>
      <c r="B2230" t="s">
        <v>1088</v>
      </c>
      <c r="C2230" t="s">
        <v>10</v>
      </c>
      <c r="D2230">
        <v>1390</v>
      </c>
      <c r="E2230" s="4">
        <f t="shared" si="68"/>
        <v>44951</v>
      </c>
      <c r="F2230">
        <f t="shared" si="69"/>
        <v>78</v>
      </c>
    </row>
    <row r="2231" spans="1:6" x14ac:dyDescent="0.55000000000000004">
      <c r="A2231">
        <v>1.388693896766259E+19</v>
      </c>
      <c r="B2231" t="s">
        <v>561</v>
      </c>
      <c r="C2231" t="s">
        <v>5</v>
      </c>
      <c r="D2231">
        <v>890</v>
      </c>
      <c r="E2231" s="4">
        <f t="shared" si="68"/>
        <v>44296</v>
      </c>
      <c r="F2231">
        <f t="shared" si="69"/>
        <v>733</v>
      </c>
    </row>
    <row r="2232" spans="1:6" x14ac:dyDescent="0.55000000000000004">
      <c r="A2232">
        <v>1.0915671750120159E+19</v>
      </c>
      <c r="B2232" t="s">
        <v>737</v>
      </c>
      <c r="C2232" t="s">
        <v>5</v>
      </c>
      <c r="D2232">
        <v>6334</v>
      </c>
      <c r="E2232" s="4">
        <f t="shared" si="68"/>
        <v>44742</v>
      </c>
      <c r="F2232">
        <f t="shared" si="69"/>
        <v>287</v>
      </c>
    </row>
    <row r="2233" spans="1:6" x14ac:dyDescent="0.55000000000000004">
      <c r="A2233">
        <v>1.137483445246679E+19</v>
      </c>
      <c r="B2233" t="s">
        <v>1004</v>
      </c>
      <c r="C2233" t="s">
        <v>10</v>
      </c>
      <c r="D2233">
        <v>1782</v>
      </c>
      <c r="E2233" s="4">
        <f t="shared" si="68"/>
        <v>44728</v>
      </c>
      <c r="F2233">
        <f t="shared" si="69"/>
        <v>301</v>
      </c>
    </row>
    <row r="2234" spans="1:6" x14ac:dyDescent="0.55000000000000004">
      <c r="A2234">
        <v>9.4373128268996157E+18</v>
      </c>
      <c r="B2234" t="s">
        <v>942</v>
      </c>
      <c r="C2234" t="s">
        <v>10</v>
      </c>
      <c r="D2234">
        <v>1741</v>
      </c>
      <c r="E2234" s="4">
        <f t="shared" si="68"/>
        <v>44992</v>
      </c>
      <c r="F2234">
        <f t="shared" si="69"/>
        <v>37</v>
      </c>
    </row>
    <row r="2235" spans="1:6" x14ac:dyDescent="0.55000000000000004">
      <c r="A2235">
        <v>1.757283772298506E+19</v>
      </c>
      <c r="B2235" t="s">
        <v>846</v>
      </c>
      <c r="C2235" t="s">
        <v>13</v>
      </c>
      <c r="D2235">
        <v>1796</v>
      </c>
      <c r="E2235" s="4">
        <f t="shared" si="68"/>
        <v>44410</v>
      </c>
      <c r="F2235">
        <f t="shared" si="69"/>
        <v>619</v>
      </c>
    </row>
    <row r="2236" spans="1:6" x14ac:dyDescent="0.55000000000000004">
      <c r="A2236">
        <v>1.1270285578073041E+19</v>
      </c>
      <c r="B2236" t="s">
        <v>597</v>
      </c>
      <c r="C2236" t="s">
        <v>13</v>
      </c>
      <c r="D2236">
        <v>1600</v>
      </c>
      <c r="E2236" s="4">
        <f t="shared" si="68"/>
        <v>44060</v>
      </c>
      <c r="F2236">
        <f t="shared" si="69"/>
        <v>969</v>
      </c>
    </row>
    <row r="2237" spans="1:6" x14ac:dyDescent="0.55000000000000004">
      <c r="A2237">
        <v>1.4517213028611961E+19</v>
      </c>
      <c r="B2237" t="s">
        <v>238</v>
      </c>
      <c r="C2237" t="s">
        <v>7</v>
      </c>
      <c r="D2237">
        <v>444</v>
      </c>
      <c r="E2237" s="4">
        <f t="shared" si="68"/>
        <v>44622</v>
      </c>
      <c r="F2237">
        <f t="shared" si="69"/>
        <v>407</v>
      </c>
    </row>
    <row r="2238" spans="1:6" x14ac:dyDescent="0.55000000000000004">
      <c r="A2238">
        <v>1.3986200410925781E+19</v>
      </c>
      <c r="B2238" t="s">
        <v>1033</v>
      </c>
      <c r="C2238" t="s">
        <v>10</v>
      </c>
      <c r="D2238">
        <v>3651</v>
      </c>
      <c r="E2238" s="4">
        <f t="shared" si="68"/>
        <v>43892</v>
      </c>
      <c r="F2238">
        <f t="shared" si="69"/>
        <v>1137</v>
      </c>
    </row>
    <row r="2239" spans="1:6" x14ac:dyDescent="0.55000000000000004">
      <c r="A2239">
        <v>8.2988321104194744E+18</v>
      </c>
      <c r="B2239" t="s">
        <v>1089</v>
      </c>
      <c r="C2239" t="s">
        <v>10</v>
      </c>
      <c r="D2239">
        <v>4245</v>
      </c>
      <c r="E2239" s="4">
        <f t="shared" si="68"/>
        <v>44673</v>
      </c>
      <c r="F2239">
        <f t="shared" si="69"/>
        <v>356</v>
      </c>
    </row>
    <row r="2240" spans="1:6" x14ac:dyDescent="0.55000000000000004">
      <c r="A2240">
        <v>2.4900764070208317E+18</v>
      </c>
      <c r="B2240" t="s">
        <v>176</v>
      </c>
      <c r="C2240" t="s">
        <v>13</v>
      </c>
      <c r="D2240">
        <v>555</v>
      </c>
      <c r="E2240" s="4">
        <f t="shared" si="68"/>
        <v>44773</v>
      </c>
      <c r="F2240">
        <f t="shared" si="69"/>
        <v>256</v>
      </c>
    </row>
    <row r="2241" spans="1:6" x14ac:dyDescent="0.55000000000000004">
      <c r="A2241">
        <v>4.1901479744037089E+18</v>
      </c>
      <c r="B2241" t="s">
        <v>196</v>
      </c>
      <c r="C2241" t="s">
        <v>10</v>
      </c>
      <c r="D2241">
        <v>299</v>
      </c>
      <c r="E2241" s="4">
        <f t="shared" si="68"/>
        <v>44759</v>
      </c>
      <c r="F2241">
        <f t="shared" si="69"/>
        <v>270</v>
      </c>
    </row>
    <row r="2242" spans="1:6" x14ac:dyDescent="0.55000000000000004">
      <c r="A2242">
        <v>2.510202513728401E+17</v>
      </c>
      <c r="B2242" t="s">
        <v>287</v>
      </c>
      <c r="C2242" t="s">
        <v>10</v>
      </c>
      <c r="D2242">
        <v>849</v>
      </c>
      <c r="E2242" s="4">
        <f t="shared" si="68"/>
        <v>44981</v>
      </c>
      <c r="F2242">
        <f t="shared" si="69"/>
        <v>48</v>
      </c>
    </row>
    <row r="2243" spans="1:6" x14ac:dyDescent="0.55000000000000004">
      <c r="A2243">
        <v>2.564259622408022E+18</v>
      </c>
      <c r="B2243" t="s">
        <v>1090</v>
      </c>
      <c r="C2243" t="s">
        <v>13</v>
      </c>
      <c r="D2243">
        <v>15780</v>
      </c>
      <c r="E2243" s="4">
        <f t="shared" ref="E2243:E2306" si="70">DATEVALUE(B2243)</f>
        <v>43576</v>
      </c>
      <c r="F2243">
        <f t="shared" ref="F2243:F2306" si="71">$H$1-E2243</f>
        <v>1453</v>
      </c>
    </row>
    <row r="2244" spans="1:6" x14ac:dyDescent="0.55000000000000004">
      <c r="A2244">
        <v>1.8150622644532199E+19</v>
      </c>
      <c r="B2244" t="s">
        <v>423</v>
      </c>
      <c r="C2244" t="s">
        <v>10</v>
      </c>
      <c r="D2244">
        <v>2280</v>
      </c>
      <c r="E2244" s="4">
        <f t="shared" si="70"/>
        <v>44642</v>
      </c>
      <c r="F2244">
        <f t="shared" si="71"/>
        <v>387</v>
      </c>
    </row>
    <row r="2245" spans="1:6" x14ac:dyDescent="0.55000000000000004">
      <c r="A2245">
        <v>1.5574239814710999E+19</v>
      </c>
      <c r="B2245" t="s">
        <v>1091</v>
      </c>
      <c r="C2245" t="s">
        <v>50</v>
      </c>
      <c r="D2245">
        <v>38</v>
      </c>
      <c r="E2245" s="4">
        <f t="shared" si="70"/>
        <v>44250</v>
      </c>
      <c r="F2245">
        <f t="shared" si="71"/>
        <v>779</v>
      </c>
    </row>
    <row r="2246" spans="1:6" x14ac:dyDescent="0.55000000000000004">
      <c r="A2246">
        <v>1.764911761322428E+19</v>
      </c>
      <c r="B2246" t="s">
        <v>878</v>
      </c>
      <c r="C2246" t="s">
        <v>10</v>
      </c>
      <c r="D2246">
        <v>344</v>
      </c>
      <c r="E2246" s="4">
        <f t="shared" si="70"/>
        <v>44880</v>
      </c>
      <c r="F2246">
        <f t="shared" si="71"/>
        <v>149</v>
      </c>
    </row>
    <row r="2247" spans="1:6" x14ac:dyDescent="0.55000000000000004">
      <c r="A2247">
        <v>7.8934903852824699E+18</v>
      </c>
      <c r="B2247" t="s">
        <v>253</v>
      </c>
      <c r="C2247" t="s">
        <v>7</v>
      </c>
      <c r="D2247">
        <v>85</v>
      </c>
      <c r="E2247" s="4">
        <f t="shared" si="70"/>
        <v>44376</v>
      </c>
      <c r="F2247">
        <f t="shared" si="71"/>
        <v>653</v>
      </c>
    </row>
    <row r="2248" spans="1:6" x14ac:dyDescent="0.55000000000000004">
      <c r="A2248">
        <v>1.118007060145205E+19</v>
      </c>
      <c r="B2248" t="s">
        <v>1092</v>
      </c>
      <c r="C2248" t="s">
        <v>13</v>
      </c>
      <c r="D2248">
        <v>1790</v>
      </c>
      <c r="E2248" s="4">
        <f t="shared" si="70"/>
        <v>43958</v>
      </c>
      <c r="F2248">
        <f t="shared" si="71"/>
        <v>1071</v>
      </c>
    </row>
    <row r="2249" spans="1:6" x14ac:dyDescent="0.55000000000000004">
      <c r="A2249">
        <v>9.9012415893607588E+18</v>
      </c>
      <c r="B2249" t="s">
        <v>105</v>
      </c>
      <c r="C2249" t="s">
        <v>13</v>
      </c>
      <c r="D2249">
        <v>1139</v>
      </c>
      <c r="E2249" s="4">
        <f t="shared" si="70"/>
        <v>44989</v>
      </c>
      <c r="F2249">
        <f t="shared" si="71"/>
        <v>40</v>
      </c>
    </row>
    <row r="2250" spans="1:6" x14ac:dyDescent="0.55000000000000004">
      <c r="A2250">
        <v>7.2497447867208612E+18</v>
      </c>
      <c r="B2250" t="s">
        <v>928</v>
      </c>
      <c r="C2250" t="s">
        <v>50</v>
      </c>
      <c r="D2250">
        <v>50</v>
      </c>
      <c r="E2250" s="4">
        <f t="shared" si="70"/>
        <v>43868</v>
      </c>
      <c r="F2250">
        <f t="shared" si="71"/>
        <v>1161</v>
      </c>
    </row>
    <row r="2251" spans="1:6" x14ac:dyDescent="0.55000000000000004">
      <c r="A2251">
        <v>1.289848425206467E+19</v>
      </c>
      <c r="B2251" t="s">
        <v>1050</v>
      </c>
      <c r="C2251" t="s">
        <v>46</v>
      </c>
      <c r="D2251">
        <v>292</v>
      </c>
      <c r="E2251" s="4">
        <f t="shared" si="70"/>
        <v>44726</v>
      </c>
      <c r="F2251">
        <f t="shared" si="71"/>
        <v>303</v>
      </c>
    </row>
    <row r="2252" spans="1:6" x14ac:dyDescent="0.55000000000000004">
      <c r="A2252">
        <v>2.174249501936778E+18</v>
      </c>
      <c r="B2252" t="s">
        <v>1093</v>
      </c>
      <c r="C2252" t="s">
        <v>13</v>
      </c>
      <c r="D2252">
        <v>5802</v>
      </c>
      <c r="E2252" s="4">
        <f t="shared" si="70"/>
        <v>44993</v>
      </c>
      <c r="F2252">
        <f t="shared" si="71"/>
        <v>36</v>
      </c>
    </row>
    <row r="2253" spans="1:6" x14ac:dyDescent="0.55000000000000004">
      <c r="A2253">
        <v>5.1902422601240381E+18</v>
      </c>
      <c r="B2253" t="s">
        <v>177</v>
      </c>
      <c r="C2253" t="s">
        <v>13</v>
      </c>
      <c r="D2253">
        <v>1005</v>
      </c>
      <c r="E2253" s="4">
        <f t="shared" si="70"/>
        <v>44633</v>
      </c>
      <c r="F2253">
        <f t="shared" si="71"/>
        <v>396</v>
      </c>
    </row>
    <row r="2254" spans="1:6" x14ac:dyDescent="0.55000000000000004">
      <c r="A2254">
        <v>4.6689134180160983E+18</v>
      </c>
      <c r="B2254" t="s">
        <v>580</v>
      </c>
      <c r="C2254" t="s">
        <v>10</v>
      </c>
      <c r="D2254">
        <v>439</v>
      </c>
      <c r="E2254" s="4">
        <f t="shared" si="70"/>
        <v>44404</v>
      </c>
      <c r="F2254">
        <f t="shared" si="71"/>
        <v>625</v>
      </c>
    </row>
    <row r="2255" spans="1:6" x14ac:dyDescent="0.55000000000000004">
      <c r="A2255">
        <v>6.5209463129209108E+18</v>
      </c>
      <c r="B2255" t="s">
        <v>303</v>
      </c>
      <c r="C2255" t="s">
        <v>7</v>
      </c>
      <c r="D2255">
        <v>110</v>
      </c>
      <c r="E2255" s="4">
        <f t="shared" si="70"/>
        <v>44039</v>
      </c>
      <c r="F2255">
        <f t="shared" si="71"/>
        <v>990</v>
      </c>
    </row>
    <row r="2256" spans="1:6" x14ac:dyDescent="0.55000000000000004">
      <c r="A2256">
        <v>1.415339156003328E+19</v>
      </c>
      <c r="B2256" t="s">
        <v>1089</v>
      </c>
      <c r="C2256" t="s">
        <v>10</v>
      </c>
      <c r="D2256">
        <v>302</v>
      </c>
      <c r="E2256" s="4">
        <f t="shared" si="70"/>
        <v>44673</v>
      </c>
      <c r="F2256">
        <f t="shared" si="71"/>
        <v>356</v>
      </c>
    </row>
    <row r="2257" spans="1:6" x14ac:dyDescent="0.55000000000000004">
      <c r="A2257">
        <v>1.1491400822540571E+19</v>
      </c>
      <c r="B2257" t="s">
        <v>345</v>
      </c>
      <c r="C2257" t="s">
        <v>13</v>
      </c>
      <c r="D2257">
        <v>3292</v>
      </c>
      <c r="E2257" s="4">
        <f t="shared" si="70"/>
        <v>44809</v>
      </c>
      <c r="F2257">
        <f t="shared" si="71"/>
        <v>220</v>
      </c>
    </row>
    <row r="2258" spans="1:6" x14ac:dyDescent="0.55000000000000004">
      <c r="A2258">
        <v>2.5753164287762079E+18</v>
      </c>
      <c r="B2258" t="s">
        <v>57</v>
      </c>
      <c r="C2258" t="s">
        <v>10</v>
      </c>
      <c r="D2258">
        <v>1217</v>
      </c>
      <c r="E2258" s="4">
        <f t="shared" si="70"/>
        <v>44021</v>
      </c>
      <c r="F2258">
        <f t="shared" si="71"/>
        <v>1008</v>
      </c>
    </row>
    <row r="2259" spans="1:6" x14ac:dyDescent="0.55000000000000004">
      <c r="A2259">
        <v>7.7811365990850867E+18</v>
      </c>
      <c r="B2259" t="s">
        <v>234</v>
      </c>
      <c r="C2259" t="s">
        <v>50</v>
      </c>
      <c r="D2259">
        <v>69</v>
      </c>
      <c r="E2259" s="4">
        <f t="shared" si="70"/>
        <v>44766</v>
      </c>
      <c r="F2259">
        <f t="shared" si="71"/>
        <v>263</v>
      </c>
    </row>
    <row r="2260" spans="1:6" x14ac:dyDescent="0.55000000000000004">
      <c r="A2260">
        <v>4.2159826876365911E+18</v>
      </c>
      <c r="B2260" t="s">
        <v>774</v>
      </c>
      <c r="C2260" t="s">
        <v>7</v>
      </c>
      <c r="D2260">
        <v>6.1</v>
      </c>
      <c r="E2260" s="4">
        <f t="shared" si="70"/>
        <v>44514</v>
      </c>
      <c r="F2260">
        <f t="shared" si="71"/>
        <v>515</v>
      </c>
    </row>
    <row r="2261" spans="1:6" x14ac:dyDescent="0.55000000000000004">
      <c r="A2261">
        <v>1.1080176800444951E+19</v>
      </c>
      <c r="B2261" t="s">
        <v>1094</v>
      </c>
      <c r="C2261" t="s">
        <v>13</v>
      </c>
      <c r="D2261">
        <v>1108</v>
      </c>
      <c r="E2261" s="4">
        <f t="shared" si="70"/>
        <v>44059</v>
      </c>
      <c r="F2261">
        <f t="shared" si="71"/>
        <v>970</v>
      </c>
    </row>
    <row r="2262" spans="1:6" x14ac:dyDescent="0.55000000000000004">
      <c r="A2262">
        <v>2.6197657737649992E+18</v>
      </c>
      <c r="B2262" t="s">
        <v>744</v>
      </c>
      <c r="C2262" t="s">
        <v>13</v>
      </c>
      <c r="D2262">
        <v>4756</v>
      </c>
      <c r="E2262" s="4">
        <f t="shared" si="70"/>
        <v>44978</v>
      </c>
      <c r="F2262">
        <f t="shared" si="71"/>
        <v>51</v>
      </c>
    </row>
    <row r="2263" spans="1:6" x14ac:dyDescent="0.55000000000000004">
      <c r="A2263">
        <v>4.8769984664423875E+18</v>
      </c>
      <c r="B2263" t="s">
        <v>683</v>
      </c>
      <c r="C2263" t="s">
        <v>10</v>
      </c>
      <c r="D2263">
        <v>1313</v>
      </c>
      <c r="E2263" s="4">
        <f t="shared" si="70"/>
        <v>44652</v>
      </c>
      <c r="F2263">
        <f t="shared" si="71"/>
        <v>377</v>
      </c>
    </row>
    <row r="2264" spans="1:6" x14ac:dyDescent="0.55000000000000004">
      <c r="A2264">
        <v>6.9420773313375857E+18</v>
      </c>
      <c r="B2264" t="s">
        <v>848</v>
      </c>
      <c r="C2264" t="s">
        <v>10</v>
      </c>
      <c r="D2264">
        <v>1288</v>
      </c>
      <c r="E2264" s="4">
        <f t="shared" si="70"/>
        <v>44464</v>
      </c>
      <c r="F2264">
        <f t="shared" si="71"/>
        <v>565</v>
      </c>
    </row>
    <row r="2265" spans="1:6" x14ac:dyDescent="0.55000000000000004">
      <c r="A2265">
        <v>1.293280590820709E+19</v>
      </c>
      <c r="B2265" t="s">
        <v>688</v>
      </c>
      <c r="C2265" t="s">
        <v>13</v>
      </c>
      <c r="D2265">
        <v>348</v>
      </c>
      <c r="E2265" s="4">
        <f t="shared" si="70"/>
        <v>44434</v>
      </c>
      <c r="F2265">
        <f t="shared" si="71"/>
        <v>595</v>
      </c>
    </row>
    <row r="2266" spans="1:6" x14ac:dyDescent="0.55000000000000004">
      <c r="A2266">
        <v>3.9337276893371848E+18</v>
      </c>
      <c r="B2266" t="s">
        <v>158</v>
      </c>
      <c r="C2266" t="s">
        <v>10</v>
      </c>
      <c r="D2266">
        <v>3417</v>
      </c>
      <c r="E2266" s="4">
        <f t="shared" si="70"/>
        <v>44418</v>
      </c>
      <c r="F2266">
        <f t="shared" si="71"/>
        <v>611</v>
      </c>
    </row>
    <row r="2267" spans="1:6" x14ac:dyDescent="0.55000000000000004">
      <c r="A2267">
        <v>1.3754657606156081E+18</v>
      </c>
      <c r="B2267" t="s">
        <v>466</v>
      </c>
      <c r="C2267" t="s">
        <v>5</v>
      </c>
      <c r="D2267">
        <v>194</v>
      </c>
      <c r="E2267" s="4">
        <f t="shared" si="70"/>
        <v>44624</v>
      </c>
      <c r="F2267">
        <f t="shared" si="71"/>
        <v>405</v>
      </c>
    </row>
    <row r="2268" spans="1:6" x14ac:dyDescent="0.55000000000000004">
      <c r="A2268">
        <v>8.3708087912053862E+18</v>
      </c>
      <c r="B2268" t="s">
        <v>906</v>
      </c>
      <c r="C2268" t="s">
        <v>7</v>
      </c>
      <c r="D2268">
        <v>619</v>
      </c>
      <c r="E2268" s="4">
        <f t="shared" si="70"/>
        <v>44603</v>
      </c>
      <c r="F2268">
        <f t="shared" si="71"/>
        <v>426</v>
      </c>
    </row>
    <row r="2269" spans="1:6" x14ac:dyDescent="0.55000000000000004">
      <c r="A2269">
        <v>4.9000438688418744E+18</v>
      </c>
      <c r="B2269" t="s">
        <v>1095</v>
      </c>
      <c r="C2269" t="s">
        <v>10</v>
      </c>
      <c r="D2269">
        <v>1418</v>
      </c>
      <c r="E2269" s="4">
        <f t="shared" si="70"/>
        <v>44674</v>
      </c>
      <c r="F2269">
        <f t="shared" si="71"/>
        <v>355</v>
      </c>
    </row>
    <row r="2270" spans="1:6" x14ac:dyDescent="0.55000000000000004">
      <c r="A2270">
        <v>1.5408046944755769E+19</v>
      </c>
      <c r="B2270" t="s">
        <v>21</v>
      </c>
      <c r="C2270" t="s">
        <v>10</v>
      </c>
      <c r="D2270">
        <v>670</v>
      </c>
      <c r="E2270" s="4">
        <f t="shared" si="70"/>
        <v>44563</v>
      </c>
      <c r="F2270">
        <f t="shared" si="71"/>
        <v>466</v>
      </c>
    </row>
    <row r="2271" spans="1:6" x14ac:dyDescent="0.55000000000000004">
      <c r="A2271">
        <v>7.7811365990850867E+18</v>
      </c>
      <c r="B2271" t="s">
        <v>707</v>
      </c>
      <c r="C2271" t="s">
        <v>26</v>
      </c>
      <c r="D2271">
        <v>718</v>
      </c>
      <c r="E2271" s="4">
        <f t="shared" si="70"/>
        <v>44265</v>
      </c>
      <c r="F2271">
        <f t="shared" si="71"/>
        <v>764</v>
      </c>
    </row>
    <row r="2272" spans="1:6" x14ac:dyDescent="0.55000000000000004">
      <c r="A2272">
        <v>6.1476417961953853E+18</v>
      </c>
      <c r="B2272" t="s">
        <v>465</v>
      </c>
      <c r="C2272" t="s">
        <v>7</v>
      </c>
      <c r="D2272">
        <v>3797</v>
      </c>
      <c r="E2272" s="4">
        <f t="shared" si="70"/>
        <v>44917</v>
      </c>
      <c r="F2272">
        <f t="shared" si="71"/>
        <v>112</v>
      </c>
    </row>
    <row r="2273" spans="1:6" x14ac:dyDescent="0.55000000000000004">
      <c r="A2273">
        <v>8.5783702206405376E+17</v>
      </c>
      <c r="B2273" t="s">
        <v>114</v>
      </c>
      <c r="C2273" t="s">
        <v>13</v>
      </c>
      <c r="D2273">
        <v>153</v>
      </c>
      <c r="E2273" s="4">
        <f t="shared" si="70"/>
        <v>43712</v>
      </c>
      <c r="F2273">
        <f t="shared" si="71"/>
        <v>1317</v>
      </c>
    </row>
    <row r="2274" spans="1:6" x14ac:dyDescent="0.55000000000000004">
      <c r="A2274">
        <v>6.3697051539120968E+18</v>
      </c>
      <c r="B2274" t="s">
        <v>508</v>
      </c>
      <c r="C2274" t="s">
        <v>10</v>
      </c>
      <c r="D2274">
        <v>2197</v>
      </c>
      <c r="E2274" s="4">
        <f t="shared" si="70"/>
        <v>44886</v>
      </c>
      <c r="F2274">
        <f t="shared" si="71"/>
        <v>143</v>
      </c>
    </row>
    <row r="2275" spans="1:6" x14ac:dyDescent="0.55000000000000004">
      <c r="A2275">
        <v>7.9386051659455212E+18</v>
      </c>
      <c r="B2275" t="s">
        <v>825</v>
      </c>
      <c r="C2275" t="s">
        <v>13</v>
      </c>
      <c r="D2275">
        <v>1913</v>
      </c>
      <c r="E2275" s="4">
        <f t="shared" si="70"/>
        <v>44619</v>
      </c>
      <c r="F2275">
        <f t="shared" si="71"/>
        <v>410</v>
      </c>
    </row>
    <row r="2276" spans="1:6" x14ac:dyDescent="0.55000000000000004">
      <c r="A2276">
        <v>1.647289932137508E+19</v>
      </c>
      <c r="B2276" t="s">
        <v>942</v>
      </c>
      <c r="C2276" t="s">
        <v>10</v>
      </c>
      <c r="D2276">
        <v>330</v>
      </c>
      <c r="E2276" s="4">
        <f t="shared" si="70"/>
        <v>44992</v>
      </c>
      <c r="F2276">
        <f t="shared" si="71"/>
        <v>37</v>
      </c>
    </row>
    <row r="2277" spans="1:6" x14ac:dyDescent="0.55000000000000004">
      <c r="A2277">
        <v>1.5852763988421089E+19</v>
      </c>
      <c r="B2277" t="s">
        <v>895</v>
      </c>
      <c r="C2277" t="s">
        <v>10</v>
      </c>
      <c r="D2277">
        <v>380</v>
      </c>
      <c r="E2277" s="4">
        <f t="shared" si="70"/>
        <v>44999</v>
      </c>
      <c r="F2277">
        <f t="shared" si="71"/>
        <v>30</v>
      </c>
    </row>
    <row r="2278" spans="1:6" x14ac:dyDescent="0.55000000000000004">
      <c r="A2278">
        <v>1.495907029826509E+19</v>
      </c>
      <c r="B2278" t="s">
        <v>133</v>
      </c>
      <c r="C2278" t="s">
        <v>10</v>
      </c>
      <c r="D2278">
        <v>1200</v>
      </c>
      <c r="E2278" s="4">
        <f t="shared" si="70"/>
        <v>44944</v>
      </c>
      <c r="F2278">
        <f t="shared" si="71"/>
        <v>85</v>
      </c>
    </row>
    <row r="2279" spans="1:6" x14ac:dyDescent="0.55000000000000004">
      <c r="A2279">
        <v>1.5942815274304819E+19</v>
      </c>
      <c r="B2279" t="s">
        <v>737</v>
      </c>
      <c r="C2279" t="s">
        <v>13</v>
      </c>
      <c r="D2279">
        <v>441</v>
      </c>
      <c r="E2279" s="4">
        <f t="shared" si="70"/>
        <v>44742</v>
      </c>
      <c r="F2279">
        <f t="shared" si="71"/>
        <v>287</v>
      </c>
    </row>
    <row r="2280" spans="1:6" x14ac:dyDescent="0.55000000000000004">
      <c r="A2280">
        <v>9.0032645547577498E+17</v>
      </c>
      <c r="B2280" t="s">
        <v>869</v>
      </c>
      <c r="C2280" t="s">
        <v>13</v>
      </c>
      <c r="D2280">
        <v>750</v>
      </c>
      <c r="E2280" s="4">
        <f t="shared" si="70"/>
        <v>44973</v>
      </c>
      <c r="F2280">
        <f t="shared" si="71"/>
        <v>56</v>
      </c>
    </row>
    <row r="2281" spans="1:6" x14ac:dyDescent="0.55000000000000004">
      <c r="A2281">
        <v>5.4480656603369421E+18</v>
      </c>
      <c r="B2281" t="s">
        <v>1088</v>
      </c>
      <c r="C2281" t="s">
        <v>50</v>
      </c>
      <c r="D2281">
        <v>204</v>
      </c>
      <c r="E2281" s="4">
        <f t="shared" si="70"/>
        <v>44951</v>
      </c>
      <c r="F2281">
        <f t="shared" si="71"/>
        <v>78</v>
      </c>
    </row>
    <row r="2282" spans="1:6" x14ac:dyDescent="0.55000000000000004">
      <c r="A2282">
        <v>1.313918294808908E+19</v>
      </c>
      <c r="B2282" t="s">
        <v>611</v>
      </c>
      <c r="C2282" t="s">
        <v>13</v>
      </c>
      <c r="D2282">
        <v>837</v>
      </c>
      <c r="E2282" s="4">
        <f t="shared" si="70"/>
        <v>44359</v>
      </c>
      <c r="F2282">
        <f t="shared" si="71"/>
        <v>670</v>
      </c>
    </row>
    <row r="2283" spans="1:6" x14ac:dyDescent="0.55000000000000004">
      <c r="A2283">
        <v>1.7968689873967131E+19</v>
      </c>
      <c r="B2283" t="s">
        <v>849</v>
      </c>
      <c r="C2283" t="s">
        <v>10</v>
      </c>
      <c r="D2283">
        <v>2874</v>
      </c>
      <c r="E2283" s="4">
        <f t="shared" si="70"/>
        <v>44856</v>
      </c>
      <c r="F2283">
        <f t="shared" si="71"/>
        <v>173</v>
      </c>
    </row>
    <row r="2284" spans="1:6" x14ac:dyDescent="0.55000000000000004">
      <c r="A2284">
        <v>1.357094978375269E+19</v>
      </c>
      <c r="B2284" t="s">
        <v>272</v>
      </c>
      <c r="C2284" t="s">
        <v>13</v>
      </c>
      <c r="D2284">
        <v>2410</v>
      </c>
      <c r="E2284" s="4">
        <f t="shared" si="70"/>
        <v>44681</v>
      </c>
      <c r="F2284">
        <f t="shared" si="71"/>
        <v>348</v>
      </c>
    </row>
    <row r="2285" spans="1:6" x14ac:dyDescent="0.55000000000000004">
      <c r="A2285">
        <v>1.4569383947858901E+19</v>
      </c>
      <c r="B2285" t="s">
        <v>1025</v>
      </c>
      <c r="C2285" t="s">
        <v>13</v>
      </c>
      <c r="D2285">
        <v>597</v>
      </c>
      <c r="E2285" s="4">
        <f t="shared" si="70"/>
        <v>44338</v>
      </c>
      <c r="F2285">
        <f t="shared" si="71"/>
        <v>691</v>
      </c>
    </row>
    <row r="2286" spans="1:6" x14ac:dyDescent="0.55000000000000004">
      <c r="A2286">
        <v>9.3011369724624343E+18</v>
      </c>
      <c r="B2286" t="s">
        <v>498</v>
      </c>
      <c r="C2286" t="s">
        <v>7</v>
      </c>
      <c r="D2286">
        <v>138</v>
      </c>
      <c r="E2286" s="4">
        <f t="shared" si="70"/>
        <v>43913</v>
      </c>
      <c r="F2286">
        <f t="shared" si="71"/>
        <v>1116</v>
      </c>
    </row>
    <row r="2287" spans="1:6" x14ac:dyDescent="0.55000000000000004">
      <c r="A2287">
        <v>1.1427219249676179E+19</v>
      </c>
      <c r="B2287" t="s">
        <v>374</v>
      </c>
      <c r="C2287" t="s">
        <v>13</v>
      </c>
      <c r="D2287">
        <v>476</v>
      </c>
      <c r="E2287" s="4">
        <f t="shared" si="70"/>
        <v>44610</v>
      </c>
      <c r="F2287">
        <f t="shared" si="71"/>
        <v>419</v>
      </c>
    </row>
    <row r="2288" spans="1:6" x14ac:dyDescent="0.55000000000000004">
      <c r="A2288">
        <v>1.142685925263751E+19</v>
      </c>
      <c r="B2288" t="s">
        <v>439</v>
      </c>
      <c r="C2288" t="s">
        <v>13</v>
      </c>
      <c r="D2288">
        <v>687</v>
      </c>
      <c r="E2288" s="4">
        <f t="shared" si="70"/>
        <v>43890</v>
      </c>
      <c r="F2288">
        <f t="shared" si="71"/>
        <v>1139</v>
      </c>
    </row>
    <row r="2289" spans="1:6" x14ac:dyDescent="0.55000000000000004">
      <c r="A2289">
        <v>4.6573412077654477E+18</v>
      </c>
      <c r="B2289" t="s">
        <v>11</v>
      </c>
      <c r="C2289" t="s">
        <v>7</v>
      </c>
      <c r="D2289">
        <v>2455</v>
      </c>
      <c r="E2289" s="4">
        <f t="shared" si="70"/>
        <v>44923</v>
      </c>
      <c r="F2289">
        <f t="shared" si="71"/>
        <v>106</v>
      </c>
    </row>
    <row r="2290" spans="1:6" x14ac:dyDescent="0.55000000000000004">
      <c r="A2290">
        <v>9.6724537078458496E+17</v>
      </c>
      <c r="B2290" t="s">
        <v>56</v>
      </c>
      <c r="C2290" t="s">
        <v>46</v>
      </c>
      <c r="D2290">
        <v>344</v>
      </c>
      <c r="E2290" s="4">
        <f t="shared" si="70"/>
        <v>44542</v>
      </c>
      <c r="F2290">
        <f t="shared" si="71"/>
        <v>487</v>
      </c>
    </row>
    <row r="2291" spans="1:6" x14ac:dyDescent="0.55000000000000004">
      <c r="A2291">
        <v>8.8800362200444713E+18</v>
      </c>
      <c r="B2291" t="s">
        <v>549</v>
      </c>
      <c r="C2291" t="s">
        <v>5</v>
      </c>
      <c r="D2291">
        <v>1190</v>
      </c>
      <c r="E2291" s="4">
        <f t="shared" si="70"/>
        <v>44912</v>
      </c>
      <c r="F2291">
        <f t="shared" si="71"/>
        <v>117</v>
      </c>
    </row>
    <row r="2292" spans="1:6" x14ac:dyDescent="0.55000000000000004">
      <c r="A2292">
        <v>1.337976826338816E+19</v>
      </c>
      <c r="B2292" t="s">
        <v>169</v>
      </c>
      <c r="C2292" t="s">
        <v>13</v>
      </c>
      <c r="D2292">
        <v>4743</v>
      </c>
      <c r="E2292" s="4">
        <f t="shared" si="70"/>
        <v>44291</v>
      </c>
      <c r="F2292">
        <f t="shared" si="71"/>
        <v>738</v>
      </c>
    </row>
    <row r="2293" spans="1:6" x14ac:dyDescent="0.55000000000000004">
      <c r="A2293">
        <v>1.190565954692455E+19</v>
      </c>
      <c r="B2293" t="s">
        <v>18</v>
      </c>
      <c r="C2293" t="s">
        <v>13</v>
      </c>
      <c r="D2293">
        <v>9140</v>
      </c>
      <c r="E2293" s="4">
        <f t="shared" si="70"/>
        <v>44982</v>
      </c>
      <c r="F2293">
        <f t="shared" si="71"/>
        <v>47</v>
      </c>
    </row>
    <row r="2294" spans="1:6" x14ac:dyDescent="0.55000000000000004">
      <c r="A2294">
        <v>5.3973038049061745E+18</v>
      </c>
      <c r="B2294" t="s">
        <v>1096</v>
      </c>
      <c r="C2294" t="s">
        <v>7</v>
      </c>
      <c r="D2294">
        <v>310632.11</v>
      </c>
      <c r="E2294" s="4">
        <f t="shared" si="70"/>
        <v>43143</v>
      </c>
      <c r="F2294">
        <f t="shared" si="71"/>
        <v>1886</v>
      </c>
    </row>
    <row r="2295" spans="1:6" x14ac:dyDescent="0.55000000000000004">
      <c r="A2295">
        <v>5.5996363281860024E+18</v>
      </c>
      <c r="B2295" t="s">
        <v>1097</v>
      </c>
      <c r="C2295" t="s">
        <v>26</v>
      </c>
      <c r="D2295">
        <v>1580</v>
      </c>
      <c r="E2295" s="4">
        <f t="shared" si="70"/>
        <v>44946</v>
      </c>
      <c r="F2295">
        <f t="shared" si="71"/>
        <v>83</v>
      </c>
    </row>
    <row r="2296" spans="1:6" x14ac:dyDescent="0.55000000000000004">
      <c r="A2296">
        <v>1.115799380323557E+19</v>
      </c>
      <c r="B2296" t="s">
        <v>630</v>
      </c>
      <c r="C2296" t="s">
        <v>10</v>
      </c>
      <c r="D2296">
        <v>4839</v>
      </c>
      <c r="E2296" s="4">
        <f t="shared" si="70"/>
        <v>44435</v>
      </c>
      <c r="F2296">
        <f t="shared" si="71"/>
        <v>594</v>
      </c>
    </row>
    <row r="2297" spans="1:6" x14ac:dyDescent="0.55000000000000004">
      <c r="A2297">
        <v>1.4126825949175851E+19</v>
      </c>
      <c r="B2297" t="s">
        <v>1098</v>
      </c>
      <c r="C2297" t="s">
        <v>46</v>
      </c>
      <c r="D2297">
        <v>288</v>
      </c>
      <c r="E2297" s="4">
        <f t="shared" si="70"/>
        <v>44269</v>
      </c>
      <c r="F2297">
        <f t="shared" si="71"/>
        <v>760</v>
      </c>
    </row>
    <row r="2298" spans="1:6" x14ac:dyDescent="0.55000000000000004">
      <c r="A2298">
        <v>1.4723412379073901E+19</v>
      </c>
      <c r="B2298" t="s">
        <v>813</v>
      </c>
      <c r="C2298" t="s">
        <v>7</v>
      </c>
      <c r="D2298">
        <v>369</v>
      </c>
      <c r="E2298" s="4">
        <f t="shared" si="70"/>
        <v>44461</v>
      </c>
      <c r="F2298">
        <f t="shared" si="71"/>
        <v>568</v>
      </c>
    </row>
    <row r="2299" spans="1:6" x14ac:dyDescent="0.55000000000000004">
      <c r="A2299">
        <v>5.7291105250867794E+18</v>
      </c>
      <c r="B2299" t="s">
        <v>1099</v>
      </c>
      <c r="C2299" t="s">
        <v>13</v>
      </c>
      <c r="D2299">
        <v>4040</v>
      </c>
      <c r="E2299" s="4">
        <f t="shared" si="70"/>
        <v>44933</v>
      </c>
      <c r="F2299">
        <f t="shared" si="71"/>
        <v>96</v>
      </c>
    </row>
    <row r="2300" spans="1:6" x14ac:dyDescent="0.55000000000000004">
      <c r="A2300">
        <v>3.3916304403181389E+18</v>
      </c>
      <c r="B2300" t="s">
        <v>263</v>
      </c>
      <c r="C2300" t="s">
        <v>13</v>
      </c>
      <c r="D2300">
        <v>156</v>
      </c>
      <c r="E2300" s="4">
        <f t="shared" si="70"/>
        <v>44549</v>
      </c>
      <c r="F2300">
        <f t="shared" si="71"/>
        <v>480</v>
      </c>
    </row>
    <row r="2301" spans="1:6" x14ac:dyDescent="0.55000000000000004">
      <c r="A2301">
        <v>1.5997309967392891E+19</v>
      </c>
      <c r="B2301" t="s">
        <v>706</v>
      </c>
      <c r="C2301" t="s">
        <v>46</v>
      </c>
      <c r="D2301">
        <v>90</v>
      </c>
      <c r="E2301" s="4">
        <f t="shared" si="70"/>
        <v>44646</v>
      </c>
      <c r="F2301">
        <f t="shared" si="71"/>
        <v>383</v>
      </c>
    </row>
    <row r="2302" spans="1:6" x14ac:dyDescent="0.55000000000000004">
      <c r="A2302">
        <v>1.82282442793025E+19</v>
      </c>
      <c r="B2302" t="s">
        <v>581</v>
      </c>
      <c r="C2302" t="s">
        <v>7</v>
      </c>
      <c r="D2302">
        <v>2210</v>
      </c>
      <c r="E2302" s="4">
        <f t="shared" si="70"/>
        <v>44770</v>
      </c>
      <c r="F2302">
        <f t="shared" si="71"/>
        <v>259</v>
      </c>
    </row>
    <row r="2303" spans="1:6" x14ac:dyDescent="0.55000000000000004">
      <c r="A2303">
        <v>4.6985115733452452E+18</v>
      </c>
      <c r="B2303" t="s">
        <v>898</v>
      </c>
      <c r="C2303" t="s">
        <v>10</v>
      </c>
      <c r="D2303">
        <v>263</v>
      </c>
      <c r="E2303" s="4">
        <f t="shared" si="70"/>
        <v>44208</v>
      </c>
      <c r="F2303">
        <f t="shared" si="71"/>
        <v>821</v>
      </c>
    </row>
    <row r="2304" spans="1:6" x14ac:dyDescent="0.55000000000000004">
      <c r="A2304">
        <v>1.6493277802192251E+19</v>
      </c>
      <c r="B2304" t="s">
        <v>1100</v>
      </c>
      <c r="C2304" t="s">
        <v>13</v>
      </c>
      <c r="D2304">
        <v>159</v>
      </c>
      <c r="E2304" s="4">
        <f t="shared" si="70"/>
        <v>43749</v>
      </c>
      <c r="F2304">
        <f t="shared" si="71"/>
        <v>1280</v>
      </c>
    </row>
    <row r="2305" spans="1:6" x14ac:dyDescent="0.55000000000000004">
      <c r="A2305">
        <v>4.8303745034687304E+18</v>
      </c>
      <c r="B2305" t="s">
        <v>787</v>
      </c>
      <c r="C2305" t="s">
        <v>26</v>
      </c>
      <c r="D2305">
        <v>299</v>
      </c>
      <c r="E2305" s="4">
        <f t="shared" si="70"/>
        <v>44594</v>
      </c>
      <c r="F2305">
        <f t="shared" si="71"/>
        <v>435</v>
      </c>
    </row>
    <row r="2306" spans="1:6" x14ac:dyDescent="0.55000000000000004">
      <c r="A2306">
        <v>5.6599675409249679E+18</v>
      </c>
      <c r="B2306" t="s">
        <v>413</v>
      </c>
      <c r="C2306" t="s">
        <v>10</v>
      </c>
      <c r="D2306">
        <v>269</v>
      </c>
      <c r="E2306" s="4">
        <f t="shared" si="70"/>
        <v>44433</v>
      </c>
      <c r="F2306">
        <f t="shared" si="71"/>
        <v>596</v>
      </c>
    </row>
    <row r="2307" spans="1:6" x14ac:dyDescent="0.55000000000000004">
      <c r="A2307">
        <v>2.6030239575829929E+18</v>
      </c>
      <c r="B2307" t="s">
        <v>719</v>
      </c>
      <c r="C2307" t="s">
        <v>10</v>
      </c>
      <c r="D2307">
        <v>2361</v>
      </c>
      <c r="E2307" s="4">
        <f t="shared" ref="E2307:E2370" si="72">DATEVALUE(B2307)</f>
        <v>44045</v>
      </c>
      <c r="F2307">
        <f t="shared" ref="F2307:F2370" si="73">$H$1-E2307</f>
        <v>984</v>
      </c>
    </row>
    <row r="2308" spans="1:6" x14ac:dyDescent="0.55000000000000004">
      <c r="A2308">
        <v>9.1084493047322593E+18</v>
      </c>
      <c r="B2308" t="s">
        <v>920</v>
      </c>
      <c r="C2308" t="s">
        <v>10</v>
      </c>
      <c r="D2308">
        <v>1298</v>
      </c>
      <c r="E2308" s="4">
        <f t="shared" si="72"/>
        <v>44043</v>
      </c>
      <c r="F2308">
        <f t="shared" si="73"/>
        <v>986</v>
      </c>
    </row>
    <row r="2309" spans="1:6" x14ac:dyDescent="0.55000000000000004">
      <c r="A2309">
        <v>1.2443034443621161E+19</v>
      </c>
      <c r="B2309" t="s">
        <v>287</v>
      </c>
      <c r="C2309" t="s">
        <v>13</v>
      </c>
      <c r="D2309">
        <v>633</v>
      </c>
      <c r="E2309" s="4">
        <f t="shared" si="72"/>
        <v>44981</v>
      </c>
      <c r="F2309">
        <f t="shared" si="73"/>
        <v>48</v>
      </c>
    </row>
    <row r="2310" spans="1:6" x14ac:dyDescent="0.55000000000000004">
      <c r="A2310">
        <v>4.2616684915424748E+18</v>
      </c>
      <c r="B2310" t="s">
        <v>1101</v>
      </c>
      <c r="C2310" t="s">
        <v>7</v>
      </c>
      <c r="D2310">
        <v>156</v>
      </c>
      <c r="E2310" s="4">
        <f t="shared" si="72"/>
        <v>44058</v>
      </c>
      <c r="F2310">
        <f t="shared" si="73"/>
        <v>971</v>
      </c>
    </row>
    <row r="2311" spans="1:6" x14ac:dyDescent="0.55000000000000004">
      <c r="A2311">
        <v>1.22051270992175E+19</v>
      </c>
      <c r="B2311" t="s">
        <v>443</v>
      </c>
      <c r="C2311" t="s">
        <v>13</v>
      </c>
      <c r="D2311">
        <v>3900</v>
      </c>
      <c r="E2311" s="4">
        <f t="shared" si="72"/>
        <v>45021</v>
      </c>
      <c r="F2311">
        <f t="shared" si="73"/>
        <v>8</v>
      </c>
    </row>
    <row r="2312" spans="1:6" x14ac:dyDescent="0.55000000000000004">
      <c r="A2312">
        <v>8.4543682969037445E+18</v>
      </c>
      <c r="B2312" t="s">
        <v>364</v>
      </c>
      <c r="C2312" t="s">
        <v>46</v>
      </c>
      <c r="D2312">
        <v>207</v>
      </c>
      <c r="E2312" s="4">
        <f t="shared" si="72"/>
        <v>44668</v>
      </c>
      <c r="F2312">
        <f t="shared" si="73"/>
        <v>361</v>
      </c>
    </row>
    <row r="2313" spans="1:6" x14ac:dyDescent="0.55000000000000004">
      <c r="A2313">
        <v>1.6154370437383891E+19</v>
      </c>
      <c r="B2313" t="s">
        <v>894</v>
      </c>
      <c r="C2313" t="s">
        <v>7</v>
      </c>
      <c r="D2313">
        <v>127</v>
      </c>
      <c r="E2313" s="4">
        <f t="shared" si="72"/>
        <v>44214</v>
      </c>
      <c r="F2313">
        <f t="shared" si="73"/>
        <v>815</v>
      </c>
    </row>
    <row r="2314" spans="1:6" x14ac:dyDescent="0.55000000000000004">
      <c r="A2314">
        <v>6.952102393137282E+18</v>
      </c>
      <c r="B2314" t="s">
        <v>996</v>
      </c>
      <c r="C2314" t="s">
        <v>13</v>
      </c>
      <c r="D2314">
        <v>5880</v>
      </c>
      <c r="E2314" s="4">
        <f t="shared" si="72"/>
        <v>44160</v>
      </c>
      <c r="F2314">
        <f t="shared" si="73"/>
        <v>869</v>
      </c>
    </row>
    <row r="2315" spans="1:6" x14ac:dyDescent="0.55000000000000004">
      <c r="A2315">
        <v>1.740634595632409E+19</v>
      </c>
      <c r="B2315" t="s">
        <v>1102</v>
      </c>
      <c r="C2315" t="s">
        <v>13</v>
      </c>
      <c r="D2315">
        <v>258</v>
      </c>
      <c r="E2315" s="4">
        <f t="shared" si="72"/>
        <v>44957</v>
      </c>
      <c r="F2315">
        <f t="shared" si="73"/>
        <v>72</v>
      </c>
    </row>
    <row r="2316" spans="1:6" x14ac:dyDescent="0.55000000000000004">
      <c r="A2316">
        <v>3.6853730951080499E+18</v>
      </c>
      <c r="B2316" t="s">
        <v>984</v>
      </c>
      <c r="C2316" t="s">
        <v>10</v>
      </c>
      <c r="D2316">
        <v>726</v>
      </c>
      <c r="E2316" s="4">
        <f t="shared" si="72"/>
        <v>44416</v>
      </c>
      <c r="F2316">
        <f t="shared" si="73"/>
        <v>613</v>
      </c>
    </row>
    <row r="2317" spans="1:6" x14ac:dyDescent="0.55000000000000004">
      <c r="A2317">
        <v>8.8564151863028941E+18</v>
      </c>
      <c r="B2317" t="s">
        <v>117</v>
      </c>
      <c r="C2317" t="s">
        <v>13</v>
      </c>
      <c r="D2317">
        <v>1225</v>
      </c>
      <c r="E2317" s="4">
        <f t="shared" si="72"/>
        <v>44122</v>
      </c>
      <c r="F2317">
        <f t="shared" si="73"/>
        <v>907</v>
      </c>
    </row>
    <row r="2318" spans="1:6" x14ac:dyDescent="0.55000000000000004">
      <c r="A2318">
        <v>1.3784682813159739E+19</v>
      </c>
      <c r="B2318" t="s">
        <v>357</v>
      </c>
      <c r="C2318" t="s">
        <v>5</v>
      </c>
      <c r="D2318">
        <v>570</v>
      </c>
      <c r="E2318" s="4">
        <f t="shared" si="72"/>
        <v>44892</v>
      </c>
      <c r="F2318">
        <f t="shared" si="73"/>
        <v>137</v>
      </c>
    </row>
    <row r="2319" spans="1:6" x14ac:dyDescent="0.55000000000000004">
      <c r="A2319">
        <v>4.6766047553752361E+18</v>
      </c>
      <c r="B2319" t="s">
        <v>581</v>
      </c>
      <c r="C2319" t="s">
        <v>10</v>
      </c>
      <c r="D2319">
        <v>229</v>
      </c>
      <c r="E2319" s="4">
        <f t="shared" si="72"/>
        <v>44770</v>
      </c>
      <c r="F2319">
        <f t="shared" si="73"/>
        <v>259</v>
      </c>
    </row>
    <row r="2320" spans="1:6" x14ac:dyDescent="0.55000000000000004">
      <c r="A2320">
        <v>5.8784430253090079E+18</v>
      </c>
      <c r="B2320" t="s">
        <v>716</v>
      </c>
      <c r="C2320" t="s">
        <v>10</v>
      </c>
      <c r="D2320">
        <v>1545</v>
      </c>
      <c r="E2320" s="4">
        <f t="shared" si="72"/>
        <v>45009</v>
      </c>
      <c r="F2320">
        <f t="shared" si="73"/>
        <v>20</v>
      </c>
    </row>
    <row r="2321" spans="1:6" x14ac:dyDescent="0.55000000000000004">
      <c r="A2321">
        <v>7.7222975608200474E+17</v>
      </c>
      <c r="B2321" t="s">
        <v>149</v>
      </c>
      <c r="C2321" t="s">
        <v>26</v>
      </c>
      <c r="D2321">
        <v>89</v>
      </c>
      <c r="E2321" s="4">
        <f t="shared" si="72"/>
        <v>43905</v>
      </c>
      <c r="F2321">
        <f t="shared" si="73"/>
        <v>1124</v>
      </c>
    </row>
    <row r="2322" spans="1:6" x14ac:dyDescent="0.55000000000000004">
      <c r="A2322">
        <v>1.50720038142017E+19</v>
      </c>
      <c r="B2322" t="s">
        <v>1103</v>
      </c>
      <c r="C2322" t="s">
        <v>13</v>
      </c>
      <c r="D2322">
        <v>6260</v>
      </c>
      <c r="E2322" s="4">
        <f t="shared" si="72"/>
        <v>44126</v>
      </c>
      <c r="F2322">
        <f t="shared" si="73"/>
        <v>903</v>
      </c>
    </row>
    <row r="2323" spans="1:6" x14ac:dyDescent="0.55000000000000004">
      <c r="A2323">
        <v>1.529683543112498E+19</v>
      </c>
      <c r="B2323" t="s">
        <v>402</v>
      </c>
      <c r="C2323" t="s">
        <v>10</v>
      </c>
      <c r="D2323">
        <v>1960</v>
      </c>
      <c r="E2323" s="4">
        <f t="shared" si="72"/>
        <v>43928</v>
      </c>
      <c r="F2323">
        <f t="shared" si="73"/>
        <v>1101</v>
      </c>
    </row>
    <row r="2324" spans="1:6" x14ac:dyDescent="0.55000000000000004">
      <c r="A2324">
        <v>1.3772017495546911E+19</v>
      </c>
      <c r="B2324" t="s">
        <v>1104</v>
      </c>
      <c r="C2324" t="s">
        <v>10</v>
      </c>
      <c r="D2324">
        <v>118</v>
      </c>
      <c r="E2324" s="4">
        <f t="shared" si="72"/>
        <v>43922</v>
      </c>
      <c r="F2324">
        <f t="shared" si="73"/>
        <v>1107</v>
      </c>
    </row>
    <row r="2325" spans="1:6" x14ac:dyDescent="0.55000000000000004">
      <c r="A2325">
        <v>3.674025689273685E+18</v>
      </c>
      <c r="B2325" t="s">
        <v>882</v>
      </c>
      <c r="C2325" t="s">
        <v>7</v>
      </c>
      <c r="D2325">
        <v>862</v>
      </c>
      <c r="E2325" s="4">
        <f t="shared" si="72"/>
        <v>44941</v>
      </c>
      <c r="F2325">
        <f t="shared" si="73"/>
        <v>88</v>
      </c>
    </row>
    <row r="2326" spans="1:6" x14ac:dyDescent="0.55000000000000004">
      <c r="A2326">
        <v>1.5103585447139899E+19</v>
      </c>
      <c r="B2326" t="s">
        <v>1105</v>
      </c>
      <c r="C2326" t="s">
        <v>50</v>
      </c>
      <c r="D2326">
        <v>46</v>
      </c>
      <c r="E2326" s="4">
        <f t="shared" si="72"/>
        <v>43799</v>
      </c>
      <c r="F2326">
        <f t="shared" si="73"/>
        <v>1230</v>
      </c>
    </row>
    <row r="2327" spans="1:6" x14ac:dyDescent="0.55000000000000004">
      <c r="A2327">
        <v>3.0310206824360947E+17</v>
      </c>
      <c r="B2327" t="s">
        <v>380</v>
      </c>
      <c r="C2327" t="s">
        <v>13</v>
      </c>
      <c r="D2327">
        <v>16200</v>
      </c>
      <c r="E2327" s="4">
        <f t="shared" si="72"/>
        <v>44372</v>
      </c>
      <c r="F2327">
        <f t="shared" si="73"/>
        <v>657</v>
      </c>
    </row>
    <row r="2328" spans="1:6" x14ac:dyDescent="0.55000000000000004">
      <c r="A2328">
        <v>1.273897921859062E+19</v>
      </c>
      <c r="B2328" t="s">
        <v>804</v>
      </c>
      <c r="C2328" t="s">
        <v>10</v>
      </c>
      <c r="D2328">
        <v>894</v>
      </c>
      <c r="E2328" s="4">
        <f t="shared" si="72"/>
        <v>44306</v>
      </c>
      <c r="F2328">
        <f t="shared" si="73"/>
        <v>723</v>
      </c>
    </row>
    <row r="2329" spans="1:6" x14ac:dyDescent="0.55000000000000004">
      <c r="A2329">
        <v>1.411496331180091E+19</v>
      </c>
      <c r="B2329" t="s">
        <v>1073</v>
      </c>
      <c r="C2329" t="s">
        <v>13</v>
      </c>
      <c r="D2329">
        <v>729</v>
      </c>
      <c r="E2329" s="4">
        <f t="shared" si="72"/>
        <v>44852</v>
      </c>
      <c r="F2329">
        <f t="shared" si="73"/>
        <v>177</v>
      </c>
    </row>
    <row r="2330" spans="1:6" x14ac:dyDescent="0.55000000000000004">
      <c r="A2330">
        <v>1.70230953070644E+19</v>
      </c>
      <c r="B2330" t="s">
        <v>237</v>
      </c>
      <c r="C2330" t="s">
        <v>13</v>
      </c>
      <c r="D2330">
        <v>1135</v>
      </c>
      <c r="E2330" s="4">
        <f t="shared" si="72"/>
        <v>44010</v>
      </c>
      <c r="F2330">
        <f t="shared" si="73"/>
        <v>1019</v>
      </c>
    </row>
    <row r="2331" spans="1:6" x14ac:dyDescent="0.55000000000000004">
      <c r="A2331">
        <v>7.3910230911994184E+18</v>
      </c>
      <c r="B2331" t="s">
        <v>137</v>
      </c>
      <c r="C2331" t="s">
        <v>10</v>
      </c>
      <c r="D2331">
        <v>129</v>
      </c>
      <c r="E2331" s="4">
        <f t="shared" si="72"/>
        <v>44294</v>
      </c>
      <c r="F2331">
        <f t="shared" si="73"/>
        <v>735</v>
      </c>
    </row>
    <row r="2332" spans="1:6" x14ac:dyDescent="0.55000000000000004">
      <c r="A2332">
        <v>1.82828637426995E+18</v>
      </c>
      <c r="B2332" t="s">
        <v>737</v>
      </c>
      <c r="C2332" t="s">
        <v>13</v>
      </c>
      <c r="D2332">
        <v>421</v>
      </c>
      <c r="E2332" s="4">
        <f t="shared" si="72"/>
        <v>44742</v>
      </c>
      <c r="F2332">
        <f t="shared" si="73"/>
        <v>287</v>
      </c>
    </row>
    <row r="2333" spans="1:6" x14ac:dyDescent="0.55000000000000004">
      <c r="A2333">
        <v>7.0952950250837617E+18</v>
      </c>
      <c r="B2333" t="s">
        <v>600</v>
      </c>
      <c r="C2333" t="s">
        <v>10</v>
      </c>
      <c r="D2333">
        <v>618</v>
      </c>
      <c r="E2333" s="4">
        <f t="shared" si="72"/>
        <v>43792</v>
      </c>
      <c r="F2333">
        <f t="shared" si="73"/>
        <v>1237</v>
      </c>
    </row>
    <row r="2334" spans="1:6" x14ac:dyDescent="0.55000000000000004">
      <c r="A2334">
        <v>1.732494372109797E+19</v>
      </c>
      <c r="B2334" t="s">
        <v>418</v>
      </c>
      <c r="C2334" t="s">
        <v>5</v>
      </c>
      <c r="D2334">
        <v>297</v>
      </c>
      <c r="E2334" s="4">
        <f t="shared" si="72"/>
        <v>44301</v>
      </c>
      <c r="F2334">
        <f t="shared" si="73"/>
        <v>728</v>
      </c>
    </row>
    <row r="2335" spans="1:6" x14ac:dyDescent="0.55000000000000004">
      <c r="A2335">
        <v>1.321291921617748E+19</v>
      </c>
      <c r="B2335" t="s">
        <v>330</v>
      </c>
      <c r="C2335" t="s">
        <v>10</v>
      </c>
      <c r="D2335">
        <v>1395</v>
      </c>
      <c r="E2335" s="4">
        <f t="shared" si="72"/>
        <v>44282</v>
      </c>
      <c r="F2335">
        <f t="shared" si="73"/>
        <v>747</v>
      </c>
    </row>
    <row r="2336" spans="1:6" x14ac:dyDescent="0.55000000000000004">
      <c r="A2336">
        <v>8.0305918599695565E+18</v>
      </c>
      <c r="B2336" t="s">
        <v>400</v>
      </c>
      <c r="C2336" t="s">
        <v>13</v>
      </c>
      <c r="D2336">
        <v>761</v>
      </c>
      <c r="E2336" s="4">
        <f t="shared" si="72"/>
        <v>44675</v>
      </c>
      <c r="F2336">
        <f t="shared" si="73"/>
        <v>354</v>
      </c>
    </row>
    <row r="2337" spans="1:6" x14ac:dyDescent="0.55000000000000004">
      <c r="A2337">
        <v>8764728508113736</v>
      </c>
      <c r="B2337" t="s">
        <v>190</v>
      </c>
      <c r="C2337" t="s">
        <v>13</v>
      </c>
      <c r="D2337">
        <v>3821</v>
      </c>
      <c r="E2337" s="4">
        <f t="shared" si="72"/>
        <v>44818</v>
      </c>
      <c r="F2337">
        <f t="shared" si="73"/>
        <v>211</v>
      </c>
    </row>
    <row r="2338" spans="1:6" x14ac:dyDescent="0.55000000000000004">
      <c r="A2338">
        <v>1.307994815668879E+19</v>
      </c>
      <c r="B2338" t="s">
        <v>490</v>
      </c>
      <c r="C2338" t="s">
        <v>5</v>
      </c>
      <c r="D2338">
        <v>766</v>
      </c>
      <c r="E2338" s="4">
        <f t="shared" si="72"/>
        <v>44159</v>
      </c>
      <c r="F2338">
        <f t="shared" si="73"/>
        <v>870</v>
      </c>
    </row>
    <row r="2339" spans="1:6" x14ac:dyDescent="0.55000000000000004">
      <c r="A2339">
        <v>4.2618102748152248E+18</v>
      </c>
      <c r="B2339" t="s">
        <v>40</v>
      </c>
      <c r="C2339" t="s">
        <v>13</v>
      </c>
      <c r="D2339">
        <v>2856</v>
      </c>
      <c r="E2339" s="4">
        <f t="shared" si="72"/>
        <v>44990</v>
      </c>
      <c r="F2339">
        <f t="shared" si="73"/>
        <v>39</v>
      </c>
    </row>
    <row r="2340" spans="1:6" x14ac:dyDescent="0.55000000000000004">
      <c r="A2340">
        <v>3.3162710235033569E+18</v>
      </c>
      <c r="B2340" t="s">
        <v>1063</v>
      </c>
      <c r="C2340" t="s">
        <v>13</v>
      </c>
      <c r="D2340">
        <v>1859</v>
      </c>
      <c r="E2340" s="4">
        <f t="shared" si="72"/>
        <v>44202</v>
      </c>
      <c r="F2340">
        <f t="shared" si="73"/>
        <v>827</v>
      </c>
    </row>
    <row r="2341" spans="1:6" x14ac:dyDescent="0.55000000000000004">
      <c r="A2341">
        <v>1.399913811220991E+19</v>
      </c>
      <c r="B2341" t="s">
        <v>438</v>
      </c>
      <c r="C2341" t="s">
        <v>5</v>
      </c>
      <c r="D2341">
        <v>836</v>
      </c>
      <c r="E2341" s="4">
        <f t="shared" si="72"/>
        <v>44783</v>
      </c>
      <c r="F2341">
        <f t="shared" si="73"/>
        <v>246</v>
      </c>
    </row>
    <row r="2342" spans="1:6" x14ac:dyDescent="0.55000000000000004">
      <c r="A2342">
        <v>8.3570881292050012E+18</v>
      </c>
      <c r="B2342" t="s">
        <v>695</v>
      </c>
      <c r="C2342" t="s">
        <v>10</v>
      </c>
      <c r="D2342">
        <v>3030</v>
      </c>
      <c r="E2342" s="4">
        <f t="shared" si="72"/>
        <v>44493</v>
      </c>
      <c r="F2342">
        <f t="shared" si="73"/>
        <v>536</v>
      </c>
    </row>
    <row r="2343" spans="1:6" x14ac:dyDescent="0.55000000000000004">
      <c r="A2343">
        <v>1.0918317965913139E+19</v>
      </c>
      <c r="B2343" t="s">
        <v>145</v>
      </c>
      <c r="C2343" t="s">
        <v>13</v>
      </c>
      <c r="D2343">
        <v>3419</v>
      </c>
      <c r="E2343" s="4">
        <f t="shared" si="72"/>
        <v>44662</v>
      </c>
      <c r="F2343">
        <f t="shared" si="73"/>
        <v>367</v>
      </c>
    </row>
    <row r="2344" spans="1:6" x14ac:dyDescent="0.55000000000000004">
      <c r="A2344">
        <v>1.7244448920772749E+19</v>
      </c>
      <c r="B2344" t="s">
        <v>1106</v>
      </c>
      <c r="C2344" t="s">
        <v>10</v>
      </c>
      <c r="D2344">
        <v>899</v>
      </c>
      <c r="E2344" s="4">
        <f t="shared" si="72"/>
        <v>44236</v>
      </c>
      <c r="F2344">
        <f t="shared" si="73"/>
        <v>793</v>
      </c>
    </row>
    <row r="2345" spans="1:6" x14ac:dyDescent="0.55000000000000004">
      <c r="A2345">
        <v>5.2246598796763812E+18</v>
      </c>
      <c r="B2345" t="s">
        <v>217</v>
      </c>
      <c r="C2345" t="s">
        <v>7</v>
      </c>
      <c r="D2345">
        <v>2070</v>
      </c>
      <c r="E2345" s="4">
        <f t="shared" si="72"/>
        <v>44239</v>
      </c>
      <c r="F2345">
        <f t="shared" si="73"/>
        <v>790</v>
      </c>
    </row>
    <row r="2346" spans="1:6" x14ac:dyDescent="0.55000000000000004">
      <c r="A2346">
        <v>1.1029201639594459E+19</v>
      </c>
      <c r="B2346" t="s">
        <v>449</v>
      </c>
      <c r="C2346" t="s">
        <v>5</v>
      </c>
      <c r="D2346">
        <v>950</v>
      </c>
      <c r="E2346" s="4">
        <f t="shared" si="72"/>
        <v>44608</v>
      </c>
      <c r="F2346">
        <f t="shared" si="73"/>
        <v>421</v>
      </c>
    </row>
    <row r="2347" spans="1:6" x14ac:dyDescent="0.55000000000000004">
      <c r="A2347">
        <v>8.8108714399872422E+17</v>
      </c>
      <c r="B2347" t="s">
        <v>826</v>
      </c>
      <c r="C2347" t="s">
        <v>13</v>
      </c>
      <c r="D2347">
        <v>195</v>
      </c>
      <c r="E2347" s="4">
        <f t="shared" si="72"/>
        <v>43839</v>
      </c>
      <c r="F2347">
        <f t="shared" si="73"/>
        <v>1190</v>
      </c>
    </row>
    <row r="2348" spans="1:6" x14ac:dyDescent="0.55000000000000004">
      <c r="A2348">
        <v>8.8435373430543657E+18</v>
      </c>
      <c r="B2348" t="s">
        <v>545</v>
      </c>
      <c r="C2348" t="s">
        <v>7</v>
      </c>
      <c r="D2348">
        <v>768</v>
      </c>
      <c r="E2348" s="4">
        <f t="shared" si="72"/>
        <v>44411</v>
      </c>
      <c r="F2348">
        <f t="shared" si="73"/>
        <v>618</v>
      </c>
    </row>
    <row r="2349" spans="1:6" x14ac:dyDescent="0.55000000000000004">
      <c r="A2349">
        <v>6.0436031502157281E+18</v>
      </c>
      <c r="B2349" t="s">
        <v>754</v>
      </c>
      <c r="C2349" t="s">
        <v>13</v>
      </c>
      <c r="D2349">
        <v>823</v>
      </c>
      <c r="E2349" s="4">
        <f t="shared" si="72"/>
        <v>44079</v>
      </c>
      <c r="F2349">
        <f t="shared" si="73"/>
        <v>950</v>
      </c>
    </row>
    <row r="2350" spans="1:6" x14ac:dyDescent="0.55000000000000004">
      <c r="A2350">
        <v>1.709462589206537E+19</v>
      </c>
      <c r="B2350" t="s">
        <v>935</v>
      </c>
      <c r="C2350" t="s">
        <v>7</v>
      </c>
      <c r="D2350">
        <v>25</v>
      </c>
      <c r="E2350" s="4">
        <f t="shared" si="72"/>
        <v>43982</v>
      </c>
      <c r="F2350">
        <f t="shared" si="73"/>
        <v>1047</v>
      </c>
    </row>
    <row r="2351" spans="1:6" x14ac:dyDescent="0.55000000000000004">
      <c r="A2351">
        <v>1.76949978522245E+19</v>
      </c>
      <c r="B2351" t="s">
        <v>49</v>
      </c>
      <c r="C2351" t="s">
        <v>26</v>
      </c>
      <c r="D2351">
        <v>267</v>
      </c>
      <c r="E2351" s="4">
        <f t="shared" si="72"/>
        <v>44134</v>
      </c>
      <c r="F2351">
        <f t="shared" si="73"/>
        <v>895</v>
      </c>
    </row>
    <row r="2352" spans="1:6" x14ac:dyDescent="0.55000000000000004">
      <c r="A2352">
        <v>1.330946700836863E+18</v>
      </c>
      <c r="B2352" t="s">
        <v>683</v>
      </c>
      <c r="C2352" t="s">
        <v>13</v>
      </c>
      <c r="D2352">
        <v>2628</v>
      </c>
      <c r="E2352" s="4">
        <f t="shared" si="72"/>
        <v>44652</v>
      </c>
      <c r="F2352">
        <f t="shared" si="73"/>
        <v>377</v>
      </c>
    </row>
    <row r="2353" spans="1:6" x14ac:dyDescent="0.55000000000000004">
      <c r="A2353">
        <v>3.3153944179223782E+18</v>
      </c>
      <c r="B2353" t="s">
        <v>525</v>
      </c>
      <c r="C2353" t="s">
        <v>10</v>
      </c>
      <c r="D2353">
        <v>2607</v>
      </c>
      <c r="E2353" s="4">
        <f t="shared" si="72"/>
        <v>44475</v>
      </c>
      <c r="F2353">
        <f t="shared" si="73"/>
        <v>554</v>
      </c>
    </row>
    <row r="2354" spans="1:6" x14ac:dyDescent="0.55000000000000004">
      <c r="A2354">
        <v>1.3004957136399131E+19</v>
      </c>
      <c r="B2354" t="s">
        <v>964</v>
      </c>
      <c r="C2354" t="s">
        <v>10</v>
      </c>
      <c r="D2354">
        <v>1890</v>
      </c>
      <c r="E2354" s="4">
        <f t="shared" si="72"/>
        <v>44414</v>
      </c>
      <c r="F2354">
        <f t="shared" si="73"/>
        <v>615</v>
      </c>
    </row>
    <row r="2355" spans="1:6" x14ac:dyDescent="0.55000000000000004">
      <c r="A2355">
        <v>1.821993513028534E+18</v>
      </c>
      <c r="B2355" t="s">
        <v>1107</v>
      </c>
      <c r="C2355" t="s">
        <v>26</v>
      </c>
      <c r="D2355">
        <v>199</v>
      </c>
      <c r="E2355" s="4">
        <f t="shared" si="72"/>
        <v>44820</v>
      </c>
      <c r="F2355">
        <f t="shared" si="73"/>
        <v>209</v>
      </c>
    </row>
    <row r="2356" spans="1:6" x14ac:dyDescent="0.55000000000000004">
      <c r="A2356">
        <v>8.658126767473409E+18</v>
      </c>
      <c r="B2356" t="s">
        <v>289</v>
      </c>
      <c r="C2356" t="s">
        <v>10</v>
      </c>
      <c r="D2356">
        <v>2465.0500000000002</v>
      </c>
      <c r="E2356" s="4">
        <f t="shared" si="72"/>
        <v>44905</v>
      </c>
      <c r="F2356">
        <f t="shared" si="73"/>
        <v>124</v>
      </c>
    </row>
    <row r="2357" spans="1:6" x14ac:dyDescent="0.55000000000000004">
      <c r="A2357">
        <v>5.1460942534911273E+18</v>
      </c>
      <c r="B2357" t="s">
        <v>566</v>
      </c>
      <c r="C2357" t="s">
        <v>10</v>
      </c>
      <c r="D2357">
        <v>913</v>
      </c>
      <c r="E2357" s="4">
        <f t="shared" si="72"/>
        <v>44965</v>
      </c>
      <c r="F2357">
        <f t="shared" si="73"/>
        <v>64</v>
      </c>
    </row>
    <row r="2358" spans="1:6" x14ac:dyDescent="0.55000000000000004">
      <c r="A2358">
        <v>5.3973038049061745E+18</v>
      </c>
      <c r="B2358" t="s">
        <v>1108</v>
      </c>
      <c r="C2358" t="s">
        <v>46</v>
      </c>
      <c r="D2358">
        <v>180538.9</v>
      </c>
      <c r="E2358" s="4">
        <f t="shared" si="72"/>
        <v>43472</v>
      </c>
      <c r="F2358">
        <f t="shared" si="73"/>
        <v>1557</v>
      </c>
    </row>
    <row r="2359" spans="1:6" x14ac:dyDescent="0.55000000000000004">
      <c r="A2359">
        <v>7.136613630905943E+18</v>
      </c>
      <c r="B2359" t="s">
        <v>66</v>
      </c>
      <c r="C2359" t="s">
        <v>10</v>
      </c>
      <c r="D2359">
        <v>556</v>
      </c>
      <c r="E2359" s="4">
        <f t="shared" si="72"/>
        <v>44789</v>
      </c>
      <c r="F2359">
        <f t="shared" si="73"/>
        <v>240</v>
      </c>
    </row>
    <row r="2360" spans="1:6" x14ac:dyDescent="0.55000000000000004">
      <c r="A2360">
        <v>3.723064905456257E+18</v>
      </c>
      <c r="B2360" t="s">
        <v>770</v>
      </c>
      <c r="C2360" t="s">
        <v>10</v>
      </c>
      <c r="D2360">
        <v>221</v>
      </c>
      <c r="E2360" s="4">
        <f t="shared" si="72"/>
        <v>43987</v>
      </c>
      <c r="F2360">
        <f t="shared" si="73"/>
        <v>1042</v>
      </c>
    </row>
    <row r="2361" spans="1:6" x14ac:dyDescent="0.55000000000000004">
      <c r="A2361">
        <v>4.5328982199816069E+18</v>
      </c>
      <c r="B2361" t="s">
        <v>130</v>
      </c>
      <c r="C2361" t="s">
        <v>10</v>
      </c>
      <c r="D2361">
        <v>1725</v>
      </c>
      <c r="E2361" s="4">
        <f t="shared" si="72"/>
        <v>44627</v>
      </c>
      <c r="F2361">
        <f t="shared" si="73"/>
        <v>402</v>
      </c>
    </row>
    <row r="2362" spans="1:6" x14ac:dyDescent="0.55000000000000004">
      <c r="A2362">
        <v>1.3521196571112731E+19</v>
      </c>
      <c r="B2362" t="s">
        <v>1109</v>
      </c>
      <c r="C2362" t="s">
        <v>5</v>
      </c>
      <c r="D2362">
        <v>569</v>
      </c>
      <c r="E2362" s="4">
        <f t="shared" si="72"/>
        <v>44002</v>
      </c>
      <c r="F2362">
        <f t="shared" si="73"/>
        <v>1027</v>
      </c>
    </row>
    <row r="2363" spans="1:6" x14ac:dyDescent="0.55000000000000004">
      <c r="A2363">
        <v>9.4643369197105684E+18</v>
      </c>
      <c r="B2363" t="s">
        <v>983</v>
      </c>
      <c r="C2363" t="s">
        <v>7</v>
      </c>
      <c r="D2363">
        <v>640</v>
      </c>
      <c r="E2363" s="4">
        <f t="shared" si="72"/>
        <v>44169</v>
      </c>
      <c r="F2363">
        <f t="shared" si="73"/>
        <v>860</v>
      </c>
    </row>
    <row r="2364" spans="1:6" x14ac:dyDescent="0.55000000000000004">
      <c r="A2364">
        <v>1.495961101144532E+19</v>
      </c>
      <c r="B2364" t="s">
        <v>1110</v>
      </c>
      <c r="C2364" t="s">
        <v>10</v>
      </c>
      <c r="D2364">
        <v>4875</v>
      </c>
      <c r="E2364" s="4">
        <f t="shared" si="72"/>
        <v>44790</v>
      </c>
      <c r="F2364">
        <f t="shared" si="73"/>
        <v>239</v>
      </c>
    </row>
    <row r="2365" spans="1:6" x14ac:dyDescent="0.55000000000000004">
      <c r="A2365">
        <v>9.0986447618061926E+18</v>
      </c>
      <c r="B2365" t="s">
        <v>286</v>
      </c>
      <c r="C2365" t="s">
        <v>5</v>
      </c>
      <c r="D2365">
        <v>169</v>
      </c>
      <c r="E2365" s="4">
        <f t="shared" si="72"/>
        <v>44755</v>
      </c>
      <c r="F2365">
        <f t="shared" si="73"/>
        <v>274</v>
      </c>
    </row>
    <row r="2366" spans="1:6" x14ac:dyDescent="0.55000000000000004">
      <c r="A2366">
        <v>6.625628621733374E+18</v>
      </c>
      <c r="B2366" t="s">
        <v>693</v>
      </c>
      <c r="C2366" t="s">
        <v>10</v>
      </c>
      <c r="D2366">
        <v>378</v>
      </c>
      <c r="E2366" s="4">
        <f t="shared" si="72"/>
        <v>44629</v>
      </c>
      <c r="F2366">
        <f t="shared" si="73"/>
        <v>400</v>
      </c>
    </row>
    <row r="2367" spans="1:6" x14ac:dyDescent="0.55000000000000004">
      <c r="A2367">
        <v>2.4955275502023101E+18</v>
      </c>
      <c r="B2367" t="s">
        <v>56</v>
      </c>
      <c r="C2367" t="s">
        <v>5</v>
      </c>
      <c r="D2367">
        <v>4450</v>
      </c>
      <c r="E2367" s="4">
        <f t="shared" si="72"/>
        <v>44542</v>
      </c>
      <c r="F2367">
        <f t="shared" si="73"/>
        <v>487</v>
      </c>
    </row>
    <row r="2368" spans="1:6" x14ac:dyDescent="0.55000000000000004">
      <c r="A2368">
        <v>2.5753164287762079E+18</v>
      </c>
      <c r="B2368" t="s">
        <v>421</v>
      </c>
      <c r="C2368" t="s">
        <v>13</v>
      </c>
      <c r="D2368">
        <v>3300</v>
      </c>
      <c r="E2368" s="4">
        <f t="shared" si="72"/>
        <v>44512</v>
      </c>
      <c r="F2368">
        <f t="shared" si="73"/>
        <v>517</v>
      </c>
    </row>
    <row r="2369" spans="1:6" x14ac:dyDescent="0.55000000000000004">
      <c r="A2369">
        <v>1.1605953265774209E+19</v>
      </c>
      <c r="B2369" t="s">
        <v>302</v>
      </c>
      <c r="C2369" t="s">
        <v>10</v>
      </c>
      <c r="D2369">
        <v>1074</v>
      </c>
      <c r="E2369" s="4">
        <f t="shared" si="72"/>
        <v>44997</v>
      </c>
      <c r="F2369">
        <f t="shared" si="73"/>
        <v>32</v>
      </c>
    </row>
    <row r="2370" spans="1:6" x14ac:dyDescent="0.55000000000000004">
      <c r="A2370">
        <v>6.0654496658877901E+18</v>
      </c>
      <c r="B2370" t="s">
        <v>760</v>
      </c>
      <c r="C2370" t="s">
        <v>10</v>
      </c>
      <c r="D2370">
        <v>1470</v>
      </c>
      <c r="E2370" s="4">
        <f t="shared" si="72"/>
        <v>43829</v>
      </c>
      <c r="F2370">
        <f t="shared" si="73"/>
        <v>1200</v>
      </c>
    </row>
    <row r="2371" spans="1:6" x14ac:dyDescent="0.55000000000000004">
      <c r="A2371">
        <v>1.261100388683049E+19</v>
      </c>
      <c r="B2371" t="s">
        <v>414</v>
      </c>
      <c r="C2371" t="s">
        <v>10</v>
      </c>
      <c r="D2371">
        <v>13970</v>
      </c>
      <c r="E2371" s="4">
        <f t="shared" ref="E2371:E2434" si="74">DATEVALUE(B2371)</f>
        <v>44554</v>
      </c>
      <c r="F2371">
        <f t="shared" ref="F2371:F2434" si="75">$H$1-E2371</f>
        <v>475</v>
      </c>
    </row>
    <row r="2372" spans="1:6" x14ac:dyDescent="0.55000000000000004">
      <c r="A2372">
        <v>5.364618019062016E+18</v>
      </c>
      <c r="B2372" t="s">
        <v>910</v>
      </c>
      <c r="C2372" t="s">
        <v>13</v>
      </c>
      <c r="D2372">
        <v>1459</v>
      </c>
      <c r="E2372" s="4">
        <f t="shared" si="74"/>
        <v>44858</v>
      </c>
      <c r="F2372">
        <f t="shared" si="75"/>
        <v>171</v>
      </c>
    </row>
    <row r="2373" spans="1:6" x14ac:dyDescent="0.55000000000000004">
      <c r="A2373">
        <v>3.5457981411118679E+18</v>
      </c>
      <c r="B2373" t="s">
        <v>624</v>
      </c>
      <c r="C2373" t="s">
        <v>13</v>
      </c>
      <c r="D2373">
        <v>1119</v>
      </c>
      <c r="E2373" s="4">
        <f t="shared" si="74"/>
        <v>44883</v>
      </c>
      <c r="F2373">
        <f t="shared" si="75"/>
        <v>146</v>
      </c>
    </row>
    <row r="2374" spans="1:6" x14ac:dyDescent="0.55000000000000004">
      <c r="A2374">
        <v>3.5334419115239562E+18</v>
      </c>
      <c r="B2374" t="s">
        <v>538</v>
      </c>
      <c r="C2374" t="s">
        <v>13</v>
      </c>
      <c r="D2374">
        <v>3901</v>
      </c>
      <c r="E2374" s="4">
        <f t="shared" si="74"/>
        <v>44712</v>
      </c>
      <c r="F2374">
        <f t="shared" si="75"/>
        <v>317</v>
      </c>
    </row>
    <row r="2375" spans="1:6" x14ac:dyDescent="0.55000000000000004">
      <c r="A2375">
        <v>2.5732596732259671E+18</v>
      </c>
      <c r="B2375" t="s">
        <v>381</v>
      </c>
      <c r="C2375" t="s">
        <v>13</v>
      </c>
      <c r="D2375">
        <v>1304</v>
      </c>
      <c r="E2375" s="4">
        <f t="shared" si="74"/>
        <v>44657</v>
      </c>
      <c r="F2375">
        <f t="shared" si="75"/>
        <v>372</v>
      </c>
    </row>
    <row r="2376" spans="1:6" x14ac:dyDescent="0.55000000000000004">
      <c r="A2376">
        <v>4.59109007896557E+18</v>
      </c>
      <c r="B2376" t="s">
        <v>326</v>
      </c>
      <c r="C2376" t="s">
        <v>46</v>
      </c>
      <c r="D2376">
        <v>356</v>
      </c>
      <c r="E2376" s="4">
        <f t="shared" si="74"/>
        <v>44248</v>
      </c>
      <c r="F2376">
        <f t="shared" si="75"/>
        <v>781</v>
      </c>
    </row>
    <row r="2377" spans="1:6" x14ac:dyDescent="0.55000000000000004">
      <c r="A2377">
        <v>5.8446676842090926E+18</v>
      </c>
      <c r="B2377" t="s">
        <v>144</v>
      </c>
      <c r="C2377" t="s">
        <v>10</v>
      </c>
      <c r="D2377">
        <v>280</v>
      </c>
      <c r="E2377" s="4">
        <f t="shared" si="74"/>
        <v>44636</v>
      </c>
      <c r="F2377">
        <f t="shared" si="75"/>
        <v>393</v>
      </c>
    </row>
    <row r="2378" spans="1:6" x14ac:dyDescent="0.55000000000000004">
      <c r="A2378">
        <v>1.529683543112498E+19</v>
      </c>
      <c r="B2378" t="s">
        <v>1054</v>
      </c>
      <c r="C2378" t="s">
        <v>13</v>
      </c>
      <c r="D2378">
        <v>159</v>
      </c>
      <c r="E2378" s="4">
        <f t="shared" si="74"/>
        <v>44119</v>
      </c>
      <c r="F2378">
        <f t="shared" si="75"/>
        <v>910</v>
      </c>
    </row>
    <row r="2379" spans="1:6" x14ac:dyDescent="0.55000000000000004">
      <c r="A2379">
        <v>1.119270324334366E+18</v>
      </c>
      <c r="B2379" t="s">
        <v>198</v>
      </c>
      <c r="C2379" t="s">
        <v>13</v>
      </c>
      <c r="D2379">
        <v>408</v>
      </c>
      <c r="E2379" s="4">
        <f t="shared" si="74"/>
        <v>44149</v>
      </c>
      <c r="F2379">
        <f t="shared" si="75"/>
        <v>880</v>
      </c>
    </row>
    <row r="2380" spans="1:6" x14ac:dyDescent="0.55000000000000004">
      <c r="A2380">
        <v>6.3875957610149612E+18</v>
      </c>
      <c r="B2380" t="s">
        <v>239</v>
      </c>
      <c r="C2380" t="s">
        <v>7</v>
      </c>
      <c r="D2380">
        <v>2415</v>
      </c>
      <c r="E2380" s="4">
        <f t="shared" si="74"/>
        <v>44449</v>
      </c>
      <c r="F2380">
        <f t="shared" si="75"/>
        <v>580</v>
      </c>
    </row>
    <row r="2381" spans="1:6" x14ac:dyDescent="0.55000000000000004">
      <c r="A2381">
        <v>1.0672287716018579E+19</v>
      </c>
      <c r="B2381" t="s">
        <v>1111</v>
      </c>
      <c r="C2381" t="s">
        <v>7</v>
      </c>
      <c r="D2381">
        <v>31</v>
      </c>
      <c r="E2381" s="4">
        <f t="shared" si="74"/>
        <v>44507</v>
      </c>
      <c r="F2381">
        <f t="shared" si="75"/>
        <v>522</v>
      </c>
    </row>
    <row r="2382" spans="1:6" x14ac:dyDescent="0.55000000000000004">
      <c r="A2382">
        <v>2.66430046480576E+18</v>
      </c>
      <c r="B2382" t="s">
        <v>962</v>
      </c>
      <c r="C2382" t="s">
        <v>13</v>
      </c>
      <c r="D2382">
        <v>2056</v>
      </c>
      <c r="E2382" s="4">
        <f t="shared" si="74"/>
        <v>44848</v>
      </c>
      <c r="F2382">
        <f t="shared" si="75"/>
        <v>181</v>
      </c>
    </row>
    <row r="2383" spans="1:6" x14ac:dyDescent="0.55000000000000004">
      <c r="A2383">
        <v>1.21417257486778E+19</v>
      </c>
      <c r="B2383" t="s">
        <v>16</v>
      </c>
      <c r="C2383" t="s">
        <v>10</v>
      </c>
      <c r="D2383">
        <v>673</v>
      </c>
      <c r="E2383" s="4">
        <f t="shared" si="74"/>
        <v>44465</v>
      </c>
      <c r="F2383">
        <f t="shared" si="75"/>
        <v>564</v>
      </c>
    </row>
    <row r="2384" spans="1:6" x14ac:dyDescent="0.55000000000000004">
      <c r="A2384">
        <v>4.1384079277476362E+18</v>
      </c>
      <c r="B2384" t="s">
        <v>1002</v>
      </c>
      <c r="C2384" t="s">
        <v>10</v>
      </c>
      <c r="D2384">
        <v>1338</v>
      </c>
      <c r="E2384" s="4">
        <f t="shared" si="74"/>
        <v>43762</v>
      </c>
      <c r="F2384">
        <f t="shared" si="75"/>
        <v>1267</v>
      </c>
    </row>
    <row r="2385" spans="1:6" x14ac:dyDescent="0.55000000000000004">
      <c r="A2385">
        <v>1.5444205740804801E+19</v>
      </c>
      <c r="B2385" t="s">
        <v>982</v>
      </c>
      <c r="C2385" t="s">
        <v>13</v>
      </c>
      <c r="D2385">
        <v>531</v>
      </c>
      <c r="E2385" s="4">
        <f t="shared" si="74"/>
        <v>44094</v>
      </c>
      <c r="F2385">
        <f t="shared" si="75"/>
        <v>935</v>
      </c>
    </row>
    <row r="2386" spans="1:6" x14ac:dyDescent="0.55000000000000004">
      <c r="A2386">
        <v>1.4366874983721559E+18</v>
      </c>
      <c r="B2386" t="s">
        <v>658</v>
      </c>
      <c r="C2386" t="s">
        <v>10</v>
      </c>
      <c r="D2386">
        <v>621</v>
      </c>
      <c r="E2386" s="4">
        <f t="shared" si="74"/>
        <v>44112</v>
      </c>
      <c r="F2386">
        <f t="shared" si="75"/>
        <v>917</v>
      </c>
    </row>
    <row r="2387" spans="1:6" x14ac:dyDescent="0.55000000000000004">
      <c r="A2387">
        <v>4.87798441317184E+18</v>
      </c>
      <c r="B2387" t="s">
        <v>832</v>
      </c>
      <c r="C2387" t="s">
        <v>13</v>
      </c>
      <c r="D2387">
        <v>1550</v>
      </c>
      <c r="E2387" s="4">
        <f t="shared" si="74"/>
        <v>44929</v>
      </c>
      <c r="F2387">
        <f t="shared" si="75"/>
        <v>100</v>
      </c>
    </row>
    <row r="2388" spans="1:6" x14ac:dyDescent="0.55000000000000004">
      <c r="A2388">
        <v>1.294715336550305E+19</v>
      </c>
      <c r="B2388" t="s">
        <v>670</v>
      </c>
      <c r="C2388" t="s">
        <v>10</v>
      </c>
      <c r="D2388">
        <v>39</v>
      </c>
      <c r="E2388" s="4">
        <f t="shared" si="74"/>
        <v>44211</v>
      </c>
      <c r="F2388">
        <f t="shared" si="75"/>
        <v>818</v>
      </c>
    </row>
    <row r="2389" spans="1:6" x14ac:dyDescent="0.55000000000000004">
      <c r="A2389">
        <v>1.3614030583383269E+19</v>
      </c>
      <c r="B2389" t="s">
        <v>572</v>
      </c>
      <c r="C2389" t="s">
        <v>10</v>
      </c>
      <c r="D2389">
        <v>984</v>
      </c>
      <c r="E2389" s="4">
        <f t="shared" si="74"/>
        <v>44479</v>
      </c>
      <c r="F2389">
        <f t="shared" si="75"/>
        <v>550</v>
      </c>
    </row>
    <row r="2390" spans="1:6" x14ac:dyDescent="0.55000000000000004">
      <c r="A2390">
        <v>1.9748762811356109E+18</v>
      </c>
      <c r="B2390" t="s">
        <v>40</v>
      </c>
      <c r="C2390" t="s">
        <v>10</v>
      </c>
      <c r="D2390">
        <v>179</v>
      </c>
      <c r="E2390" s="4">
        <f t="shared" si="74"/>
        <v>44990</v>
      </c>
      <c r="F2390">
        <f t="shared" si="75"/>
        <v>39</v>
      </c>
    </row>
    <row r="2391" spans="1:6" x14ac:dyDescent="0.55000000000000004">
      <c r="A2391">
        <v>7.2685606215086868E+18</v>
      </c>
      <c r="B2391" t="s">
        <v>111</v>
      </c>
      <c r="C2391" t="s">
        <v>13</v>
      </c>
      <c r="D2391">
        <v>2989</v>
      </c>
      <c r="E2391" s="4">
        <f t="shared" si="74"/>
        <v>44293</v>
      </c>
      <c r="F2391">
        <f t="shared" si="75"/>
        <v>736</v>
      </c>
    </row>
    <row r="2392" spans="1:6" x14ac:dyDescent="0.55000000000000004">
      <c r="A2392">
        <v>8.3416183814785341E+18</v>
      </c>
      <c r="B2392" t="s">
        <v>550</v>
      </c>
      <c r="C2392" t="s">
        <v>13</v>
      </c>
      <c r="D2392">
        <v>4713</v>
      </c>
      <c r="E2392" s="4">
        <f t="shared" si="74"/>
        <v>44760</v>
      </c>
      <c r="F2392">
        <f t="shared" si="75"/>
        <v>269</v>
      </c>
    </row>
    <row r="2393" spans="1:6" x14ac:dyDescent="0.55000000000000004">
      <c r="A2393">
        <v>6.5158383350411981E+18</v>
      </c>
      <c r="B2393" t="s">
        <v>1024</v>
      </c>
      <c r="C2393" t="s">
        <v>7</v>
      </c>
      <c r="D2393">
        <v>11260</v>
      </c>
      <c r="E2393" s="4">
        <f t="shared" si="74"/>
        <v>44908</v>
      </c>
      <c r="F2393">
        <f t="shared" si="75"/>
        <v>121</v>
      </c>
    </row>
    <row r="2394" spans="1:6" x14ac:dyDescent="0.55000000000000004">
      <c r="A2394">
        <v>1.1084907403611501E+19</v>
      </c>
      <c r="B2394" t="s">
        <v>417</v>
      </c>
      <c r="C2394" t="s">
        <v>10</v>
      </c>
      <c r="D2394">
        <v>4470</v>
      </c>
      <c r="E2394" s="4">
        <f t="shared" si="74"/>
        <v>44278</v>
      </c>
      <c r="F2394">
        <f t="shared" si="75"/>
        <v>751</v>
      </c>
    </row>
    <row r="2395" spans="1:6" x14ac:dyDescent="0.55000000000000004">
      <c r="A2395">
        <v>6.0502654778610524E+18</v>
      </c>
      <c r="B2395" t="s">
        <v>851</v>
      </c>
      <c r="C2395" t="s">
        <v>50</v>
      </c>
      <c r="D2395">
        <v>45</v>
      </c>
      <c r="E2395" s="4">
        <f t="shared" si="74"/>
        <v>43873</v>
      </c>
      <c r="F2395">
        <f t="shared" si="75"/>
        <v>1156</v>
      </c>
    </row>
    <row r="2396" spans="1:6" x14ac:dyDescent="0.55000000000000004">
      <c r="A2396">
        <v>4.1851863206250301E+18</v>
      </c>
      <c r="B2396" t="s">
        <v>591</v>
      </c>
      <c r="C2396" t="s">
        <v>13</v>
      </c>
      <c r="D2396">
        <v>376</v>
      </c>
      <c r="E2396" s="4">
        <f t="shared" si="74"/>
        <v>44387</v>
      </c>
      <c r="F2396">
        <f t="shared" si="75"/>
        <v>642</v>
      </c>
    </row>
    <row r="2397" spans="1:6" x14ac:dyDescent="0.55000000000000004">
      <c r="A2397">
        <v>5.3620778757135073E+18</v>
      </c>
      <c r="B2397" t="s">
        <v>1088</v>
      </c>
      <c r="C2397" t="s">
        <v>13</v>
      </c>
      <c r="D2397">
        <v>8927</v>
      </c>
      <c r="E2397" s="4">
        <f t="shared" si="74"/>
        <v>44951</v>
      </c>
      <c r="F2397">
        <f t="shared" si="75"/>
        <v>78</v>
      </c>
    </row>
    <row r="2398" spans="1:6" x14ac:dyDescent="0.55000000000000004">
      <c r="A2398">
        <v>5.3367691214396877E+18</v>
      </c>
      <c r="B2398" t="s">
        <v>581</v>
      </c>
      <c r="C2398" t="s">
        <v>50</v>
      </c>
      <c r="D2398">
        <v>186</v>
      </c>
      <c r="E2398" s="4">
        <f t="shared" si="74"/>
        <v>44770</v>
      </c>
      <c r="F2398">
        <f t="shared" si="75"/>
        <v>259</v>
      </c>
    </row>
    <row r="2399" spans="1:6" x14ac:dyDescent="0.55000000000000004">
      <c r="A2399">
        <v>1.4996253730294829E+19</v>
      </c>
      <c r="B2399" t="s">
        <v>1112</v>
      </c>
      <c r="C2399" t="s">
        <v>10</v>
      </c>
      <c r="D2399">
        <v>2514</v>
      </c>
      <c r="E2399" s="4">
        <f t="shared" si="74"/>
        <v>44508</v>
      </c>
      <c r="F2399">
        <f t="shared" si="75"/>
        <v>521</v>
      </c>
    </row>
    <row r="2400" spans="1:6" x14ac:dyDescent="0.55000000000000004">
      <c r="A2400">
        <v>4.1040030372730511E+18</v>
      </c>
      <c r="B2400" t="s">
        <v>360</v>
      </c>
      <c r="C2400" t="s">
        <v>10</v>
      </c>
      <c r="D2400">
        <v>4824</v>
      </c>
      <c r="E2400" s="4">
        <f t="shared" si="74"/>
        <v>44995</v>
      </c>
      <c r="F2400">
        <f t="shared" si="75"/>
        <v>34</v>
      </c>
    </row>
    <row r="2401" spans="1:6" x14ac:dyDescent="0.55000000000000004">
      <c r="A2401">
        <v>4.6570495975165635E+18</v>
      </c>
      <c r="B2401" t="s">
        <v>961</v>
      </c>
      <c r="C2401" t="s">
        <v>10</v>
      </c>
      <c r="D2401">
        <v>810</v>
      </c>
      <c r="E2401" s="4">
        <f t="shared" si="74"/>
        <v>44194</v>
      </c>
      <c r="F2401">
        <f t="shared" si="75"/>
        <v>835</v>
      </c>
    </row>
    <row r="2402" spans="1:6" x14ac:dyDescent="0.55000000000000004">
      <c r="A2402">
        <v>3.6801396179204372E+18</v>
      </c>
      <c r="B2402" t="s">
        <v>697</v>
      </c>
      <c r="C2402" t="s">
        <v>13</v>
      </c>
      <c r="D2402">
        <v>2324</v>
      </c>
      <c r="E2402" s="4">
        <f t="shared" si="74"/>
        <v>44584</v>
      </c>
      <c r="F2402">
        <f t="shared" si="75"/>
        <v>445</v>
      </c>
    </row>
    <row r="2403" spans="1:6" x14ac:dyDescent="0.55000000000000004">
      <c r="A2403">
        <v>1.238916070570668E+19</v>
      </c>
      <c r="B2403" t="s">
        <v>922</v>
      </c>
      <c r="C2403" t="s">
        <v>10</v>
      </c>
      <c r="D2403">
        <v>198</v>
      </c>
      <c r="E2403" s="4">
        <f t="shared" si="74"/>
        <v>44216</v>
      </c>
      <c r="F2403">
        <f t="shared" si="75"/>
        <v>813</v>
      </c>
    </row>
    <row r="2404" spans="1:6" x14ac:dyDescent="0.55000000000000004">
      <c r="A2404">
        <v>1.5733382584919939E+19</v>
      </c>
      <c r="B2404" t="s">
        <v>1001</v>
      </c>
      <c r="C2404" t="s">
        <v>7</v>
      </c>
      <c r="D2404">
        <v>2010</v>
      </c>
      <c r="E2404" s="4">
        <f t="shared" si="74"/>
        <v>44137</v>
      </c>
      <c r="F2404">
        <f t="shared" si="75"/>
        <v>892</v>
      </c>
    </row>
    <row r="2405" spans="1:6" x14ac:dyDescent="0.55000000000000004">
      <c r="A2405">
        <v>1.8030433549853759E+19</v>
      </c>
      <c r="B2405" t="s">
        <v>1113</v>
      </c>
      <c r="C2405" t="s">
        <v>13</v>
      </c>
      <c r="D2405">
        <v>860</v>
      </c>
      <c r="E2405" s="4">
        <f t="shared" si="74"/>
        <v>43993</v>
      </c>
      <c r="F2405">
        <f t="shared" si="75"/>
        <v>1036</v>
      </c>
    </row>
    <row r="2406" spans="1:6" x14ac:dyDescent="0.55000000000000004">
      <c r="A2406">
        <v>4.2015316285946138E+18</v>
      </c>
      <c r="B2406" t="s">
        <v>998</v>
      </c>
      <c r="C2406" t="s">
        <v>10</v>
      </c>
      <c r="D2406">
        <v>6265</v>
      </c>
      <c r="E2406" s="4">
        <f t="shared" si="74"/>
        <v>44779</v>
      </c>
      <c r="F2406">
        <f t="shared" si="75"/>
        <v>250</v>
      </c>
    </row>
    <row r="2407" spans="1:6" x14ac:dyDescent="0.55000000000000004">
      <c r="A2407">
        <v>8.0284079268959212E+18</v>
      </c>
      <c r="B2407" t="s">
        <v>405</v>
      </c>
      <c r="C2407" t="s">
        <v>26</v>
      </c>
      <c r="D2407">
        <v>148</v>
      </c>
      <c r="E2407" s="4">
        <f t="shared" si="74"/>
        <v>43988</v>
      </c>
      <c r="F2407">
        <f t="shared" si="75"/>
        <v>1041</v>
      </c>
    </row>
    <row r="2408" spans="1:6" x14ac:dyDescent="0.55000000000000004">
      <c r="A2408">
        <v>1.0527404073253321E+19</v>
      </c>
      <c r="B2408" t="s">
        <v>16</v>
      </c>
      <c r="C2408" t="s">
        <v>10</v>
      </c>
      <c r="D2408">
        <v>1490</v>
      </c>
      <c r="E2408" s="4">
        <f t="shared" si="74"/>
        <v>44465</v>
      </c>
      <c r="F2408">
        <f t="shared" si="75"/>
        <v>564</v>
      </c>
    </row>
    <row r="2409" spans="1:6" x14ac:dyDescent="0.55000000000000004">
      <c r="A2409">
        <v>2.14024521168753E+18</v>
      </c>
      <c r="B2409" t="s">
        <v>829</v>
      </c>
      <c r="C2409" t="s">
        <v>10</v>
      </c>
      <c r="D2409">
        <v>355</v>
      </c>
      <c r="E2409" s="4">
        <f t="shared" si="74"/>
        <v>44431</v>
      </c>
      <c r="F2409">
        <f t="shared" si="75"/>
        <v>598</v>
      </c>
    </row>
    <row r="2410" spans="1:6" x14ac:dyDescent="0.55000000000000004">
      <c r="A2410">
        <v>1.008690972992922E+19</v>
      </c>
      <c r="B2410" t="s">
        <v>59</v>
      </c>
      <c r="C2410" t="s">
        <v>13</v>
      </c>
      <c r="D2410">
        <v>3591</v>
      </c>
      <c r="E2410" s="4">
        <f t="shared" si="74"/>
        <v>43882</v>
      </c>
      <c r="F2410">
        <f t="shared" si="75"/>
        <v>1147</v>
      </c>
    </row>
    <row r="2411" spans="1:6" x14ac:dyDescent="0.55000000000000004">
      <c r="A2411">
        <v>9.925676577248469E+18</v>
      </c>
      <c r="B2411" t="s">
        <v>860</v>
      </c>
      <c r="C2411" t="s">
        <v>10</v>
      </c>
      <c r="D2411">
        <v>206</v>
      </c>
      <c r="E2411" s="4">
        <f t="shared" si="74"/>
        <v>43899</v>
      </c>
      <c r="F2411">
        <f t="shared" si="75"/>
        <v>1130</v>
      </c>
    </row>
    <row r="2412" spans="1:6" x14ac:dyDescent="0.55000000000000004">
      <c r="A2412">
        <v>1.090496647383765E+19</v>
      </c>
      <c r="B2412" t="s">
        <v>1114</v>
      </c>
      <c r="C2412" t="s">
        <v>7</v>
      </c>
      <c r="D2412">
        <v>295</v>
      </c>
      <c r="E2412" s="4">
        <f t="shared" si="74"/>
        <v>44528</v>
      </c>
      <c r="F2412">
        <f t="shared" si="75"/>
        <v>501</v>
      </c>
    </row>
    <row r="2413" spans="1:6" x14ac:dyDescent="0.55000000000000004">
      <c r="A2413">
        <v>9.6444022899638211E+18</v>
      </c>
      <c r="B2413" t="s">
        <v>671</v>
      </c>
      <c r="C2413" t="s">
        <v>13</v>
      </c>
      <c r="D2413">
        <v>146</v>
      </c>
      <c r="E2413" s="4">
        <f t="shared" si="74"/>
        <v>44719</v>
      </c>
      <c r="F2413">
        <f t="shared" si="75"/>
        <v>310</v>
      </c>
    </row>
    <row r="2414" spans="1:6" x14ac:dyDescent="0.55000000000000004">
      <c r="A2414">
        <v>1.634188583066522E+19</v>
      </c>
      <c r="B2414" t="s">
        <v>847</v>
      </c>
      <c r="C2414" t="s">
        <v>13</v>
      </c>
      <c r="D2414">
        <v>1492</v>
      </c>
      <c r="E2414" s="4">
        <f t="shared" si="74"/>
        <v>44190</v>
      </c>
      <c r="F2414">
        <f t="shared" si="75"/>
        <v>839</v>
      </c>
    </row>
    <row r="2415" spans="1:6" x14ac:dyDescent="0.55000000000000004">
      <c r="A2415">
        <v>1.3959446947295001E+19</v>
      </c>
      <c r="B2415" t="s">
        <v>1115</v>
      </c>
      <c r="C2415" t="s">
        <v>13</v>
      </c>
      <c r="D2415">
        <v>183</v>
      </c>
      <c r="E2415" s="4">
        <f t="shared" si="74"/>
        <v>44075</v>
      </c>
      <c r="F2415">
        <f t="shared" si="75"/>
        <v>954</v>
      </c>
    </row>
    <row r="2416" spans="1:6" x14ac:dyDescent="0.55000000000000004">
      <c r="A2416">
        <v>5.4249199035225917E+18</v>
      </c>
      <c r="B2416" t="s">
        <v>378</v>
      </c>
      <c r="C2416" t="s">
        <v>10</v>
      </c>
      <c r="D2416">
        <v>4047</v>
      </c>
      <c r="E2416" s="4">
        <f t="shared" si="74"/>
        <v>44472</v>
      </c>
      <c r="F2416">
        <f t="shared" si="75"/>
        <v>557</v>
      </c>
    </row>
    <row r="2417" spans="1:6" x14ac:dyDescent="0.55000000000000004">
      <c r="A2417">
        <v>1.5365074124483809E+19</v>
      </c>
      <c r="B2417" t="s">
        <v>784</v>
      </c>
      <c r="C2417" t="s">
        <v>10</v>
      </c>
      <c r="D2417">
        <v>1500</v>
      </c>
      <c r="E2417" s="4">
        <f t="shared" si="74"/>
        <v>45017</v>
      </c>
      <c r="F2417">
        <f t="shared" si="75"/>
        <v>12</v>
      </c>
    </row>
    <row r="2418" spans="1:6" x14ac:dyDescent="0.55000000000000004">
      <c r="A2418">
        <v>1.3923104189276819E+19</v>
      </c>
      <c r="B2418" t="s">
        <v>1116</v>
      </c>
      <c r="C2418" t="s">
        <v>13</v>
      </c>
      <c r="D2418">
        <v>410</v>
      </c>
      <c r="E2418" s="4">
        <f t="shared" si="74"/>
        <v>43800</v>
      </c>
      <c r="F2418">
        <f t="shared" si="75"/>
        <v>1229</v>
      </c>
    </row>
    <row r="2419" spans="1:6" x14ac:dyDescent="0.55000000000000004">
      <c r="A2419">
        <v>2.7343455953754409E+18</v>
      </c>
      <c r="B2419" t="s">
        <v>97</v>
      </c>
      <c r="C2419" t="s">
        <v>50</v>
      </c>
      <c r="D2419">
        <v>49</v>
      </c>
      <c r="E2419" s="4">
        <f t="shared" si="74"/>
        <v>44444</v>
      </c>
      <c r="F2419">
        <f t="shared" si="75"/>
        <v>585</v>
      </c>
    </row>
    <row r="2420" spans="1:6" x14ac:dyDescent="0.55000000000000004">
      <c r="A2420">
        <v>1.70230953070644E+19</v>
      </c>
      <c r="B2420" t="s">
        <v>1117</v>
      </c>
      <c r="C2420" t="s">
        <v>10</v>
      </c>
      <c r="D2420">
        <v>6599</v>
      </c>
      <c r="E2420" s="4">
        <f t="shared" si="74"/>
        <v>43656</v>
      </c>
      <c r="F2420">
        <f t="shared" si="75"/>
        <v>1373</v>
      </c>
    </row>
    <row r="2421" spans="1:6" x14ac:dyDescent="0.55000000000000004">
      <c r="A2421">
        <v>5.3973038049061745E+18</v>
      </c>
      <c r="B2421" t="s">
        <v>1015</v>
      </c>
      <c r="C2421" t="s">
        <v>26</v>
      </c>
      <c r="D2421">
        <v>22836.97</v>
      </c>
      <c r="E2421" s="4">
        <f t="shared" si="74"/>
        <v>44440</v>
      </c>
      <c r="F2421">
        <f t="shared" si="75"/>
        <v>589</v>
      </c>
    </row>
    <row r="2422" spans="1:6" x14ac:dyDescent="0.55000000000000004">
      <c r="A2422">
        <v>1.5299920061904511E+19</v>
      </c>
      <c r="B2422" t="s">
        <v>217</v>
      </c>
      <c r="C2422" t="s">
        <v>26</v>
      </c>
      <c r="D2422">
        <v>65</v>
      </c>
      <c r="E2422" s="4">
        <f t="shared" si="74"/>
        <v>44239</v>
      </c>
      <c r="F2422">
        <f t="shared" si="75"/>
        <v>790</v>
      </c>
    </row>
    <row r="2423" spans="1:6" x14ac:dyDescent="0.55000000000000004">
      <c r="A2423">
        <v>9.283264815651498E+18</v>
      </c>
      <c r="B2423" t="s">
        <v>1045</v>
      </c>
      <c r="C2423" t="s">
        <v>10</v>
      </c>
      <c r="D2423">
        <v>1792</v>
      </c>
      <c r="E2423" s="4">
        <f t="shared" si="74"/>
        <v>44827</v>
      </c>
      <c r="F2423">
        <f t="shared" si="75"/>
        <v>202</v>
      </c>
    </row>
    <row r="2424" spans="1:6" x14ac:dyDescent="0.55000000000000004">
      <c r="A2424">
        <v>1.0004754062795839E+19</v>
      </c>
      <c r="B2424" t="s">
        <v>637</v>
      </c>
      <c r="C2424" t="s">
        <v>13</v>
      </c>
      <c r="D2424">
        <v>1947</v>
      </c>
      <c r="E2424" s="4">
        <f t="shared" si="74"/>
        <v>44872</v>
      </c>
      <c r="F2424">
        <f t="shared" si="75"/>
        <v>157</v>
      </c>
    </row>
    <row r="2425" spans="1:6" x14ac:dyDescent="0.55000000000000004">
      <c r="A2425">
        <v>5.3973038049061745E+18</v>
      </c>
      <c r="B2425" t="s">
        <v>871</v>
      </c>
      <c r="C2425" t="s">
        <v>5</v>
      </c>
      <c r="D2425">
        <v>31313.439999999999</v>
      </c>
      <c r="E2425" s="4">
        <f t="shared" si="74"/>
        <v>44492</v>
      </c>
      <c r="F2425">
        <f t="shared" si="75"/>
        <v>537</v>
      </c>
    </row>
    <row r="2426" spans="1:6" x14ac:dyDescent="0.55000000000000004">
      <c r="A2426">
        <v>1.1747785999368579E+19</v>
      </c>
      <c r="B2426" t="s">
        <v>681</v>
      </c>
      <c r="C2426" t="s">
        <v>13</v>
      </c>
      <c r="D2426">
        <v>1256</v>
      </c>
      <c r="E2426" s="4">
        <f t="shared" si="74"/>
        <v>43966</v>
      </c>
      <c r="F2426">
        <f t="shared" si="75"/>
        <v>1063</v>
      </c>
    </row>
    <row r="2427" spans="1:6" x14ac:dyDescent="0.55000000000000004">
      <c r="A2427">
        <v>6.2799528260788367E+18</v>
      </c>
      <c r="B2427" t="s">
        <v>1063</v>
      </c>
      <c r="C2427" t="s">
        <v>10</v>
      </c>
      <c r="D2427">
        <v>1396</v>
      </c>
      <c r="E2427" s="4">
        <f t="shared" si="74"/>
        <v>44202</v>
      </c>
      <c r="F2427">
        <f t="shared" si="75"/>
        <v>827</v>
      </c>
    </row>
    <row r="2428" spans="1:6" x14ac:dyDescent="0.55000000000000004">
      <c r="A2428">
        <v>2.2082843403097999E+18</v>
      </c>
      <c r="B2428" t="s">
        <v>365</v>
      </c>
      <c r="C2428" t="s">
        <v>7</v>
      </c>
      <c r="D2428">
        <v>2020</v>
      </c>
      <c r="E2428" s="4">
        <f t="shared" si="74"/>
        <v>44918</v>
      </c>
      <c r="F2428">
        <f t="shared" si="75"/>
        <v>111</v>
      </c>
    </row>
    <row r="2429" spans="1:6" x14ac:dyDescent="0.55000000000000004">
      <c r="A2429">
        <v>1.2470295368778029E+19</v>
      </c>
      <c r="B2429" t="s">
        <v>167</v>
      </c>
      <c r="C2429" t="s">
        <v>13</v>
      </c>
      <c r="D2429">
        <v>432</v>
      </c>
      <c r="E2429" s="4">
        <f t="shared" si="74"/>
        <v>44118</v>
      </c>
      <c r="F2429">
        <f t="shared" si="75"/>
        <v>911</v>
      </c>
    </row>
    <row r="2430" spans="1:6" x14ac:dyDescent="0.55000000000000004">
      <c r="A2430">
        <v>1.8323586710948401E+18</v>
      </c>
      <c r="B2430" t="s">
        <v>125</v>
      </c>
      <c r="C2430" t="s">
        <v>10</v>
      </c>
      <c r="D2430">
        <v>11310</v>
      </c>
      <c r="E2430" s="4">
        <f t="shared" si="74"/>
        <v>44316</v>
      </c>
      <c r="F2430">
        <f t="shared" si="75"/>
        <v>713</v>
      </c>
    </row>
    <row r="2431" spans="1:6" x14ac:dyDescent="0.55000000000000004">
      <c r="A2431">
        <v>7.5454109960868352E+18</v>
      </c>
      <c r="B2431" t="s">
        <v>1118</v>
      </c>
      <c r="C2431" t="s">
        <v>10</v>
      </c>
      <c r="D2431">
        <v>1590</v>
      </c>
      <c r="E2431" s="4">
        <f t="shared" si="74"/>
        <v>45027</v>
      </c>
      <c r="F2431">
        <f t="shared" si="75"/>
        <v>2</v>
      </c>
    </row>
    <row r="2432" spans="1:6" x14ac:dyDescent="0.55000000000000004">
      <c r="A2432">
        <v>8.5868986495551754E+18</v>
      </c>
      <c r="B2432" t="s">
        <v>794</v>
      </c>
      <c r="C2432" t="s">
        <v>10</v>
      </c>
      <c r="D2432">
        <v>4381</v>
      </c>
      <c r="E2432" s="4">
        <f t="shared" si="74"/>
        <v>44926</v>
      </c>
      <c r="F2432">
        <f t="shared" si="75"/>
        <v>103</v>
      </c>
    </row>
    <row r="2433" spans="1:6" x14ac:dyDescent="0.55000000000000004">
      <c r="A2433">
        <v>4.2177726099247478E+18</v>
      </c>
      <c r="B2433" t="s">
        <v>999</v>
      </c>
      <c r="C2433" t="s">
        <v>7</v>
      </c>
      <c r="D2433">
        <v>1485</v>
      </c>
      <c r="E2433" s="4">
        <f t="shared" si="74"/>
        <v>44371</v>
      </c>
      <c r="F2433">
        <f t="shared" si="75"/>
        <v>658</v>
      </c>
    </row>
    <row r="2434" spans="1:6" x14ac:dyDescent="0.55000000000000004">
      <c r="A2434">
        <v>1.147967475040103E+19</v>
      </c>
      <c r="B2434" t="s">
        <v>763</v>
      </c>
      <c r="C2434" t="s">
        <v>10</v>
      </c>
      <c r="D2434">
        <v>2786</v>
      </c>
      <c r="E2434" s="4">
        <f t="shared" si="74"/>
        <v>44741</v>
      </c>
      <c r="F2434">
        <f t="shared" si="75"/>
        <v>288</v>
      </c>
    </row>
    <row r="2435" spans="1:6" x14ac:dyDescent="0.55000000000000004">
      <c r="A2435">
        <v>1.802481165492719E+19</v>
      </c>
      <c r="B2435" t="s">
        <v>924</v>
      </c>
      <c r="C2435" t="s">
        <v>13</v>
      </c>
      <c r="D2435">
        <v>10848</v>
      </c>
      <c r="E2435" s="4">
        <f t="shared" ref="E2435:E2498" si="76">DATEVALUE(B2435)</f>
        <v>44670</v>
      </c>
      <c r="F2435">
        <f t="shared" ref="F2435:F2498" si="77">$H$1-E2435</f>
        <v>359</v>
      </c>
    </row>
    <row r="2436" spans="1:6" x14ac:dyDescent="0.55000000000000004">
      <c r="A2436">
        <v>6.1701038095527096E+18</v>
      </c>
      <c r="B2436" t="s">
        <v>305</v>
      </c>
      <c r="C2436" t="s">
        <v>10</v>
      </c>
      <c r="D2436">
        <v>7750</v>
      </c>
      <c r="E2436" s="4">
        <f t="shared" si="76"/>
        <v>44713</v>
      </c>
      <c r="F2436">
        <f t="shared" si="77"/>
        <v>316</v>
      </c>
    </row>
    <row r="2437" spans="1:6" x14ac:dyDescent="0.55000000000000004">
      <c r="A2437">
        <v>1.7989877110360539E+19</v>
      </c>
      <c r="B2437" t="s">
        <v>180</v>
      </c>
      <c r="C2437" t="s">
        <v>13</v>
      </c>
      <c r="D2437">
        <v>1139</v>
      </c>
      <c r="E2437" s="4">
        <f t="shared" si="76"/>
        <v>44696</v>
      </c>
      <c r="F2437">
        <f t="shared" si="77"/>
        <v>333</v>
      </c>
    </row>
    <row r="2438" spans="1:6" x14ac:dyDescent="0.55000000000000004">
      <c r="A2438">
        <v>9.9885827118705459E+18</v>
      </c>
      <c r="B2438" t="s">
        <v>862</v>
      </c>
      <c r="C2438" t="s">
        <v>13</v>
      </c>
      <c r="D2438">
        <v>8547</v>
      </c>
      <c r="E2438" s="4">
        <f t="shared" si="76"/>
        <v>44394</v>
      </c>
      <c r="F2438">
        <f t="shared" si="77"/>
        <v>635</v>
      </c>
    </row>
    <row r="2439" spans="1:6" x14ac:dyDescent="0.55000000000000004">
      <c r="A2439">
        <v>1.511718859902491E+19</v>
      </c>
      <c r="B2439" t="s">
        <v>1015</v>
      </c>
      <c r="C2439" t="s">
        <v>13</v>
      </c>
      <c r="D2439">
        <v>1000</v>
      </c>
      <c r="E2439" s="4">
        <f t="shared" si="76"/>
        <v>44440</v>
      </c>
      <c r="F2439">
        <f t="shared" si="77"/>
        <v>589</v>
      </c>
    </row>
    <row r="2440" spans="1:6" x14ac:dyDescent="0.55000000000000004">
      <c r="A2440">
        <v>5.6186651322132787E+18</v>
      </c>
      <c r="B2440" t="s">
        <v>990</v>
      </c>
      <c r="C2440" t="s">
        <v>10</v>
      </c>
      <c r="D2440">
        <v>15415</v>
      </c>
      <c r="E2440" s="4">
        <f t="shared" si="76"/>
        <v>44357</v>
      </c>
      <c r="F2440">
        <f t="shared" si="77"/>
        <v>672</v>
      </c>
    </row>
    <row r="2441" spans="1:6" x14ac:dyDescent="0.55000000000000004">
      <c r="A2441">
        <v>1.19876887863512E+19</v>
      </c>
      <c r="B2441" t="s">
        <v>1038</v>
      </c>
      <c r="C2441" t="s">
        <v>10</v>
      </c>
      <c r="D2441">
        <v>1964</v>
      </c>
      <c r="E2441" s="4">
        <f t="shared" si="76"/>
        <v>44724</v>
      </c>
      <c r="F2441">
        <f t="shared" si="77"/>
        <v>305</v>
      </c>
    </row>
    <row r="2442" spans="1:6" x14ac:dyDescent="0.55000000000000004">
      <c r="A2442">
        <v>7.9157190197164687E+18</v>
      </c>
      <c r="B2442" t="s">
        <v>661</v>
      </c>
      <c r="C2442" t="s">
        <v>50</v>
      </c>
      <c r="D2442">
        <v>126</v>
      </c>
      <c r="E2442" s="4">
        <f t="shared" si="76"/>
        <v>43888</v>
      </c>
      <c r="F2442">
        <f t="shared" si="77"/>
        <v>1141</v>
      </c>
    </row>
    <row r="2443" spans="1:6" x14ac:dyDescent="0.55000000000000004">
      <c r="A2443">
        <v>5.089514647593942E+18</v>
      </c>
      <c r="B2443" t="s">
        <v>494</v>
      </c>
      <c r="C2443" t="s">
        <v>13</v>
      </c>
      <c r="D2443">
        <v>1077</v>
      </c>
      <c r="E2443" s="4">
        <f t="shared" si="76"/>
        <v>44891</v>
      </c>
      <c r="F2443">
        <f t="shared" si="77"/>
        <v>138</v>
      </c>
    </row>
    <row r="2444" spans="1:6" x14ac:dyDescent="0.55000000000000004">
      <c r="A2444">
        <v>5.6825257000827535E+18</v>
      </c>
      <c r="B2444" t="s">
        <v>502</v>
      </c>
      <c r="C2444" t="s">
        <v>13</v>
      </c>
      <c r="D2444">
        <v>9714</v>
      </c>
      <c r="E2444" s="4">
        <f t="shared" si="76"/>
        <v>44162</v>
      </c>
      <c r="F2444">
        <f t="shared" si="77"/>
        <v>867</v>
      </c>
    </row>
    <row r="2445" spans="1:6" x14ac:dyDescent="0.55000000000000004">
      <c r="A2445">
        <v>1.6942746840926949E+19</v>
      </c>
      <c r="B2445" t="s">
        <v>307</v>
      </c>
      <c r="C2445" t="s">
        <v>10</v>
      </c>
      <c r="D2445">
        <v>1514</v>
      </c>
      <c r="E2445" s="4">
        <f t="shared" si="76"/>
        <v>44616</v>
      </c>
      <c r="F2445">
        <f t="shared" si="77"/>
        <v>413</v>
      </c>
    </row>
    <row r="2446" spans="1:6" x14ac:dyDescent="0.55000000000000004">
      <c r="A2446">
        <v>1.6193132783902421E+19</v>
      </c>
      <c r="B2446" t="s">
        <v>1119</v>
      </c>
      <c r="C2446" t="s">
        <v>10</v>
      </c>
      <c r="D2446">
        <v>4077</v>
      </c>
      <c r="E2446" s="4">
        <f t="shared" si="76"/>
        <v>44791</v>
      </c>
      <c r="F2446">
        <f t="shared" si="77"/>
        <v>238</v>
      </c>
    </row>
    <row r="2447" spans="1:6" x14ac:dyDescent="0.55000000000000004">
      <c r="A2447">
        <v>1.3015883032061481E+19</v>
      </c>
      <c r="B2447" t="s">
        <v>1120</v>
      </c>
      <c r="C2447" t="s">
        <v>7</v>
      </c>
      <c r="D2447">
        <v>304</v>
      </c>
      <c r="E2447" s="4">
        <f t="shared" si="76"/>
        <v>44319</v>
      </c>
      <c r="F2447">
        <f t="shared" si="77"/>
        <v>710</v>
      </c>
    </row>
    <row r="2448" spans="1:6" x14ac:dyDescent="0.55000000000000004">
      <c r="A2448">
        <v>7.1818682123350518E+18</v>
      </c>
      <c r="B2448" t="s">
        <v>342</v>
      </c>
      <c r="C2448" t="s">
        <v>10</v>
      </c>
      <c r="D2448">
        <v>1194</v>
      </c>
      <c r="E2448" s="4">
        <f t="shared" si="76"/>
        <v>44861</v>
      </c>
      <c r="F2448">
        <f t="shared" si="77"/>
        <v>168</v>
      </c>
    </row>
    <row r="2449" spans="1:6" x14ac:dyDescent="0.55000000000000004">
      <c r="A2449">
        <v>6.9275631099077755E+18</v>
      </c>
      <c r="B2449" t="s">
        <v>195</v>
      </c>
      <c r="C2449" t="s">
        <v>10</v>
      </c>
      <c r="D2449">
        <v>210</v>
      </c>
      <c r="E2449" s="4">
        <f t="shared" si="76"/>
        <v>44640</v>
      </c>
      <c r="F2449">
        <f t="shared" si="77"/>
        <v>389</v>
      </c>
    </row>
    <row r="2450" spans="1:6" x14ac:dyDescent="0.55000000000000004">
      <c r="A2450">
        <v>9.5933404343184896E+18</v>
      </c>
      <c r="B2450" t="s">
        <v>537</v>
      </c>
      <c r="C2450" t="s">
        <v>7</v>
      </c>
      <c r="D2450">
        <v>147</v>
      </c>
      <c r="E2450" s="4">
        <f t="shared" si="76"/>
        <v>44617</v>
      </c>
      <c r="F2450">
        <f t="shared" si="77"/>
        <v>412</v>
      </c>
    </row>
    <row r="2451" spans="1:6" x14ac:dyDescent="0.55000000000000004">
      <c r="A2451">
        <v>1.4270329956896489E+19</v>
      </c>
      <c r="B2451" t="s">
        <v>805</v>
      </c>
      <c r="C2451" t="s">
        <v>7</v>
      </c>
      <c r="D2451">
        <v>863</v>
      </c>
      <c r="E2451" s="4">
        <f t="shared" si="76"/>
        <v>44868</v>
      </c>
      <c r="F2451">
        <f t="shared" si="77"/>
        <v>161</v>
      </c>
    </row>
    <row r="2452" spans="1:6" x14ac:dyDescent="0.55000000000000004">
      <c r="A2452">
        <v>4.2674102297674528E+17</v>
      </c>
      <c r="B2452" t="s">
        <v>465</v>
      </c>
      <c r="C2452" t="s">
        <v>7</v>
      </c>
      <c r="D2452">
        <v>208</v>
      </c>
      <c r="E2452" s="4">
        <f t="shared" si="76"/>
        <v>44917</v>
      </c>
      <c r="F2452">
        <f t="shared" si="77"/>
        <v>112</v>
      </c>
    </row>
    <row r="2453" spans="1:6" x14ac:dyDescent="0.55000000000000004">
      <c r="A2453">
        <v>9.1402792590415073E+18</v>
      </c>
      <c r="B2453" t="s">
        <v>1052</v>
      </c>
      <c r="C2453" t="s">
        <v>26</v>
      </c>
      <c r="D2453">
        <v>273</v>
      </c>
      <c r="E2453" s="4">
        <f t="shared" si="76"/>
        <v>43878</v>
      </c>
      <c r="F2453">
        <f t="shared" si="77"/>
        <v>1151</v>
      </c>
    </row>
    <row r="2454" spans="1:6" x14ac:dyDescent="0.55000000000000004">
      <c r="A2454">
        <v>1.608001931279139E+19</v>
      </c>
      <c r="B2454" t="s">
        <v>1021</v>
      </c>
      <c r="C2454" t="s">
        <v>10</v>
      </c>
      <c r="D2454">
        <v>2075</v>
      </c>
      <c r="E2454" s="4">
        <f t="shared" si="76"/>
        <v>44000</v>
      </c>
      <c r="F2454">
        <f t="shared" si="77"/>
        <v>1029</v>
      </c>
    </row>
    <row r="2455" spans="1:6" x14ac:dyDescent="0.55000000000000004">
      <c r="A2455">
        <v>6.3308097158382285E+18</v>
      </c>
      <c r="B2455" t="s">
        <v>1121</v>
      </c>
      <c r="C2455" t="s">
        <v>7</v>
      </c>
      <c r="D2455">
        <v>112</v>
      </c>
      <c r="E2455" s="4">
        <f t="shared" si="76"/>
        <v>44878</v>
      </c>
      <c r="F2455">
        <f t="shared" si="77"/>
        <v>151</v>
      </c>
    </row>
    <row r="2456" spans="1:6" x14ac:dyDescent="0.55000000000000004">
      <c r="A2456">
        <v>4.8196819098361508E+18</v>
      </c>
      <c r="B2456" t="s">
        <v>366</v>
      </c>
      <c r="C2456" t="s">
        <v>7</v>
      </c>
      <c r="D2456">
        <v>177</v>
      </c>
      <c r="E2456" s="4">
        <f t="shared" si="76"/>
        <v>44746</v>
      </c>
      <c r="F2456">
        <f t="shared" si="77"/>
        <v>283</v>
      </c>
    </row>
    <row r="2457" spans="1:6" x14ac:dyDescent="0.55000000000000004">
      <c r="A2457">
        <v>1.763360733464313E+19</v>
      </c>
      <c r="B2457" t="s">
        <v>147</v>
      </c>
      <c r="C2457" t="s">
        <v>10</v>
      </c>
      <c r="D2457">
        <v>885</v>
      </c>
      <c r="E2457" s="4">
        <f t="shared" si="76"/>
        <v>44599</v>
      </c>
      <c r="F2457">
        <f t="shared" si="77"/>
        <v>430</v>
      </c>
    </row>
    <row r="2458" spans="1:6" x14ac:dyDescent="0.55000000000000004">
      <c r="A2458">
        <v>8.8946240980239555E+18</v>
      </c>
      <c r="B2458" t="s">
        <v>1122</v>
      </c>
      <c r="C2458" t="s">
        <v>7</v>
      </c>
      <c r="D2458">
        <v>139</v>
      </c>
      <c r="E2458" s="4">
        <f t="shared" si="76"/>
        <v>44840</v>
      </c>
      <c r="F2458">
        <f t="shared" si="77"/>
        <v>189</v>
      </c>
    </row>
    <row r="2459" spans="1:6" x14ac:dyDescent="0.55000000000000004">
      <c r="A2459">
        <v>1.2242322411880839E+19</v>
      </c>
      <c r="B2459" t="s">
        <v>634</v>
      </c>
      <c r="C2459" t="s">
        <v>13</v>
      </c>
      <c r="D2459">
        <v>7460</v>
      </c>
      <c r="E2459" s="4">
        <f t="shared" si="76"/>
        <v>44645</v>
      </c>
      <c r="F2459">
        <f t="shared" si="77"/>
        <v>384</v>
      </c>
    </row>
    <row r="2460" spans="1:6" x14ac:dyDescent="0.55000000000000004">
      <c r="A2460">
        <v>9.2940510925032448E+18</v>
      </c>
      <c r="B2460" t="s">
        <v>876</v>
      </c>
      <c r="C2460" t="s">
        <v>46</v>
      </c>
      <c r="D2460">
        <v>216</v>
      </c>
      <c r="E2460" s="4">
        <f t="shared" si="76"/>
        <v>44573</v>
      </c>
      <c r="F2460">
        <f t="shared" si="77"/>
        <v>456</v>
      </c>
    </row>
    <row r="2461" spans="1:6" x14ac:dyDescent="0.55000000000000004">
      <c r="A2461">
        <v>1.7830572075161309E+19</v>
      </c>
      <c r="B2461" t="s">
        <v>495</v>
      </c>
      <c r="C2461" t="s">
        <v>7</v>
      </c>
      <c r="D2461">
        <v>545</v>
      </c>
      <c r="E2461" s="4">
        <f t="shared" si="76"/>
        <v>44323</v>
      </c>
      <c r="F2461">
        <f t="shared" si="77"/>
        <v>706</v>
      </c>
    </row>
    <row r="2462" spans="1:6" x14ac:dyDescent="0.55000000000000004">
      <c r="A2462">
        <v>7.9655924195363287E+18</v>
      </c>
      <c r="B2462" t="s">
        <v>1123</v>
      </c>
      <c r="C2462" t="s">
        <v>5</v>
      </c>
      <c r="D2462">
        <v>770</v>
      </c>
      <c r="E2462" s="4">
        <f t="shared" si="76"/>
        <v>44722</v>
      </c>
      <c r="F2462">
        <f t="shared" si="77"/>
        <v>307</v>
      </c>
    </row>
    <row r="2463" spans="1:6" x14ac:dyDescent="0.55000000000000004">
      <c r="A2463">
        <v>1.701416435649273E+19</v>
      </c>
      <c r="B2463" t="s">
        <v>223</v>
      </c>
      <c r="C2463" t="s">
        <v>10</v>
      </c>
      <c r="D2463">
        <v>790</v>
      </c>
      <c r="E2463" s="4">
        <f t="shared" si="76"/>
        <v>44623</v>
      </c>
      <c r="F2463">
        <f t="shared" si="77"/>
        <v>406</v>
      </c>
    </row>
    <row r="2464" spans="1:6" x14ac:dyDescent="0.55000000000000004">
      <c r="A2464">
        <v>6.9275631099077755E+18</v>
      </c>
      <c r="B2464" t="s">
        <v>247</v>
      </c>
      <c r="C2464" t="s">
        <v>7</v>
      </c>
      <c r="D2464">
        <v>846</v>
      </c>
      <c r="E2464" s="4">
        <f t="shared" si="76"/>
        <v>44947</v>
      </c>
      <c r="F2464">
        <f t="shared" si="77"/>
        <v>82</v>
      </c>
    </row>
    <row r="2465" spans="1:6" x14ac:dyDescent="0.55000000000000004">
      <c r="A2465">
        <v>1.710465129836398E+19</v>
      </c>
      <c r="B2465" t="s">
        <v>759</v>
      </c>
      <c r="C2465" t="s">
        <v>10</v>
      </c>
      <c r="D2465">
        <v>24850</v>
      </c>
      <c r="E2465" s="4">
        <f t="shared" si="76"/>
        <v>44547</v>
      </c>
      <c r="F2465">
        <f t="shared" si="77"/>
        <v>482</v>
      </c>
    </row>
    <row r="2466" spans="1:6" x14ac:dyDescent="0.55000000000000004">
      <c r="A2466">
        <v>5.4238305817622938E+18</v>
      </c>
      <c r="B2466" t="s">
        <v>223</v>
      </c>
      <c r="C2466" t="s">
        <v>10</v>
      </c>
      <c r="D2466">
        <v>598</v>
      </c>
      <c r="E2466" s="4">
        <f t="shared" si="76"/>
        <v>44623</v>
      </c>
      <c r="F2466">
        <f t="shared" si="77"/>
        <v>406</v>
      </c>
    </row>
    <row r="2467" spans="1:6" x14ac:dyDescent="0.55000000000000004">
      <c r="A2467">
        <v>5.3973038049061745E+18</v>
      </c>
      <c r="B2467" t="s">
        <v>1124</v>
      </c>
      <c r="C2467" t="s">
        <v>26</v>
      </c>
      <c r="D2467">
        <v>179895.6</v>
      </c>
      <c r="E2467" s="4">
        <f t="shared" si="76"/>
        <v>42921</v>
      </c>
      <c r="F2467">
        <f t="shared" si="77"/>
        <v>2108</v>
      </c>
    </row>
    <row r="2468" spans="1:6" x14ac:dyDescent="0.55000000000000004">
      <c r="A2468">
        <v>1.275911687745459E+19</v>
      </c>
      <c r="B2468" t="s">
        <v>136</v>
      </c>
      <c r="C2468" t="s">
        <v>46</v>
      </c>
      <c r="D2468">
        <v>627</v>
      </c>
      <c r="E2468" s="4">
        <f t="shared" si="76"/>
        <v>44955</v>
      </c>
      <c r="F2468">
        <f t="shared" si="77"/>
        <v>74</v>
      </c>
    </row>
    <row r="2469" spans="1:6" x14ac:dyDescent="0.55000000000000004">
      <c r="A2469">
        <v>1.1785683981004911E+19</v>
      </c>
      <c r="B2469" t="s">
        <v>395</v>
      </c>
      <c r="C2469" t="s">
        <v>46</v>
      </c>
      <c r="D2469">
        <v>232</v>
      </c>
      <c r="E2469" s="4">
        <f t="shared" si="76"/>
        <v>44942</v>
      </c>
      <c r="F2469">
        <f t="shared" si="77"/>
        <v>87</v>
      </c>
    </row>
    <row r="2470" spans="1:6" x14ac:dyDescent="0.55000000000000004">
      <c r="A2470">
        <v>4.3270255639258972E+18</v>
      </c>
      <c r="B2470" t="s">
        <v>749</v>
      </c>
      <c r="C2470" t="s">
        <v>10</v>
      </c>
      <c r="D2470">
        <v>387</v>
      </c>
      <c r="E2470" s="4">
        <f t="shared" si="76"/>
        <v>44504</v>
      </c>
      <c r="F2470">
        <f t="shared" si="77"/>
        <v>525</v>
      </c>
    </row>
    <row r="2471" spans="1:6" x14ac:dyDescent="0.55000000000000004">
      <c r="A2471">
        <v>1.4936326659362959E+19</v>
      </c>
      <c r="B2471" t="s">
        <v>63</v>
      </c>
      <c r="C2471" t="s">
        <v>46</v>
      </c>
      <c r="D2471">
        <v>2409</v>
      </c>
      <c r="E2471" s="4">
        <f t="shared" si="76"/>
        <v>45005</v>
      </c>
      <c r="F2471">
        <f t="shared" si="77"/>
        <v>24</v>
      </c>
    </row>
    <row r="2472" spans="1:6" x14ac:dyDescent="0.55000000000000004">
      <c r="A2472">
        <v>9.0432311214428508E+18</v>
      </c>
      <c r="B2472" t="s">
        <v>782</v>
      </c>
      <c r="C2472" t="s">
        <v>10</v>
      </c>
      <c r="D2472">
        <v>1438</v>
      </c>
      <c r="E2472" s="4">
        <f t="shared" si="76"/>
        <v>44266</v>
      </c>
      <c r="F2472">
        <f t="shared" si="77"/>
        <v>763</v>
      </c>
    </row>
    <row r="2473" spans="1:6" x14ac:dyDescent="0.55000000000000004">
      <c r="A2473">
        <v>1.765727192276854E+19</v>
      </c>
      <c r="B2473" t="s">
        <v>1125</v>
      </c>
      <c r="C2473" t="s">
        <v>10</v>
      </c>
      <c r="D2473">
        <v>726</v>
      </c>
      <c r="E2473" s="4">
        <f t="shared" si="76"/>
        <v>44147</v>
      </c>
      <c r="F2473">
        <f t="shared" si="77"/>
        <v>882</v>
      </c>
    </row>
    <row r="2474" spans="1:6" x14ac:dyDescent="0.55000000000000004">
      <c r="A2474">
        <v>8.2096220943901811E+17</v>
      </c>
      <c r="B2474" t="s">
        <v>448</v>
      </c>
      <c r="C2474" t="s">
        <v>10</v>
      </c>
      <c r="D2474">
        <v>10530</v>
      </c>
      <c r="E2474" s="4">
        <f t="shared" si="76"/>
        <v>44506</v>
      </c>
      <c r="F2474">
        <f t="shared" si="77"/>
        <v>523</v>
      </c>
    </row>
    <row r="2475" spans="1:6" x14ac:dyDescent="0.55000000000000004">
      <c r="A2475">
        <v>1.8030433549853759E+19</v>
      </c>
      <c r="B2475" t="s">
        <v>539</v>
      </c>
      <c r="C2475" t="s">
        <v>13</v>
      </c>
      <c r="D2475">
        <v>1404</v>
      </c>
      <c r="E2475" s="4">
        <f t="shared" si="76"/>
        <v>44305</v>
      </c>
      <c r="F2475">
        <f t="shared" si="77"/>
        <v>724</v>
      </c>
    </row>
    <row r="2476" spans="1:6" x14ac:dyDescent="0.55000000000000004">
      <c r="A2476">
        <v>6.5847090901631529E+18</v>
      </c>
      <c r="B2476" t="s">
        <v>946</v>
      </c>
      <c r="C2476" t="s">
        <v>5</v>
      </c>
      <c r="D2476">
        <v>5697</v>
      </c>
      <c r="E2476" s="4">
        <f t="shared" si="76"/>
        <v>44114</v>
      </c>
      <c r="F2476">
        <f t="shared" si="77"/>
        <v>915</v>
      </c>
    </row>
    <row r="2477" spans="1:6" x14ac:dyDescent="0.55000000000000004">
      <c r="A2477">
        <v>5.3973038049061745E+18</v>
      </c>
      <c r="B2477" t="s">
        <v>1126</v>
      </c>
      <c r="C2477" t="s">
        <v>7</v>
      </c>
      <c r="D2477">
        <v>420748</v>
      </c>
      <c r="E2477" s="4">
        <f t="shared" si="76"/>
        <v>43425</v>
      </c>
      <c r="F2477">
        <f t="shared" si="77"/>
        <v>1604</v>
      </c>
    </row>
    <row r="2478" spans="1:6" x14ac:dyDescent="0.55000000000000004">
      <c r="A2478">
        <v>7.147156795242794E+18</v>
      </c>
      <c r="B2478" t="s">
        <v>473</v>
      </c>
      <c r="C2478" t="s">
        <v>10</v>
      </c>
      <c r="D2478">
        <v>370</v>
      </c>
      <c r="E2478" s="4">
        <f t="shared" si="76"/>
        <v>44893</v>
      </c>
      <c r="F2478">
        <f t="shared" si="77"/>
        <v>136</v>
      </c>
    </row>
    <row r="2479" spans="1:6" x14ac:dyDescent="0.55000000000000004">
      <c r="A2479">
        <v>1.808540139662284E+19</v>
      </c>
      <c r="B2479" t="s">
        <v>743</v>
      </c>
      <c r="C2479" t="s">
        <v>5</v>
      </c>
      <c r="D2479">
        <v>676</v>
      </c>
      <c r="E2479" s="4">
        <f t="shared" si="76"/>
        <v>44771</v>
      </c>
      <c r="F2479">
        <f t="shared" si="77"/>
        <v>258</v>
      </c>
    </row>
    <row r="2480" spans="1:6" x14ac:dyDescent="0.55000000000000004">
      <c r="A2480">
        <v>5.0270598344531937E+18</v>
      </c>
      <c r="B2480" t="s">
        <v>1127</v>
      </c>
      <c r="C2480" t="s">
        <v>46</v>
      </c>
      <c r="D2480">
        <v>365</v>
      </c>
      <c r="E2480" s="4">
        <f t="shared" si="76"/>
        <v>44016</v>
      </c>
      <c r="F2480">
        <f t="shared" si="77"/>
        <v>1013</v>
      </c>
    </row>
    <row r="2481" spans="1:6" x14ac:dyDescent="0.55000000000000004">
      <c r="A2481">
        <v>5.9294889023276319E+18</v>
      </c>
      <c r="B2481" t="s">
        <v>1128</v>
      </c>
      <c r="C2481" t="s">
        <v>13</v>
      </c>
      <c r="D2481">
        <v>7945</v>
      </c>
      <c r="E2481" s="4">
        <f t="shared" si="76"/>
        <v>44142</v>
      </c>
      <c r="F2481">
        <f t="shared" si="77"/>
        <v>887</v>
      </c>
    </row>
    <row r="2482" spans="1:6" x14ac:dyDescent="0.55000000000000004">
      <c r="A2482">
        <v>3.553242837015596E+18</v>
      </c>
      <c r="B2482" t="s">
        <v>160</v>
      </c>
      <c r="C2482" t="s">
        <v>46</v>
      </c>
      <c r="D2482">
        <v>85</v>
      </c>
      <c r="E2482" s="4">
        <f t="shared" si="76"/>
        <v>44723</v>
      </c>
      <c r="F2482">
        <f t="shared" si="77"/>
        <v>306</v>
      </c>
    </row>
    <row r="2483" spans="1:6" x14ac:dyDescent="0.55000000000000004">
      <c r="A2483">
        <v>4.8678317292628603E+18</v>
      </c>
      <c r="B2483" t="s">
        <v>583</v>
      </c>
      <c r="C2483" t="s">
        <v>26</v>
      </c>
      <c r="D2483">
        <v>1641</v>
      </c>
      <c r="E2483" s="4">
        <f t="shared" si="76"/>
        <v>44476</v>
      </c>
      <c r="F2483">
        <f t="shared" si="77"/>
        <v>553</v>
      </c>
    </row>
    <row r="2484" spans="1:6" x14ac:dyDescent="0.55000000000000004">
      <c r="A2484">
        <v>9.5659590855992033E+18</v>
      </c>
      <c r="B2484" t="s">
        <v>122</v>
      </c>
      <c r="C2484" t="s">
        <v>50</v>
      </c>
      <c r="D2484">
        <v>309</v>
      </c>
      <c r="E2484" s="4">
        <f t="shared" si="76"/>
        <v>44994</v>
      </c>
      <c r="F2484">
        <f t="shared" si="77"/>
        <v>35</v>
      </c>
    </row>
    <row r="2485" spans="1:6" x14ac:dyDescent="0.55000000000000004">
      <c r="A2485">
        <v>1.090739695224781E+19</v>
      </c>
      <c r="B2485" t="s">
        <v>878</v>
      </c>
      <c r="C2485" t="s">
        <v>50</v>
      </c>
      <c r="D2485">
        <v>119</v>
      </c>
      <c r="E2485" s="4">
        <f t="shared" si="76"/>
        <v>44880</v>
      </c>
      <c r="F2485">
        <f t="shared" si="77"/>
        <v>149</v>
      </c>
    </row>
    <row r="2486" spans="1:6" x14ac:dyDescent="0.55000000000000004">
      <c r="A2486">
        <v>1.319782341275196E+19</v>
      </c>
      <c r="B2486" t="s">
        <v>1042</v>
      </c>
      <c r="C2486" t="s">
        <v>50</v>
      </c>
      <c r="D2486">
        <v>204</v>
      </c>
      <c r="E2486" s="4">
        <f t="shared" si="76"/>
        <v>44182</v>
      </c>
      <c r="F2486">
        <f t="shared" si="77"/>
        <v>847</v>
      </c>
    </row>
    <row r="2487" spans="1:6" x14ac:dyDescent="0.55000000000000004">
      <c r="A2487">
        <v>2.5752748189004631E+18</v>
      </c>
      <c r="B2487" t="s">
        <v>70</v>
      </c>
      <c r="C2487" t="s">
        <v>10</v>
      </c>
      <c r="D2487">
        <v>960</v>
      </c>
      <c r="E2487" s="4">
        <f t="shared" si="76"/>
        <v>44850</v>
      </c>
      <c r="F2487">
        <f t="shared" si="77"/>
        <v>179</v>
      </c>
    </row>
    <row r="2488" spans="1:6" x14ac:dyDescent="0.55000000000000004">
      <c r="A2488">
        <v>1.107980342040841E+19</v>
      </c>
      <c r="B2488" t="s">
        <v>1060</v>
      </c>
      <c r="C2488" t="s">
        <v>13</v>
      </c>
      <c r="D2488">
        <v>2370</v>
      </c>
      <c r="E2488" s="4">
        <f t="shared" si="76"/>
        <v>44732</v>
      </c>
      <c r="F2488">
        <f t="shared" si="77"/>
        <v>297</v>
      </c>
    </row>
    <row r="2489" spans="1:6" x14ac:dyDescent="0.55000000000000004">
      <c r="A2489">
        <v>1.584062040801715E+19</v>
      </c>
      <c r="B2489" t="s">
        <v>14</v>
      </c>
      <c r="C2489" t="s">
        <v>7</v>
      </c>
      <c r="D2489">
        <v>1580</v>
      </c>
      <c r="E2489" s="4">
        <f t="shared" si="76"/>
        <v>44832</v>
      </c>
      <c r="F2489">
        <f t="shared" si="77"/>
        <v>197</v>
      </c>
    </row>
    <row r="2490" spans="1:6" x14ac:dyDescent="0.55000000000000004">
      <c r="A2490">
        <v>1.747375696233046E+19</v>
      </c>
      <c r="B2490" t="s">
        <v>354</v>
      </c>
      <c r="C2490" t="s">
        <v>10</v>
      </c>
      <c r="D2490">
        <v>340.94</v>
      </c>
      <c r="E2490" s="4">
        <f t="shared" si="76"/>
        <v>44925</v>
      </c>
      <c r="F2490">
        <f t="shared" si="77"/>
        <v>104</v>
      </c>
    </row>
    <row r="2491" spans="1:6" x14ac:dyDescent="0.55000000000000004">
      <c r="A2491">
        <v>1.3822041623253791E+19</v>
      </c>
      <c r="B2491" t="s">
        <v>69</v>
      </c>
      <c r="C2491" t="s">
        <v>10</v>
      </c>
      <c r="D2491">
        <v>1119</v>
      </c>
      <c r="E2491" s="4">
        <f t="shared" si="76"/>
        <v>43778</v>
      </c>
      <c r="F2491">
        <f t="shared" si="77"/>
        <v>1251</v>
      </c>
    </row>
    <row r="2492" spans="1:6" x14ac:dyDescent="0.55000000000000004">
      <c r="A2492">
        <v>1.2573059671095509E+19</v>
      </c>
      <c r="B2492" t="s">
        <v>1024</v>
      </c>
      <c r="C2492" t="s">
        <v>10</v>
      </c>
      <c r="D2492">
        <v>713</v>
      </c>
      <c r="E2492" s="4">
        <f t="shared" si="76"/>
        <v>44908</v>
      </c>
      <c r="F2492">
        <f t="shared" si="77"/>
        <v>121</v>
      </c>
    </row>
    <row r="2493" spans="1:6" x14ac:dyDescent="0.55000000000000004">
      <c r="A2493">
        <v>1.0536985698884211E+19</v>
      </c>
      <c r="B2493" t="s">
        <v>226</v>
      </c>
      <c r="C2493" t="s">
        <v>10</v>
      </c>
      <c r="D2493">
        <v>2544</v>
      </c>
      <c r="E2493" s="4">
        <f t="shared" si="76"/>
        <v>44613</v>
      </c>
      <c r="F2493">
        <f t="shared" si="77"/>
        <v>416</v>
      </c>
    </row>
    <row r="2494" spans="1:6" x14ac:dyDescent="0.55000000000000004">
      <c r="A2494">
        <v>1.6808117805538869E+19</v>
      </c>
      <c r="B2494" t="s">
        <v>439</v>
      </c>
      <c r="C2494" t="s">
        <v>13</v>
      </c>
      <c r="D2494">
        <v>578</v>
      </c>
      <c r="E2494" s="4">
        <f t="shared" si="76"/>
        <v>43890</v>
      </c>
      <c r="F2494">
        <f t="shared" si="77"/>
        <v>1139</v>
      </c>
    </row>
    <row r="2495" spans="1:6" x14ac:dyDescent="0.55000000000000004">
      <c r="A2495">
        <v>6.2303015627692554E+18</v>
      </c>
      <c r="B2495" t="s">
        <v>598</v>
      </c>
      <c r="C2495" t="s">
        <v>46</v>
      </c>
      <c r="D2495">
        <v>709</v>
      </c>
      <c r="E2495" s="4">
        <f t="shared" si="76"/>
        <v>44931</v>
      </c>
      <c r="F2495">
        <f t="shared" si="77"/>
        <v>98</v>
      </c>
    </row>
    <row r="2496" spans="1:6" x14ac:dyDescent="0.55000000000000004">
      <c r="A2496">
        <v>9.1932094490426348E+18</v>
      </c>
      <c r="B2496" t="s">
        <v>338</v>
      </c>
      <c r="C2496" t="s">
        <v>13</v>
      </c>
      <c r="D2496">
        <v>10959</v>
      </c>
      <c r="E2496" s="4">
        <f t="shared" si="76"/>
        <v>43853</v>
      </c>
      <c r="F2496">
        <f t="shared" si="77"/>
        <v>1176</v>
      </c>
    </row>
    <row r="2497" spans="1:6" x14ac:dyDescent="0.55000000000000004">
      <c r="A2497">
        <v>9.8017052863253606E+18</v>
      </c>
      <c r="B2497" t="s">
        <v>1129</v>
      </c>
      <c r="C2497" t="s">
        <v>26</v>
      </c>
      <c r="D2497">
        <v>1374</v>
      </c>
      <c r="E2497" s="4">
        <f t="shared" si="76"/>
        <v>43733</v>
      </c>
      <c r="F2497">
        <f t="shared" si="77"/>
        <v>1296</v>
      </c>
    </row>
    <row r="2498" spans="1:6" x14ac:dyDescent="0.55000000000000004">
      <c r="A2498">
        <v>1.1993843456880841E+19</v>
      </c>
      <c r="B2498" t="s">
        <v>847</v>
      </c>
      <c r="C2498" t="s">
        <v>10</v>
      </c>
      <c r="D2498">
        <v>1418</v>
      </c>
      <c r="E2498" s="4">
        <f t="shared" si="76"/>
        <v>44190</v>
      </c>
      <c r="F2498">
        <f t="shared" si="77"/>
        <v>839</v>
      </c>
    </row>
    <row r="2499" spans="1:6" x14ac:dyDescent="0.55000000000000004">
      <c r="A2499">
        <v>1.035827534613317E+19</v>
      </c>
      <c r="B2499" t="s">
        <v>911</v>
      </c>
      <c r="C2499" t="s">
        <v>26</v>
      </c>
      <c r="D2499">
        <v>1059</v>
      </c>
      <c r="E2499" s="4">
        <f t="shared" ref="E2499:E2562" si="78">DATEVALUE(B2499)</f>
        <v>44030</v>
      </c>
      <c r="F2499">
        <f t="shared" ref="F2499:F2562" si="79">$H$1-E2499</f>
        <v>999</v>
      </c>
    </row>
    <row r="2500" spans="1:6" x14ac:dyDescent="0.55000000000000004">
      <c r="A2500">
        <v>3.1371779394058742E+18</v>
      </c>
      <c r="B2500" t="s">
        <v>1130</v>
      </c>
      <c r="C2500" t="s">
        <v>13</v>
      </c>
      <c r="D2500">
        <v>572</v>
      </c>
      <c r="E2500" s="4">
        <f t="shared" si="78"/>
        <v>44693</v>
      </c>
      <c r="F2500">
        <f t="shared" si="79"/>
        <v>336</v>
      </c>
    </row>
    <row r="2501" spans="1:6" x14ac:dyDescent="0.55000000000000004">
      <c r="A2501">
        <v>1.168101444233914E+19</v>
      </c>
      <c r="B2501" t="s">
        <v>161</v>
      </c>
      <c r="C2501" t="s">
        <v>10</v>
      </c>
      <c r="D2501">
        <v>322</v>
      </c>
      <c r="E2501" s="4">
        <f t="shared" si="78"/>
        <v>44450</v>
      </c>
      <c r="F2501">
        <f t="shared" si="79"/>
        <v>579</v>
      </c>
    </row>
    <row r="2502" spans="1:6" x14ac:dyDescent="0.55000000000000004">
      <c r="A2502">
        <v>6.0965140272997366E+18</v>
      </c>
      <c r="B2502" t="s">
        <v>178</v>
      </c>
      <c r="C2502" t="s">
        <v>10</v>
      </c>
      <c r="D2502">
        <v>4540</v>
      </c>
      <c r="E2502" s="4">
        <f t="shared" si="78"/>
        <v>44984</v>
      </c>
      <c r="F2502">
        <f t="shared" si="79"/>
        <v>45</v>
      </c>
    </row>
    <row r="2503" spans="1:6" x14ac:dyDescent="0.55000000000000004">
      <c r="A2503">
        <v>1.211195581225029E+19</v>
      </c>
      <c r="B2503" t="s">
        <v>1131</v>
      </c>
      <c r="C2503" t="s">
        <v>10</v>
      </c>
      <c r="D2503">
        <v>14505</v>
      </c>
      <c r="E2503" s="4">
        <f t="shared" si="78"/>
        <v>44365</v>
      </c>
      <c r="F2503">
        <f t="shared" si="79"/>
        <v>664</v>
      </c>
    </row>
    <row r="2504" spans="1:6" x14ac:dyDescent="0.55000000000000004">
      <c r="A2504">
        <v>6.025922031137792E+18</v>
      </c>
      <c r="B2504" t="s">
        <v>1132</v>
      </c>
      <c r="C2504" t="s">
        <v>10</v>
      </c>
      <c r="D2504">
        <v>1050</v>
      </c>
      <c r="E2504" s="4">
        <f t="shared" si="78"/>
        <v>43631</v>
      </c>
      <c r="F2504">
        <f t="shared" si="79"/>
        <v>1398</v>
      </c>
    </row>
    <row r="2505" spans="1:6" x14ac:dyDescent="0.55000000000000004">
      <c r="A2505">
        <v>9.485476403040895E+18</v>
      </c>
      <c r="B2505" t="s">
        <v>705</v>
      </c>
      <c r="C2505" t="s">
        <v>10</v>
      </c>
      <c r="D2505">
        <v>2594</v>
      </c>
      <c r="E2505" s="4">
        <f t="shared" si="78"/>
        <v>44971</v>
      </c>
      <c r="F2505">
        <f t="shared" si="79"/>
        <v>58</v>
      </c>
    </row>
    <row r="2506" spans="1:6" x14ac:dyDescent="0.55000000000000004">
      <c r="A2506">
        <v>1.035327787919958E+19</v>
      </c>
      <c r="B2506" t="s">
        <v>1133</v>
      </c>
      <c r="C2506" t="s">
        <v>10</v>
      </c>
      <c r="D2506">
        <v>1700</v>
      </c>
      <c r="E2506" s="4">
        <f t="shared" si="78"/>
        <v>43754</v>
      </c>
      <c r="F2506">
        <f t="shared" si="79"/>
        <v>1275</v>
      </c>
    </row>
    <row r="2507" spans="1:6" x14ac:dyDescent="0.55000000000000004">
      <c r="A2507">
        <v>1.470200793210999E+19</v>
      </c>
      <c r="B2507" t="s">
        <v>406</v>
      </c>
      <c r="C2507" t="s">
        <v>7</v>
      </c>
      <c r="D2507">
        <v>38</v>
      </c>
      <c r="E2507" s="4">
        <f t="shared" si="78"/>
        <v>44415</v>
      </c>
      <c r="F2507">
        <f t="shared" si="79"/>
        <v>614</v>
      </c>
    </row>
    <row r="2508" spans="1:6" x14ac:dyDescent="0.55000000000000004">
      <c r="A2508">
        <v>9.166708935569963E+18</v>
      </c>
      <c r="B2508" t="s">
        <v>368</v>
      </c>
      <c r="C2508" t="s">
        <v>7</v>
      </c>
      <c r="D2508">
        <v>2738</v>
      </c>
      <c r="E2508" s="4">
        <f t="shared" si="78"/>
        <v>44812</v>
      </c>
      <c r="F2508">
        <f t="shared" si="79"/>
        <v>217</v>
      </c>
    </row>
    <row r="2509" spans="1:6" x14ac:dyDescent="0.55000000000000004">
      <c r="A2509">
        <v>2.2411033549047949E+18</v>
      </c>
      <c r="B2509" t="s">
        <v>428</v>
      </c>
      <c r="C2509" t="s">
        <v>10</v>
      </c>
      <c r="D2509">
        <v>2604</v>
      </c>
      <c r="E2509" s="4">
        <f t="shared" si="78"/>
        <v>43827</v>
      </c>
      <c r="F2509">
        <f t="shared" si="79"/>
        <v>1202</v>
      </c>
    </row>
    <row r="2510" spans="1:6" x14ac:dyDescent="0.55000000000000004">
      <c r="A2510">
        <v>1.7892811772394758E+17</v>
      </c>
      <c r="B2510" t="s">
        <v>156</v>
      </c>
      <c r="C2510" t="s">
        <v>10</v>
      </c>
      <c r="D2510">
        <v>198</v>
      </c>
      <c r="E2510" s="4">
        <f t="shared" si="78"/>
        <v>44903</v>
      </c>
      <c r="F2510">
        <f t="shared" si="79"/>
        <v>126</v>
      </c>
    </row>
    <row r="2511" spans="1:6" x14ac:dyDescent="0.55000000000000004">
      <c r="A2511">
        <v>5.6031507266232842E+18</v>
      </c>
      <c r="B2511" t="s">
        <v>556</v>
      </c>
      <c r="C2511" t="s">
        <v>46</v>
      </c>
      <c r="D2511">
        <v>405</v>
      </c>
      <c r="E2511" s="4">
        <f t="shared" si="78"/>
        <v>44317</v>
      </c>
      <c r="F2511">
        <f t="shared" si="79"/>
        <v>712</v>
      </c>
    </row>
    <row r="2512" spans="1:6" x14ac:dyDescent="0.55000000000000004">
      <c r="A2512">
        <v>7.044253150601986E+18</v>
      </c>
      <c r="B2512" t="s">
        <v>1134</v>
      </c>
      <c r="C2512" t="s">
        <v>13</v>
      </c>
      <c r="D2512">
        <v>4840</v>
      </c>
      <c r="E2512" s="4">
        <f t="shared" si="78"/>
        <v>43673</v>
      </c>
      <c r="F2512">
        <f t="shared" si="79"/>
        <v>1356</v>
      </c>
    </row>
    <row r="2513" spans="1:6" x14ac:dyDescent="0.55000000000000004">
      <c r="A2513">
        <v>2.208368745871883E+18</v>
      </c>
      <c r="B2513" t="s">
        <v>1028</v>
      </c>
      <c r="C2513" t="s">
        <v>10</v>
      </c>
      <c r="D2513">
        <v>272</v>
      </c>
      <c r="E2513" s="4">
        <f t="shared" si="78"/>
        <v>44424</v>
      </c>
      <c r="F2513">
        <f t="shared" si="79"/>
        <v>605</v>
      </c>
    </row>
    <row r="2514" spans="1:6" x14ac:dyDescent="0.55000000000000004">
      <c r="A2514">
        <v>5.9140597912836055E+18</v>
      </c>
      <c r="B2514" t="s">
        <v>131</v>
      </c>
      <c r="C2514" t="s">
        <v>5</v>
      </c>
      <c r="D2514">
        <v>630</v>
      </c>
      <c r="E2514" s="4">
        <f t="shared" si="78"/>
        <v>44559</v>
      </c>
      <c r="F2514">
        <f t="shared" si="79"/>
        <v>470</v>
      </c>
    </row>
    <row r="2515" spans="1:6" x14ac:dyDescent="0.55000000000000004">
      <c r="A2515">
        <v>8.2788082138379418E+18</v>
      </c>
      <c r="B2515" t="s">
        <v>366</v>
      </c>
      <c r="C2515" t="s">
        <v>10</v>
      </c>
      <c r="D2515">
        <v>199</v>
      </c>
      <c r="E2515" s="4">
        <f t="shared" si="78"/>
        <v>44746</v>
      </c>
      <c r="F2515">
        <f t="shared" si="79"/>
        <v>283</v>
      </c>
    </row>
    <row r="2516" spans="1:6" x14ac:dyDescent="0.55000000000000004">
      <c r="A2516">
        <v>1.2067782144635619E+19</v>
      </c>
      <c r="B2516" t="s">
        <v>407</v>
      </c>
      <c r="C2516" t="s">
        <v>13</v>
      </c>
      <c r="D2516">
        <v>580</v>
      </c>
      <c r="E2516" s="4">
        <f t="shared" si="78"/>
        <v>44692</v>
      </c>
      <c r="F2516">
        <f t="shared" si="79"/>
        <v>337</v>
      </c>
    </row>
    <row r="2517" spans="1:6" x14ac:dyDescent="0.55000000000000004">
      <c r="A2517">
        <v>1.623089450224623E+19</v>
      </c>
      <c r="B2517" t="s">
        <v>1043</v>
      </c>
      <c r="C2517" t="s">
        <v>46</v>
      </c>
      <c r="D2517">
        <v>933</v>
      </c>
      <c r="E2517" s="4">
        <f t="shared" si="78"/>
        <v>45029</v>
      </c>
      <c r="F2517">
        <f t="shared" si="79"/>
        <v>0</v>
      </c>
    </row>
    <row r="2518" spans="1:6" x14ac:dyDescent="0.55000000000000004">
      <c r="A2518">
        <v>1.73458171227591E+19</v>
      </c>
      <c r="B2518" t="s">
        <v>1024</v>
      </c>
      <c r="C2518" t="s">
        <v>10</v>
      </c>
      <c r="D2518">
        <v>2191</v>
      </c>
      <c r="E2518" s="4">
        <f t="shared" si="78"/>
        <v>44908</v>
      </c>
      <c r="F2518">
        <f t="shared" si="79"/>
        <v>121</v>
      </c>
    </row>
    <row r="2519" spans="1:6" x14ac:dyDescent="0.55000000000000004">
      <c r="A2519">
        <v>9.7566304659651379E+18</v>
      </c>
      <c r="B2519" t="s">
        <v>353</v>
      </c>
      <c r="C2519" t="s">
        <v>7</v>
      </c>
      <c r="D2519">
        <v>37</v>
      </c>
      <c r="E2519" s="4">
        <f t="shared" si="78"/>
        <v>44455</v>
      </c>
      <c r="F2519">
        <f t="shared" si="79"/>
        <v>574</v>
      </c>
    </row>
    <row r="2520" spans="1:6" x14ac:dyDescent="0.55000000000000004">
      <c r="A2520">
        <v>1.19876887863512E+19</v>
      </c>
      <c r="B2520" t="s">
        <v>726</v>
      </c>
      <c r="C2520" t="s">
        <v>50</v>
      </c>
      <c r="D2520">
        <v>141</v>
      </c>
      <c r="E2520" s="4">
        <f t="shared" si="78"/>
        <v>45011</v>
      </c>
      <c r="F2520">
        <f t="shared" si="79"/>
        <v>18</v>
      </c>
    </row>
    <row r="2521" spans="1:6" x14ac:dyDescent="0.55000000000000004">
      <c r="A2521">
        <v>1.046090249916964E+19</v>
      </c>
      <c r="B2521" t="s">
        <v>165</v>
      </c>
      <c r="C2521" t="s">
        <v>13</v>
      </c>
      <c r="D2521">
        <v>1161</v>
      </c>
      <c r="E2521" s="4">
        <f t="shared" si="78"/>
        <v>44513</v>
      </c>
      <c r="F2521">
        <f t="shared" si="79"/>
        <v>516</v>
      </c>
    </row>
    <row r="2522" spans="1:6" x14ac:dyDescent="0.55000000000000004">
      <c r="A2522">
        <v>1.4036091491409091E+19</v>
      </c>
      <c r="B2522" t="s">
        <v>99</v>
      </c>
      <c r="C2522" t="s">
        <v>46</v>
      </c>
      <c r="D2522">
        <v>882</v>
      </c>
      <c r="E2522" s="4">
        <f t="shared" si="78"/>
        <v>44764</v>
      </c>
      <c r="F2522">
        <f t="shared" si="79"/>
        <v>265</v>
      </c>
    </row>
    <row r="2523" spans="1:6" x14ac:dyDescent="0.55000000000000004">
      <c r="A2523">
        <v>4.196813306737175E+18</v>
      </c>
      <c r="B2523" t="s">
        <v>410</v>
      </c>
      <c r="C2523" t="s">
        <v>46</v>
      </c>
      <c r="D2523">
        <v>129</v>
      </c>
      <c r="E2523" s="4">
        <f t="shared" si="78"/>
        <v>44501</v>
      </c>
      <c r="F2523">
        <f t="shared" si="79"/>
        <v>528</v>
      </c>
    </row>
    <row r="2524" spans="1:6" x14ac:dyDescent="0.55000000000000004">
      <c r="A2524">
        <v>5.5710040725666847E+18</v>
      </c>
      <c r="B2524" t="s">
        <v>200</v>
      </c>
      <c r="C2524" t="s">
        <v>13</v>
      </c>
      <c r="D2524">
        <v>1319</v>
      </c>
      <c r="E2524" s="4">
        <f t="shared" si="78"/>
        <v>44720</v>
      </c>
      <c r="F2524">
        <f t="shared" si="79"/>
        <v>309</v>
      </c>
    </row>
    <row r="2525" spans="1:6" x14ac:dyDescent="0.55000000000000004">
      <c r="A2525">
        <v>1.3784045878134651E+18</v>
      </c>
      <c r="B2525" t="s">
        <v>197</v>
      </c>
      <c r="C2525" t="s">
        <v>10</v>
      </c>
      <c r="D2525">
        <v>950</v>
      </c>
      <c r="E2525" s="4">
        <f t="shared" si="78"/>
        <v>45003</v>
      </c>
      <c r="F2525">
        <f t="shared" si="79"/>
        <v>26</v>
      </c>
    </row>
    <row r="2526" spans="1:6" x14ac:dyDescent="0.55000000000000004">
      <c r="A2526">
        <v>6.9191498533146655E+18</v>
      </c>
      <c r="B2526" t="s">
        <v>755</v>
      </c>
      <c r="C2526" t="s">
        <v>13</v>
      </c>
      <c r="D2526">
        <v>1646</v>
      </c>
      <c r="E2526" s="4">
        <f t="shared" si="78"/>
        <v>44701</v>
      </c>
      <c r="F2526">
        <f t="shared" si="79"/>
        <v>328</v>
      </c>
    </row>
    <row r="2527" spans="1:6" x14ac:dyDescent="0.55000000000000004">
      <c r="A2527">
        <v>8.8744046359264768E+18</v>
      </c>
      <c r="B2527" t="s">
        <v>267</v>
      </c>
      <c r="C2527" t="s">
        <v>10</v>
      </c>
      <c r="D2527">
        <v>354</v>
      </c>
      <c r="E2527" s="4">
        <f t="shared" si="78"/>
        <v>44362</v>
      </c>
      <c r="F2527">
        <f t="shared" si="79"/>
        <v>667</v>
      </c>
    </row>
    <row r="2528" spans="1:6" x14ac:dyDescent="0.55000000000000004">
      <c r="A2528">
        <v>6.3453818904014387E+18</v>
      </c>
      <c r="B2528" t="s">
        <v>396</v>
      </c>
      <c r="C2528" t="s">
        <v>13</v>
      </c>
      <c r="D2528">
        <v>935</v>
      </c>
      <c r="E2528" s="4">
        <f t="shared" si="78"/>
        <v>44179</v>
      </c>
      <c r="F2528">
        <f t="shared" si="79"/>
        <v>850</v>
      </c>
    </row>
    <row r="2529" spans="1:6" x14ac:dyDescent="0.55000000000000004">
      <c r="A2529">
        <v>6.9191498533146655E+18</v>
      </c>
      <c r="B2529" t="s">
        <v>48</v>
      </c>
      <c r="C2529" t="s">
        <v>7</v>
      </c>
      <c r="D2529">
        <v>216</v>
      </c>
      <c r="E2529" s="4">
        <f t="shared" si="78"/>
        <v>44817</v>
      </c>
      <c r="F2529">
        <f t="shared" si="79"/>
        <v>212</v>
      </c>
    </row>
    <row r="2530" spans="1:6" x14ac:dyDescent="0.55000000000000004">
      <c r="A2530">
        <v>4.2728264437008538E+18</v>
      </c>
      <c r="B2530" t="s">
        <v>1038</v>
      </c>
      <c r="C2530" t="s">
        <v>46</v>
      </c>
      <c r="D2530">
        <v>290</v>
      </c>
      <c r="E2530" s="4">
        <f t="shared" si="78"/>
        <v>44724</v>
      </c>
      <c r="F2530">
        <f t="shared" si="79"/>
        <v>305</v>
      </c>
    </row>
    <row r="2531" spans="1:6" x14ac:dyDescent="0.55000000000000004">
      <c r="A2531">
        <v>8.3708087912053862E+18</v>
      </c>
      <c r="B2531" t="s">
        <v>1015</v>
      </c>
      <c r="C2531" t="s">
        <v>13</v>
      </c>
      <c r="D2531">
        <v>253</v>
      </c>
      <c r="E2531" s="4">
        <f t="shared" si="78"/>
        <v>44440</v>
      </c>
      <c r="F2531">
        <f t="shared" si="79"/>
        <v>589</v>
      </c>
    </row>
    <row r="2532" spans="1:6" x14ac:dyDescent="0.55000000000000004">
      <c r="A2532">
        <v>2.065848256183628E+18</v>
      </c>
      <c r="B2532" t="s">
        <v>625</v>
      </c>
      <c r="C2532" t="s">
        <v>7</v>
      </c>
      <c r="D2532">
        <v>114</v>
      </c>
      <c r="E2532" s="4">
        <f t="shared" si="78"/>
        <v>44495</v>
      </c>
      <c r="F2532">
        <f t="shared" si="79"/>
        <v>534</v>
      </c>
    </row>
    <row r="2533" spans="1:6" x14ac:dyDescent="0.55000000000000004">
      <c r="A2533">
        <v>7.6012316943242404E+18</v>
      </c>
      <c r="B2533" t="s">
        <v>521</v>
      </c>
      <c r="C2533" t="s">
        <v>7</v>
      </c>
      <c r="D2533">
        <v>289</v>
      </c>
      <c r="E2533" s="4">
        <f t="shared" si="78"/>
        <v>44550</v>
      </c>
      <c r="F2533">
        <f t="shared" si="79"/>
        <v>479</v>
      </c>
    </row>
    <row r="2534" spans="1:6" x14ac:dyDescent="0.55000000000000004">
      <c r="A2534">
        <v>1.0617792466776351E+19</v>
      </c>
      <c r="B2534" t="s">
        <v>1135</v>
      </c>
      <c r="C2534" t="s">
        <v>5</v>
      </c>
      <c r="D2534">
        <v>931</v>
      </c>
      <c r="E2534" s="4">
        <f t="shared" si="78"/>
        <v>44752</v>
      </c>
      <c r="F2534">
        <f t="shared" si="79"/>
        <v>277</v>
      </c>
    </row>
    <row r="2535" spans="1:6" x14ac:dyDescent="0.55000000000000004">
      <c r="A2535">
        <v>1.194566090307909E+19</v>
      </c>
      <c r="B2535" t="s">
        <v>1006</v>
      </c>
      <c r="C2535" t="s">
        <v>13</v>
      </c>
      <c r="D2535">
        <v>2223</v>
      </c>
      <c r="E2535" s="4">
        <f t="shared" si="78"/>
        <v>44339</v>
      </c>
      <c r="F2535">
        <f t="shared" si="79"/>
        <v>690</v>
      </c>
    </row>
    <row r="2536" spans="1:6" x14ac:dyDescent="0.55000000000000004">
      <c r="A2536">
        <v>1.6680587595195251E+19</v>
      </c>
      <c r="B2536" t="s">
        <v>582</v>
      </c>
      <c r="C2536" t="s">
        <v>26</v>
      </c>
      <c r="D2536">
        <v>8300</v>
      </c>
      <c r="E2536" s="4">
        <f t="shared" si="78"/>
        <v>44916</v>
      </c>
      <c r="F2536">
        <f t="shared" si="79"/>
        <v>113</v>
      </c>
    </row>
    <row r="2537" spans="1:6" x14ac:dyDescent="0.55000000000000004">
      <c r="A2537">
        <v>8.9311490609348352E+18</v>
      </c>
      <c r="B2537" t="s">
        <v>88</v>
      </c>
      <c r="C2537" t="s">
        <v>10</v>
      </c>
      <c r="D2537">
        <v>285</v>
      </c>
      <c r="E2537" s="4">
        <f t="shared" si="78"/>
        <v>44898</v>
      </c>
      <c r="F2537">
        <f t="shared" si="79"/>
        <v>131</v>
      </c>
    </row>
    <row r="2538" spans="1:6" x14ac:dyDescent="0.55000000000000004">
      <c r="A2538">
        <v>1.3560338767012139E+19</v>
      </c>
      <c r="B2538" t="s">
        <v>1061</v>
      </c>
      <c r="C2538" t="s">
        <v>13</v>
      </c>
      <c r="D2538">
        <v>1566</v>
      </c>
      <c r="E2538" s="4">
        <f t="shared" si="78"/>
        <v>44654</v>
      </c>
      <c r="F2538">
        <f t="shared" si="79"/>
        <v>375</v>
      </c>
    </row>
    <row r="2539" spans="1:6" x14ac:dyDescent="0.55000000000000004">
      <c r="A2539">
        <v>1.3797021737424341E+19</v>
      </c>
      <c r="B2539" t="s">
        <v>889</v>
      </c>
      <c r="C2539" t="s">
        <v>10</v>
      </c>
      <c r="D2539">
        <v>1799</v>
      </c>
      <c r="E2539" s="4">
        <f t="shared" si="78"/>
        <v>44453</v>
      </c>
      <c r="F2539">
        <f t="shared" si="79"/>
        <v>576</v>
      </c>
    </row>
    <row r="2540" spans="1:6" x14ac:dyDescent="0.55000000000000004">
      <c r="A2540">
        <v>1.3349420789637599E+19</v>
      </c>
      <c r="B2540" t="s">
        <v>144</v>
      </c>
      <c r="C2540" t="s">
        <v>13</v>
      </c>
      <c r="D2540">
        <v>5198</v>
      </c>
      <c r="E2540" s="4">
        <f t="shared" si="78"/>
        <v>44636</v>
      </c>
      <c r="F2540">
        <f t="shared" si="79"/>
        <v>393</v>
      </c>
    </row>
    <row r="2541" spans="1:6" x14ac:dyDescent="0.55000000000000004">
      <c r="A2541">
        <v>1.1294433590603149E+19</v>
      </c>
      <c r="B2541" t="s">
        <v>1136</v>
      </c>
      <c r="C2541" t="s">
        <v>10</v>
      </c>
      <c r="D2541">
        <v>71</v>
      </c>
      <c r="E2541" s="4">
        <f t="shared" si="78"/>
        <v>44744</v>
      </c>
      <c r="F2541">
        <f t="shared" si="79"/>
        <v>285</v>
      </c>
    </row>
    <row r="2542" spans="1:6" x14ac:dyDescent="0.55000000000000004">
      <c r="A2542">
        <v>9.5319592315029478E+17</v>
      </c>
      <c r="B2542" t="s">
        <v>757</v>
      </c>
      <c r="C2542" t="s">
        <v>13</v>
      </c>
      <c r="D2542">
        <v>2949</v>
      </c>
      <c r="E2542" s="4">
        <f t="shared" si="78"/>
        <v>44677</v>
      </c>
      <c r="F2542">
        <f t="shared" si="79"/>
        <v>352</v>
      </c>
    </row>
    <row r="2543" spans="1:6" x14ac:dyDescent="0.55000000000000004">
      <c r="A2543">
        <v>1.698347685318213E+19</v>
      </c>
      <c r="B2543" t="s">
        <v>882</v>
      </c>
      <c r="C2543" t="s">
        <v>13</v>
      </c>
      <c r="D2543">
        <v>2259</v>
      </c>
      <c r="E2543" s="4">
        <f t="shared" si="78"/>
        <v>44941</v>
      </c>
      <c r="F2543">
        <f t="shared" si="79"/>
        <v>88</v>
      </c>
    </row>
    <row r="2544" spans="1:6" x14ac:dyDescent="0.55000000000000004">
      <c r="A2544">
        <v>1.134533715575798E+19</v>
      </c>
      <c r="B2544" t="s">
        <v>383</v>
      </c>
      <c r="C2544" t="s">
        <v>46</v>
      </c>
      <c r="D2544">
        <v>184</v>
      </c>
      <c r="E2544" s="4">
        <f t="shared" si="78"/>
        <v>44087</v>
      </c>
      <c r="F2544">
        <f t="shared" si="79"/>
        <v>942</v>
      </c>
    </row>
    <row r="2545" spans="1:6" x14ac:dyDescent="0.55000000000000004">
      <c r="A2545">
        <v>1.396796765978061E+19</v>
      </c>
      <c r="B2545" t="s">
        <v>971</v>
      </c>
      <c r="C2545" t="s">
        <v>10</v>
      </c>
      <c r="D2545">
        <v>2980</v>
      </c>
      <c r="E2545" s="4">
        <f t="shared" si="78"/>
        <v>44061</v>
      </c>
      <c r="F2545">
        <f t="shared" si="79"/>
        <v>968</v>
      </c>
    </row>
    <row r="2546" spans="1:6" x14ac:dyDescent="0.55000000000000004">
      <c r="A2546">
        <v>4.4418718641919068E+18</v>
      </c>
      <c r="B2546" t="s">
        <v>12</v>
      </c>
      <c r="C2546" t="s">
        <v>13</v>
      </c>
      <c r="D2546">
        <v>2400</v>
      </c>
      <c r="E2546" s="4">
        <f t="shared" si="78"/>
        <v>45010</v>
      </c>
      <c r="F2546">
        <f t="shared" si="79"/>
        <v>19</v>
      </c>
    </row>
    <row r="2547" spans="1:6" x14ac:dyDescent="0.55000000000000004">
      <c r="A2547">
        <v>5.6423374827702804E+18</v>
      </c>
      <c r="B2547" t="s">
        <v>996</v>
      </c>
      <c r="C2547" t="s">
        <v>46</v>
      </c>
      <c r="D2547">
        <v>260</v>
      </c>
      <c r="E2547" s="4">
        <f t="shared" si="78"/>
        <v>44160</v>
      </c>
      <c r="F2547">
        <f t="shared" si="79"/>
        <v>869</v>
      </c>
    </row>
    <row r="2548" spans="1:6" x14ac:dyDescent="0.55000000000000004">
      <c r="A2548">
        <v>1.622757487147571E+19</v>
      </c>
      <c r="B2548" t="s">
        <v>18</v>
      </c>
      <c r="C2548" t="s">
        <v>13</v>
      </c>
      <c r="D2548">
        <v>743</v>
      </c>
      <c r="E2548" s="4">
        <f t="shared" si="78"/>
        <v>44982</v>
      </c>
      <c r="F2548">
        <f t="shared" si="79"/>
        <v>47</v>
      </c>
    </row>
    <row r="2549" spans="1:6" x14ac:dyDescent="0.55000000000000004">
      <c r="A2549">
        <v>1.1267827626651091E+19</v>
      </c>
      <c r="B2549" t="s">
        <v>68</v>
      </c>
      <c r="C2549" t="s">
        <v>7</v>
      </c>
      <c r="D2549">
        <v>4233</v>
      </c>
      <c r="E2549" s="4">
        <f t="shared" si="78"/>
        <v>44958</v>
      </c>
      <c r="F2549">
        <f t="shared" si="79"/>
        <v>71</v>
      </c>
    </row>
    <row r="2550" spans="1:6" x14ac:dyDescent="0.55000000000000004">
      <c r="A2550">
        <v>1.128739452807603E+19</v>
      </c>
      <c r="B2550" t="s">
        <v>285</v>
      </c>
      <c r="C2550" t="s">
        <v>10</v>
      </c>
      <c r="D2550">
        <v>3339</v>
      </c>
      <c r="E2550" s="4">
        <f t="shared" si="78"/>
        <v>44468</v>
      </c>
      <c r="F2550">
        <f t="shared" si="79"/>
        <v>561</v>
      </c>
    </row>
    <row r="2551" spans="1:6" x14ac:dyDescent="0.55000000000000004">
      <c r="A2551">
        <v>1.7799815536532591E+19</v>
      </c>
      <c r="B2551" t="s">
        <v>577</v>
      </c>
      <c r="C2551" t="s">
        <v>10</v>
      </c>
      <c r="D2551">
        <v>1745</v>
      </c>
      <c r="E2551" s="4">
        <f t="shared" si="78"/>
        <v>44977</v>
      </c>
      <c r="F2551">
        <f t="shared" si="79"/>
        <v>52</v>
      </c>
    </row>
    <row r="2552" spans="1:6" x14ac:dyDescent="0.55000000000000004">
      <c r="A2552">
        <v>7.7073247974372588E+18</v>
      </c>
      <c r="B2552" t="s">
        <v>1137</v>
      </c>
      <c r="C2552" t="s">
        <v>10</v>
      </c>
      <c r="D2552">
        <v>4686</v>
      </c>
      <c r="E2552" s="4">
        <f t="shared" si="78"/>
        <v>43638</v>
      </c>
      <c r="F2552">
        <f t="shared" si="79"/>
        <v>1391</v>
      </c>
    </row>
    <row r="2553" spans="1:6" x14ac:dyDescent="0.55000000000000004">
      <c r="A2553">
        <v>3.263288518696343E+18</v>
      </c>
      <c r="B2553" t="s">
        <v>341</v>
      </c>
      <c r="C2553" t="s">
        <v>13</v>
      </c>
      <c r="D2553">
        <v>7470</v>
      </c>
      <c r="E2553" s="4">
        <f t="shared" si="78"/>
        <v>44354</v>
      </c>
      <c r="F2553">
        <f t="shared" si="79"/>
        <v>675</v>
      </c>
    </row>
    <row r="2554" spans="1:6" x14ac:dyDescent="0.55000000000000004">
      <c r="A2554">
        <v>1.207908146795667E+19</v>
      </c>
      <c r="B2554" t="s">
        <v>796</v>
      </c>
      <c r="C2554" t="s">
        <v>7</v>
      </c>
      <c r="D2554">
        <v>119</v>
      </c>
      <c r="E2554" s="4">
        <f t="shared" si="78"/>
        <v>44100</v>
      </c>
      <c r="F2554">
        <f t="shared" si="79"/>
        <v>929</v>
      </c>
    </row>
    <row r="2555" spans="1:6" x14ac:dyDescent="0.55000000000000004">
      <c r="A2555">
        <v>1.795121824473095E+19</v>
      </c>
      <c r="B2555" t="s">
        <v>1138</v>
      </c>
      <c r="C2555" t="s">
        <v>50</v>
      </c>
      <c r="D2555">
        <v>29</v>
      </c>
      <c r="E2555" s="4">
        <f t="shared" si="78"/>
        <v>44568</v>
      </c>
      <c r="F2555">
        <f t="shared" si="79"/>
        <v>461</v>
      </c>
    </row>
    <row r="2556" spans="1:6" x14ac:dyDescent="0.55000000000000004">
      <c r="A2556">
        <v>4.9074909914343188E+18</v>
      </c>
      <c r="B2556" t="s">
        <v>1123</v>
      </c>
      <c r="C2556" t="s">
        <v>10</v>
      </c>
      <c r="D2556">
        <v>2391</v>
      </c>
      <c r="E2556" s="4">
        <f t="shared" si="78"/>
        <v>44722</v>
      </c>
      <c r="F2556">
        <f t="shared" si="79"/>
        <v>307</v>
      </c>
    </row>
    <row r="2557" spans="1:6" x14ac:dyDescent="0.55000000000000004">
      <c r="A2557">
        <v>2.545330524848702E+18</v>
      </c>
      <c r="B2557" t="s">
        <v>447</v>
      </c>
      <c r="C2557" t="s">
        <v>7</v>
      </c>
      <c r="D2557">
        <v>1480</v>
      </c>
      <c r="E2557" s="4">
        <f t="shared" si="78"/>
        <v>44709</v>
      </c>
      <c r="F2557">
        <f t="shared" si="79"/>
        <v>320</v>
      </c>
    </row>
    <row r="2558" spans="1:6" x14ac:dyDescent="0.55000000000000004">
      <c r="A2558">
        <v>1.1568497718834631E+19</v>
      </c>
      <c r="B2558" t="s">
        <v>1139</v>
      </c>
      <c r="C2558" t="s">
        <v>13</v>
      </c>
      <c r="D2558">
        <v>1266</v>
      </c>
      <c r="E2558" s="4">
        <f t="shared" si="78"/>
        <v>44042</v>
      </c>
      <c r="F2558">
        <f t="shared" si="79"/>
        <v>987</v>
      </c>
    </row>
    <row r="2559" spans="1:6" x14ac:dyDescent="0.55000000000000004">
      <c r="A2559">
        <v>1.442481422655403E+19</v>
      </c>
      <c r="B2559" t="s">
        <v>1140</v>
      </c>
      <c r="C2559" t="s">
        <v>10</v>
      </c>
      <c r="D2559">
        <v>1839</v>
      </c>
      <c r="E2559" s="4">
        <f t="shared" si="78"/>
        <v>44751</v>
      </c>
      <c r="F2559">
        <f t="shared" si="79"/>
        <v>278</v>
      </c>
    </row>
    <row r="2560" spans="1:6" x14ac:dyDescent="0.55000000000000004">
      <c r="A2560">
        <v>9.1649542126402294E+18</v>
      </c>
      <c r="B2560" t="s">
        <v>528</v>
      </c>
      <c r="C2560" t="s">
        <v>5</v>
      </c>
      <c r="D2560">
        <v>169</v>
      </c>
      <c r="E2560" s="4">
        <f t="shared" si="78"/>
        <v>44761</v>
      </c>
      <c r="F2560">
        <f t="shared" si="79"/>
        <v>268</v>
      </c>
    </row>
    <row r="2561" spans="1:6" x14ac:dyDescent="0.55000000000000004">
      <c r="A2561">
        <v>1.2242322411880839E+19</v>
      </c>
      <c r="B2561" t="s">
        <v>866</v>
      </c>
      <c r="C2561" t="s">
        <v>10</v>
      </c>
      <c r="D2561">
        <v>4770</v>
      </c>
      <c r="E2561" s="4">
        <f t="shared" si="78"/>
        <v>44862</v>
      </c>
      <c r="F2561">
        <f t="shared" si="79"/>
        <v>167</v>
      </c>
    </row>
    <row r="2562" spans="1:6" x14ac:dyDescent="0.55000000000000004">
      <c r="A2562">
        <v>5.1195927289748562E+18</v>
      </c>
      <c r="B2562" t="s">
        <v>779</v>
      </c>
      <c r="C2562" t="s">
        <v>50</v>
      </c>
      <c r="D2562">
        <v>201</v>
      </c>
      <c r="E2562" s="4">
        <f t="shared" si="78"/>
        <v>43896</v>
      </c>
      <c r="F2562">
        <f t="shared" si="79"/>
        <v>1133</v>
      </c>
    </row>
    <row r="2563" spans="1:6" x14ac:dyDescent="0.55000000000000004">
      <c r="A2563">
        <v>6.7143940165693606E+17</v>
      </c>
      <c r="B2563" t="s">
        <v>456</v>
      </c>
      <c r="C2563" t="s">
        <v>10</v>
      </c>
      <c r="D2563">
        <v>2054</v>
      </c>
      <c r="E2563" s="4">
        <f t="shared" ref="E2563:E2626" si="80">DATEVALUE(B2563)</f>
        <v>44428</v>
      </c>
      <c r="F2563">
        <f t="shared" ref="F2563:F2626" si="81">$H$1-E2563</f>
        <v>601</v>
      </c>
    </row>
    <row r="2564" spans="1:6" x14ac:dyDescent="0.55000000000000004">
      <c r="A2564">
        <v>1.0069732117183441E+19</v>
      </c>
      <c r="B2564" t="s">
        <v>465</v>
      </c>
      <c r="C2564" t="s">
        <v>10</v>
      </c>
      <c r="D2564">
        <v>2670</v>
      </c>
      <c r="E2564" s="4">
        <f t="shared" si="80"/>
        <v>44917</v>
      </c>
      <c r="F2564">
        <f t="shared" si="81"/>
        <v>112</v>
      </c>
    </row>
    <row r="2565" spans="1:6" x14ac:dyDescent="0.55000000000000004">
      <c r="A2565">
        <v>4.0074036940112302E+18</v>
      </c>
      <c r="B2565" t="s">
        <v>622</v>
      </c>
      <c r="C2565" t="s">
        <v>10</v>
      </c>
      <c r="D2565">
        <v>179</v>
      </c>
      <c r="E2565" s="4">
        <f t="shared" si="80"/>
        <v>44420</v>
      </c>
      <c r="F2565">
        <f t="shared" si="81"/>
        <v>609</v>
      </c>
    </row>
    <row r="2566" spans="1:6" x14ac:dyDescent="0.55000000000000004">
      <c r="A2566">
        <v>8.7029438128184371E+18</v>
      </c>
      <c r="B2566" t="s">
        <v>143</v>
      </c>
      <c r="C2566" t="s">
        <v>50</v>
      </c>
      <c r="D2566">
        <v>134</v>
      </c>
      <c r="E2566" s="4">
        <f t="shared" si="80"/>
        <v>44552</v>
      </c>
      <c r="F2566">
        <f t="shared" si="81"/>
        <v>477</v>
      </c>
    </row>
    <row r="2567" spans="1:6" x14ac:dyDescent="0.55000000000000004">
      <c r="A2567">
        <v>2.117945752343458E+18</v>
      </c>
      <c r="B2567" t="s">
        <v>443</v>
      </c>
      <c r="C2567" t="s">
        <v>10</v>
      </c>
      <c r="D2567">
        <v>2408</v>
      </c>
      <c r="E2567" s="4">
        <f t="shared" si="80"/>
        <v>45021</v>
      </c>
      <c r="F2567">
        <f t="shared" si="81"/>
        <v>8</v>
      </c>
    </row>
    <row r="2568" spans="1:6" x14ac:dyDescent="0.55000000000000004">
      <c r="A2568">
        <v>2.5539692136129722E+17</v>
      </c>
      <c r="B2568" t="s">
        <v>461</v>
      </c>
      <c r="C2568" t="s">
        <v>13</v>
      </c>
      <c r="D2568">
        <v>3570</v>
      </c>
      <c r="E2568" s="4">
        <f t="shared" si="80"/>
        <v>44441</v>
      </c>
      <c r="F2568">
        <f t="shared" si="81"/>
        <v>588</v>
      </c>
    </row>
    <row r="2569" spans="1:6" x14ac:dyDescent="0.55000000000000004">
      <c r="A2569">
        <v>5.5398942607699497E+18</v>
      </c>
      <c r="B2569" t="s">
        <v>1141</v>
      </c>
      <c r="C2569" t="s">
        <v>26</v>
      </c>
      <c r="D2569">
        <v>98</v>
      </c>
      <c r="E2569" s="4">
        <f t="shared" si="80"/>
        <v>44355</v>
      </c>
      <c r="F2569">
        <f t="shared" si="81"/>
        <v>674</v>
      </c>
    </row>
    <row r="2570" spans="1:6" x14ac:dyDescent="0.55000000000000004">
      <c r="A2570">
        <v>1.008134325216351E+19</v>
      </c>
      <c r="B2570" t="s">
        <v>1084</v>
      </c>
      <c r="C2570" t="s">
        <v>10</v>
      </c>
      <c r="D2570">
        <v>718</v>
      </c>
      <c r="E2570" s="4">
        <f t="shared" si="80"/>
        <v>44704</v>
      </c>
      <c r="F2570">
        <f t="shared" si="81"/>
        <v>325</v>
      </c>
    </row>
    <row r="2571" spans="1:6" x14ac:dyDescent="0.55000000000000004">
      <c r="A2571">
        <v>1.2948961008024771E+19</v>
      </c>
      <c r="B2571" t="s">
        <v>1142</v>
      </c>
      <c r="C2571" t="s">
        <v>10</v>
      </c>
      <c r="D2571">
        <v>312</v>
      </c>
      <c r="E2571" s="4">
        <f t="shared" si="80"/>
        <v>43780</v>
      </c>
      <c r="F2571">
        <f t="shared" si="81"/>
        <v>1249</v>
      </c>
    </row>
    <row r="2572" spans="1:6" x14ac:dyDescent="0.55000000000000004">
      <c r="A2572">
        <v>1.7685824260975499E+19</v>
      </c>
      <c r="B2572" t="s">
        <v>1099</v>
      </c>
      <c r="C2572" t="s">
        <v>10</v>
      </c>
      <c r="D2572">
        <v>311</v>
      </c>
      <c r="E2572" s="4">
        <f t="shared" si="80"/>
        <v>44933</v>
      </c>
      <c r="F2572">
        <f t="shared" si="81"/>
        <v>96</v>
      </c>
    </row>
    <row r="2573" spans="1:6" x14ac:dyDescent="0.55000000000000004">
      <c r="A2573">
        <v>5.7314394643560571E+18</v>
      </c>
      <c r="B2573" t="s">
        <v>711</v>
      </c>
      <c r="C2573" t="s">
        <v>7</v>
      </c>
      <c r="D2573">
        <v>1632</v>
      </c>
      <c r="E2573" s="4">
        <f t="shared" si="80"/>
        <v>44498</v>
      </c>
      <c r="F2573">
        <f t="shared" si="81"/>
        <v>531</v>
      </c>
    </row>
    <row r="2574" spans="1:6" x14ac:dyDescent="0.55000000000000004">
      <c r="A2574">
        <v>6.8412832984735416E+18</v>
      </c>
      <c r="B2574" t="s">
        <v>150</v>
      </c>
      <c r="C2574" t="s">
        <v>13</v>
      </c>
      <c r="D2574">
        <v>792</v>
      </c>
      <c r="E2574" s="4">
        <f t="shared" si="80"/>
        <v>44258</v>
      </c>
      <c r="F2574">
        <f t="shared" si="81"/>
        <v>771</v>
      </c>
    </row>
    <row r="2575" spans="1:6" x14ac:dyDescent="0.55000000000000004">
      <c r="A2575">
        <v>9.0156401628928829E+18</v>
      </c>
      <c r="B2575" t="s">
        <v>1143</v>
      </c>
      <c r="C2575" t="s">
        <v>10</v>
      </c>
      <c r="D2575">
        <v>99</v>
      </c>
      <c r="E2575" s="4">
        <f t="shared" si="80"/>
        <v>44257</v>
      </c>
      <c r="F2575">
        <f t="shared" si="81"/>
        <v>772</v>
      </c>
    </row>
    <row r="2576" spans="1:6" x14ac:dyDescent="0.55000000000000004">
      <c r="A2576">
        <v>1.2685288237024381E+19</v>
      </c>
      <c r="B2576" t="s">
        <v>429</v>
      </c>
      <c r="C2576" t="s">
        <v>10</v>
      </c>
      <c r="D2576">
        <v>1390</v>
      </c>
      <c r="E2576" s="4">
        <f t="shared" si="80"/>
        <v>44571</v>
      </c>
      <c r="F2576">
        <f t="shared" si="81"/>
        <v>458</v>
      </c>
    </row>
    <row r="2577" spans="1:6" x14ac:dyDescent="0.55000000000000004">
      <c r="A2577">
        <v>4.9356075865298401E+18</v>
      </c>
      <c r="B2577" t="s">
        <v>525</v>
      </c>
      <c r="C2577" t="s">
        <v>10</v>
      </c>
      <c r="D2577">
        <v>3234</v>
      </c>
      <c r="E2577" s="4">
        <f t="shared" si="80"/>
        <v>44475</v>
      </c>
      <c r="F2577">
        <f t="shared" si="81"/>
        <v>554</v>
      </c>
    </row>
    <row r="2578" spans="1:6" x14ac:dyDescent="0.55000000000000004">
      <c r="A2578">
        <v>1.3342965500931351E+19</v>
      </c>
      <c r="B2578" t="s">
        <v>285</v>
      </c>
      <c r="C2578" t="s">
        <v>7</v>
      </c>
      <c r="D2578">
        <v>113</v>
      </c>
      <c r="E2578" s="4">
        <f t="shared" si="80"/>
        <v>44468</v>
      </c>
      <c r="F2578">
        <f t="shared" si="81"/>
        <v>561</v>
      </c>
    </row>
    <row r="2579" spans="1:6" x14ac:dyDescent="0.55000000000000004">
      <c r="A2579">
        <v>8.8705274734315756E+18</v>
      </c>
      <c r="B2579" t="s">
        <v>802</v>
      </c>
      <c r="C2579" t="s">
        <v>10</v>
      </c>
      <c r="D2579">
        <v>1032</v>
      </c>
      <c r="E2579" s="4">
        <f t="shared" si="80"/>
        <v>44788</v>
      </c>
      <c r="F2579">
        <f t="shared" si="81"/>
        <v>241</v>
      </c>
    </row>
    <row r="2580" spans="1:6" x14ac:dyDescent="0.55000000000000004">
      <c r="A2580">
        <v>1.1886913938454659E+19</v>
      </c>
      <c r="B2580" t="s">
        <v>168</v>
      </c>
      <c r="C2580" t="s">
        <v>13</v>
      </c>
      <c r="D2580">
        <v>164</v>
      </c>
      <c r="E2580" s="4">
        <f t="shared" si="80"/>
        <v>43864</v>
      </c>
      <c r="F2580">
        <f t="shared" si="81"/>
        <v>1165</v>
      </c>
    </row>
    <row r="2581" spans="1:6" x14ac:dyDescent="0.55000000000000004">
      <c r="A2581">
        <v>5.3237933045177467E+18</v>
      </c>
      <c r="B2581" t="s">
        <v>105</v>
      </c>
      <c r="C2581" t="s">
        <v>13</v>
      </c>
      <c r="D2581">
        <v>15811</v>
      </c>
      <c r="E2581" s="4">
        <f t="shared" si="80"/>
        <v>44989</v>
      </c>
      <c r="F2581">
        <f t="shared" si="81"/>
        <v>40</v>
      </c>
    </row>
    <row r="2582" spans="1:6" x14ac:dyDescent="0.55000000000000004">
      <c r="A2582">
        <v>9.876101599355945E+18</v>
      </c>
      <c r="B2582" t="s">
        <v>265</v>
      </c>
      <c r="C2582" t="s">
        <v>13</v>
      </c>
      <c r="D2582">
        <v>490</v>
      </c>
      <c r="E2582" s="4">
        <f t="shared" si="80"/>
        <v>44298</v>
      </c>
      <c r="F2582">
        <f t="shared" si="81"/>
        <v>731</v>
      </c>
    </row>
    <row r="2583" spans="1:6" x14ac:dyDescent="0.55000000000000004">
      <c r="A2583">
        <v>1.164141837793793E+19</v>
      </c>
      <c r="B2583" t="s">
        <v>774</v>
      </c>
      <c r="C2583" t="s">
        <v>13</v>
      </c>
      <c r="D2583">
        <v>2229</v>
      </c>
      <c r="E2583" s="4">
        <f t="shared" si="80"/>
        <v>44514</v>
      </c>
      <c r="F2583">
        <f t="shared" si="81"/>
        <v>515</v>
      </c>
    </row>
    <row r="2584" spans="1:6" x14ac:dyDescent="0.55000000000000004">
      <c r="A2584">
        <v>1.6170855760568191E+19</v>
      </c>
      <c r="B2584" t="s">
        <v>429</v>
      </c>
      <c r="C2584" t="s">
        <v>13</v>
      </c>
      <c r="D2584">
        <v>878</v>
      </c>
      <c r="E2584" s="4">
        <f t="shared" si="80"/>
        <v>44571</v>
      </c>
      <c r="F2584">
        <f t="shared" si="81"/>
        <v>458</v>
      </c>
    </row>
    <row r="2585" spans="1:6" x14ac:dyDescent="0.55000000000000004">
      <c r="A2585">
        <v>1.3784045878134651E+18</v>
      </c>
      <c r="B2585" t="s">
        <v>460</v>
      </c>
      <c r="C2585" t="s">
        <v>10</v>
      </c>
      <c r="D2585">
        <v>786</v>
      </c>
      <c r="E2585" s="4">
        <f t="shared" si="80"/>
        <v>44671</v>
      </c>
      <c r="F2585">
        <f t="shared" si="81"/>
        <v>358</v>
      </c>
    </row>
    <row r="2586" spans="1:6" x14ac:dyDescent="0.55000000000000004">
      <c r="A2586">
        <v>1.3123330818423609E+19</v>
      </c>
      <c r="B2586" t="s">
        <v>392</v>
      </c>
      <c r="C2586" t="s">
        <v>7</v>
      </c>
      <c r="D2586">
        <v>215</v>
      </c>
      <c r="E2586" s="4">
        <f t="shared" si="80"/>
        <v>45013</v>
      </c>
      <c r="F2586">
        <f t="shared" si="81"/>
        <v>16</v>
      </c>
    </row>
    <row r="2587" spans="1:6" x14ac:dyDescent="0.55000000000000004">
      <c r="A2587">
        <v>1.0510261592622371E+18</v>
      </c>
      <c r="B2587" t="s">
        <v>211</v>
      </c>
      <c r="C2587" t="s">
        <v>5</v>
      </c>
      <c r="D2587">
        <v>1932</v>
      </c>
      <c r="E2587" s="4">
        <f t="shared" si="80"/>
        <v>44519</v>
      </c>
      <c r="F2587">
        <f t="shared" si="81"/>
        <v>510</v>
      </c>
    </row>
    <row r="2588" spans="1:6" x14ac:dyDescent="0.55000000000000004">
      <c r="A2588">
        <v>6.7368181650913751E+18</v>
      </c>
      <c r="B2588" t="s">
        <v>192</v>
      </c>
      <c r="C2588" t="s">
        <v>13</v>
      </c>
      <c r="D2588">
        <v>32</v>
      </c>
      <c r="E2588" s="4">
        <f t="shared" si="80"/>
        <v>44148</v>
      </c>
      <c r="F2588">
        <f t="shared" si="81"/>
        <v>881</v>
      </c>
    </row>
    <row r="2589" spans="1:6" x14ac:dyDescent="0.55000000000000004">
      <c r="A2589">
        <v>1.4126825949175851E+19</v>
      </c>
      <c r="B2589" t="s">
        <v>223</v>
      </c>
      <c r="C2589" t="s">
        <v>46</v>
      </c>
      <c r="D2589">
        <v>428</v>
      </c>
      <c r="E2589" s="4">
        <f t="shared" si="80"/>
        <v>44623</v>
      </c>
      <c r="F2589">
        <f t="shared" si="81"/>
        <v>406</v>
      </c>
    </row>
    <row r="2590" spans="1:6" x14ac:dyDescent="0.55000000000000004">
      <c r="A2590">
        <v>5.8649699749280215E+18</v>
      </c>
      <c r="B2590" t="s">
        <v>83</v>
      </c>
      <c r="C2590" t="s">
        <v>13</v>
      </c>
      <c r="D2590">
        <v>2650</v>
      </c>
      <c r="E2590" s="4">
        <f t="shared" si="80"/>
        <v>44793</v>
      </c>
      <c r="F2590">
        <f t="shared" si="81"/>
        <v>236</v>
      </c>
    </row>
    <row r="2591" spans="1:6" x14ac:dyDescent="0.55000000000000004">
      <c r="A2591">
        <v>1.4613603978610659E+19</v>
      </c>
      <c r="B2591" t="s">
        <v>316</v>
      </c>
      <c r="C2591" t="s">
        <v>13</v>
      </c>
      <c r="D2591">
        <v>696</v>
      </c>
      <c r="E2591" s="4">
        <f t="shared" si="80"/>
        <v>43946</v>
      </c>
      <c r="F2591">
        <f t="shared" si="81"/>
        <v>1083</v>
      </c>
    </row>
    <row r="2592" spans="1:6" x14ac:dyDescent="0.55000000000000004">
      <c r="A2592">
        <v>5.0342814580087347E+18</v>
      </c>
      <c r="B2592" t="s">
        <v>278</v>
      </c>
      <c r="C2592" t="s">
        <v>46</v>
      </c>
      <c r="D2592">
        <v>369</v>
      </c>
      <c r="E2592" s="4">
        <f t="shared" si="80"/>
        <v>44222</v>
      </c>
      <c r="F2592">
        <f t="shared" si="81"/>
        <v>807</v>
      </c>
    </row>
    <row r="2593" spans="1:6" x14ac:dyDescent="0.55000000000000004">
      <c r="A2593">
        <v>5.3973038049061745E+18</v>
      </c>
      <c r="B2593" t="s">
        <v>1144</v>
      </c>
      <c r="C2593" t="s">
        <v>5</v>
      </c>
      <c r="D2593">
        <v>23671.1</v>
      </c>
      <c r="E2593" s="4">
        <f t="shared" si="80"/>
        <v>42632</v>
      </c>
      <c r="F2593">
        <f t="shared" si="81"/>
        <v>2397</v>
      </c>
    </row>
    <row r="2594" spans="1:6" x14ac:dyDescent="0.55000000000000004">
      <c r="A2594">
        <v>9.0986447618061926E+18</v>
      </c>
      <c r="B2594" t="s">
        <v>158</v>
      </c>
      <c r="C2594" t="s">
        <v>10</v>
      </c>
      <c r="D2594">
        <v>2612</v>
      </c>
      <c r="E2594" s="4">
        <f t="shared" si="80"/>
        <v>44418</v>
      </c>
      <c r="F2594">
        <f t="shared" si="81"/>
        <v>611</v>
      </c>
    </row>
    <row r="2595" spans="1:6" x14ac:dyDescent="0.55000000000000004">
      <c r="A2595">
        <v>1.6859691985107551E+18</v>
      </c>
      <c r="B2595" t="s">
        <v>171</v>
      </c>
      <c r="C2595" t="s">
        <v>7</v>
      </c>
      <c r="D2595">
        <v>1650</v>
      </c>
      <c r="E2595" s="4">
        <f t="shared" si="80"/>
        <v>44457</v>
      </c>
      <c r="F2595">
        <f t="shared" si="81"/>
        <v>572</v>
      </c>
    </row>
    <row r="2596" spans="1:6" x14ac:dyDescent="0.55000000000000004">
      <c r="A2596">
        <v>4.697547200199851E+18</v>
      </c>
      <c r="B2596" t="s">
        <v>1145</v>
      </c>
      <c r="C2596" t="s">
        <v>10</v>
      </c>
      <c r="D2596">
        <v>675</v>
      </c>
      <c r="E2596" s="4">
        <f t="shared" si="80"/>
        <v>43866</v>
      </c>
      <c r="F2596">
        <f t="shared" si="81"/>
        <v>1163</v>
      </c>
    </row>
    <row r="2597" spans="1:6" x14ac:dyDescent="0.55000000000000004">
      <c r="A2597">
        <v>1.765796912698626E+19</v>
      </c>
      <c r="B2597" t="s">
        <v>969</v>
      </c>
      <c r="C2597" t="s">
        <v>10</v>
      </c>
      <c r="D2597">
        <v>2135</v>
      </c>
      <c r="E2597" s="4">
        <f t="shared" si="80"/>
        <v>44303</v>
      </c>
      <c r="F2597">
        <f t="shared" si="81"/>
        <v>726</v>
      </c>
    </row>
    <row r="2598" spans="1:6" x14ac:dyDescent="0.55000000000000004">
      <c r="A2598">
        <v>1.2754514533698959E+19</v>
      </c>
      <c r="B2598" t="s">
        <v>487</v>
      </c>
      <c r="C2598" t="s">
        <v>7</v>
      </c>
      <c r="D2598">
        <v>438</v>
      </c>
      <c r="E2598" s="4">
        <f t="shared" si="80"/>
        <v>44388</v>
      </c>
      <c r="F2598">
        <f t="shared" si="81"/>
        <v>641</v>
      </c>
    </row>
    <row r="2599" spans="1:6" x14ac:dyDescent="0.55000000000000004">
      <c r="A2599">
        <v>5.7073573820168806E+18</v>
      </c>
      <c r="B2599" t="s">
        <v>651</v>
      </c>
      <c r="C2599" t="s">
        <v>26</v>
      </c>
      <c r="D2599">
        <v>296</v>
      </c>
      <c r="E2599" s="4">
        <f t="shared" si="80"/>
        <v>44921</v>
      </c>
      <c r="F2599">
        <f t="shared" si="81"/>
        <v>108</v>
      </c>
    </row>
    <row r="2600" spans="1:6" x14ac:dyDescent="0.55000000000000004">
      <c r="A2600">
        <v>1.1186317702052059E+19</v>
      </c>
      <c r="B2600" t="s">
        <v>236</v>
      </c>
      <c r="C2600" t="s">
        <v>7</v>
      </c>
      <c r="D2600">
        <v>202</v>
      </c>
      <c r="E2600" s="4">
        <f t="shared" si="80"/>
        <v>44393</v>
      </c>
      <c r="F2600">
        <f t="shared" si="81"/>
        <v>636</v>
      </c>
    </row>
    <row r="2601" spans="1:6" x14ac:dyDescent="0.55000000000000004">
      <c r="A2601">
        <v>1.5540219737768849E+19</v>
      </c>
      <c r="B2601" t="s">
        <v>353</v>
      </c>
      <c r="C2601" t="s">
        <v>10</v>
      </c>
      <c r="D2601">
        <v>1311</v>
      </c>
      <c r="E2601" s="4">
        <f t="shared" si="80"/>
        <v>44455</v>
      </c>
      <c r="F2601">
        <f t="shared" si="81"/>
        <v>574</v>
      </c>
    </row>
    <row r="2602" spans="1:6" x14ac:dyDescent="0.55000000000000004">
      <c r="A2602">
        <v>1.621339977381309E+19</v>
      </c>
      <c r="B2602" t="s">
        <v>835</v>
      </c>
      <c r="C2602" t="s">
        <v>13</v>
      </c>
      <c r="D2602">
        <v>507</v>
      </c>
      <c r="E2602" s="4">
        <f t="shared" si="80"/>
        <v>44844</v>
      </c>
      <c r="F2602">
        <f t="shared" si="81"/>
        <v>185</v>
      </c>
    </row>
    <row r="2603" spans="1:6" x14ac:dyDescent="0.55000000000000004">
      <c r="A2603">
        <v>1.096725877363165E+19</v>
      </c>
      <c r="B2603" t="s">
        <v>980</v>
      </c>
      <c r="C2603" t="s">
        <v>7</v>
      </c>
      <c r="D2603">
        <v>473</v>
      </c>
      <c r="E2603" s="4">
        <f t="shared" si="80"/>
        <v>44409</v>
      </c>
      <c r="F2603">
        <f t="shared" si="81"/>
        <v>620</v>
      </c>
    </row>
    <row r="2604" spans="1:6" x14ac:dyDescent="0.55000000000000004">
      <c r="A2604">
        <v>8.2788082138379418E+18</v>
      </c>
      <c r="B2604" t="s">
        <v>1146</v>
      </c>
      <c r="C2604" t="s">
        <v>26</v>
      </c>
      <c r="D2604">
        <v>1538</v>
      </c>
      <c r="E2604" s="4">
        <f t="shared" si="80"/>
        <v>44964</v>
      </c>
      <c r="F2604">
        <f t="shared" si="81"/>
        <v>65</v>
      </c>
    </row>
    <row r="2605" spans="1:6" x14ac:dyDescent="0.55000000000000004">
      <c r="A2605">
        <v>3.0362242245227602E+18</v>
      </c>
      <c r="B2605" t="s">
        <v>313</v>
      </c>
      <c r="C2605" t="s">
        <v>26</v>
      </c>
      <c r="D2605">
        <v>300</v>
      </c>
      <c r="E2605" s="4">
        <f t="shared" si="80"/>
        <v>44889</v>
      </c>
      <c r="F2605">
        <f t="shared" si="81"/>
        <v>140</v>
      </c>
    </row>
    <row r="2606" spans="1:6" x14ac:dyDescent="0.55000000000000004">
      <c r="A2606">
        <v>4.2667909490277059E+18</v>
      </c>
      <c r="B2606" t="s">
        <v>572</v>
      </c>
      <c r="C2606" t="s">
        <v>13</v>
      </c>
      <c r="D2606">
        <v>8454</v>
      </c>
      <c r="E2606" s="4">
        <f t="shared" si="80"/>
        <v>44479</v>
      </c>
      <c r="F2606">
        <f t="shared" si="81"/>
        <v>550</v>
      </c>
    </row>
    <row r="2607" spans="1:6" x14ac:dyDescent="0.55000000000000004">
      <c r="A2607">
        <v>1.1067767840657379E+19</v>
      </c>
      <c r="B2607" t="s">
        <v>1021</v>
      </c>
      <c r="C2607" t="s">
        <v>7</v>
      </c>
      <c r="D2607">
        <v>59</v>
      </c>
      <c r="E2607" s="4">
        <f t="shared" si="80"/>
        <v>44000</v>
      </c>
      <c r="F2607">
        <f t="shared" si="81"/>
        <v>1029</v>
      </c>
    </row>
    <row r="2608" spans="1:6" x14ac:dyDescent="0.55000000000000004">
      <c r="A2608">
        <v>2.0701901843732301E+18</v>
      </c>
      <c r="B2608" t="s">
        <v>855</v>
      </c>
      <c r="C2608" t="s">
        <v>10</v>
      </c>
      <c r="D2608">
        <v>1297</v>
      </c>
      <c r="E2608" s="4">
        <f t="shared" si="80"/>
        <v>44807</v>
      </c>
      <c r="F2608">
        <f t="shared" si="81"/>
        <v>222</v>
      </c>
    </row>
    <row r="2609" spans="1:6" x14ac:dyDescent="0.55000000000000004">
      <c r="A2609">
        <v>1.3281688634325961E+19</v>
      </c>
      <c r="B2609" t="s">
        <v>984</v>
      </c>
      <c r="C2609" t="s">
        <v>13</v>
      </c>
      <c r="D2609">
        <v>7190</v>
      </c>
      <c r="E2609" s="4">
        <f t="shared" si="80"/>
        <v>44416</v>
      </c>
      <c r="F2609">
        <f t="shared" si="81"/>
        <v>613</v>
      </c>
    </row>
    <row r="2610" spans="1:6" x14ac:dyDescent="0.55000000000000004">
      <c r="A2610">
        <v>5.3973038049061745E+18</v>
      </c>
      <c r="B2610" t="s">
        <v>1147</v>
      </c>
      <c r="C2610" t="s">
        <v>5</v>
      </c>
      <c r="D2610">
        <v>13957</v>
      </c>
      <c r="E2610" s="4">
        <f t="shared" si="80"/>
        <v>44038</v>
      </c>
      <c r="F2610">
        <f t="shared" si="81"/>
        <v>991</v>
      </c>
    </row>
    <row r="2611" spans="1:6" x14ac:dyDescent="0.55000000000000004">
      <c r="A2611">
        <v>8.8780906955512128E+17</v>
      </c>
      <c r="B2611" t="s">
        <v>780</v>
      </c>
      <c r="C2611" t="s">
        <v>10</v>
      </c>
      <c r="D2611">
        <v>1122</v>
      </c>
      <c r="E2611" s="4">
        <f t="shared" si="80"/>
        <v>44650</v>
      </c>
      <c r="F2611">
        <f t="shared" si="81"/>
        <v>379</v>
      </c>
    </row>
    <row r="2612" spans="1:6" x14ac:dyDescent="0.55000000000000004">
      <c r="A2612">
        <v>8.8636156987287337E+18</v>
      </c>
      <c r="B2612" t="s">
        <v>737</v>
      </c>
      <c r="C2612" t="s">
        <v>10</v>
      </c>
      <c r="D2612">
        <v>889</v>
      </c>
      <c r="E2612" s="4">
        <f t="shared" si="80"/>
        <v>44742</v>
      </c>
      <c r="F2612">
        <f t="shared" si="81"/>
        <v>287</v>
      </c>
    </row>
    <row r="2613" spans="1:6" x14ac:dyDescent="0.55000000000000004">
      <c r="A2613">
        <v>1.6249781279755069E+19</v>
      </c>
      <c r="B2613" t="s">
        <v>477</v>
      </c>
      <c r="C2613" t="s">
        <v>10</v>
      </c>
      <c r="D2613">
        <v>1660</v>
      </c>
      <c r="E2613" s="4">
        <f t="shared" si="80"/>
        <v>44680</v>
      </c>
      <c r="F2613">
        <f t="shared" si="81"/>
        <v>349</v>
      </c>
    </row>
    <row r="2614" spans="1:6" x14ac:dyDescent="0.55000000000000004">
      <c r="A2614">
        <v>1.3676031092069671E+19</v>
      </c>
      <c r="B2614" t="s">
        <v>340</v>
      </c>
      <c r="C2614" t="s">
        <v>7</v>
      </c>
      <c r="D2614">
        <v>519</v>
      </c>
      <c r="E2614" s="4">
        <f t="shared" si="80"/>
        <v>45002</v>
      </c>
      <c r="F2614">
        <f t="shared" si="81"/>
        <v>27</v>
      </c>
    </row>
    <row r="2615" spans="1:6" x14ac:dyDescent="0.55000000000000004">
      <c r="A2615">
        <v>1.345768984757384E+19</v>
      </c>
      <c r="B2615" t="s">
        <v>357</v>
      </c>
      <c r="C2615" t="s">
        <v>13</v>
      </c>
      <c r="D2615">
        <v>278</v>
      </c>
      <c r="E2615" s="4">
        <f t="shared" si="80"/>
        <v>44892</v>
      </c>
      <c r="F2615">
        <f t="shared" si="81"/>
        <v>137</v>
      </c>
    </row>
    <row r="2616" spans="1:6" x14ac:dyDescent="0.55000000000000004">
      <c r="A2616">
        <v>1.391907373968365E+19</v>
      </c>
      <c r="B2616" t="s">
        <v>910</v>
      </c>
      <c r="C2616" t="s">
        <v>5</v>
      </c>
      <c r="D2616">
        <v>690</v>
      </c>
      <c r="E2616" s="4">
        <f t="shared" si="80"/>
        <v>44858</v>
      </c>
      <c r="F2616">
        <f t="shared" si="81"/>
        <v>171</v>
      </c>
    </row>
    <row r="2617" spans="1:6" x14ac:dyDescent="0.55000000000000004">
      <c r="A2617">
        <v>8.9076997654689088E+17</v>
      </c>
      <c r="B2617" t="s">
        <v>902</v>
      </c>
      <c r="C2617" t="s">
        <v>7</v>
      </c>
      <c r="D2617">
        <v>2830</v>
      </c>
      <c r="E2617" s="4">
        <f t="shared" si="80"/>
        <v>44730</v>
      </c>
      <c r="F2617">
        <f t="shared" si="81"/>
        <v>299</v>
      </c>
    </row>
    <row r="2618" spans="1:6" x14ac:dyDescent="0.55000000000000004">
      <c r="A2618">
        <v>1.1808268645207179E+19</v>
      </c>
      <c r="B2618" t="s">
        <v>924</v>
      </c>
      <c r="C2618" t="s">
        <v>13</v>
      </c>
      <c r="D2618">
        <v>538</v>
      </c>
      <c r="E2618" s="4">
        <f t="shared" si="80"/>
        <v>44670</v>
      </c>
      <c r="F2618">
        <f t="shared" si="81"/>
        <v>359</v>
      </c>
    </row>
    <row r="2619" spans="1:6" x14ac:dyDescent="0.55000000000000004">
      <c r="A2619">
        <v>4.6570495975165635E+18</v>
      </c>
      <c r="B2619" t="s">
        <v>334</v>
      </c>
      <c r="C2619" t="s">
        <v>5</v>
      </c>
      <c r="D2619">
        <v>1000</v>
      </c>
      <c r="E2619" s="4">
        <f t="shared" si="80"/>
        <v>44915</v>
      </c>
      <c r="F2619">
        <f t="shared" si="81"/>
        <v>114</v>
      </c>
    </row>
    <row r="2620" spans="1:6" x14ac:dyDescent="0.55000000000000004">
      <c r="A2620">
        <v>5.7556105243482644E+18</v>
      </c>
      <c r="B2620" t="s">
        <v>200</v>
      </c>
      <c r="C2620" t="s">
        <v>50</v>
      </c>
      <c r="D2620">
        <v>123</v>
      </c>
      <c r="E2620" s="4">
        <f t="shared" si="80"/>
        <v>44720</v>
      </c>
      <c r="F2620">
        <f t="shared" si="81"/>
        <v>309</v>
      </c>
    </row>
    <row r="2621" spans="1:6" x14ac:dyDescent="0.55000000000000004">
      <c r="A2621">
        <v>3.5050138743736602E+18</v>
      </c>
      <c r="B2621" t="s">
        <v>1148</v>
      </c>
      <c r="C2621" t="s">
        <v>10</v>
      </c>
      <c r="D2621">
        <v>445</v>
      </c>
      <c r="E2621" s="4">
        <f t="shared" si="80"/>
        <v>44890</v>
      </c>
      <c r="F2621">
        <f t="shared" si="81"/>
        <v>139</v>
      </c>
    </row>
    <row r="2622" spans="1:6" x14ac:dyDescent="0.55000000000000004">
      <c r="A2622">
        <v>1.1126621026109131E+19</v>
      </c>
      <c r="B2622" t="s">
        <v>358</v>
      </c>
      <c r="C2622" t="s">
        <v>10</v>
      </c>
      <c r="D2622">
        <v>15810</v>
      </c>
      <c r="E2622" s="4">
        <f t="shared" si="80"/>
        <v>44106</v>
      </c>
      <c r="F2622">
        <f t="shared" si="81"/>
        <v>923</v>
      </c>
    </row>
    <row r="2623" spans="1:6" x14ac:dyDescent="0.55000000000000004">
      <c r="A2623">
        <v>7.1766019372537836E+18</v>
      </c>
      <c r="B2623" t="s">
        <v>966</v>
      </c>
      <c r="C2623" t="s">
        <v>50</v>
      </c>
      <c r="D2623">
        <v>115</v>
      </c>
      <c r="E2623" s="4">
        <f t="shared" si="80"/>
        <v>44919</v>
      </c>
      <c r="F2623">
        <f t="shared" si="81"/>
        <v>110</v>
      </c>
    </row>
    <row r="2624" spans="1:6" x14ac:dyDescent="0.55000000000000004">
      <c r="A2624">
        <v>1.342000908502272E+18</v>
      </c>
      <c r="B2624" t="s">
        <v>963</v>
      </c>
      <c r="C2624" t="s">
        <v>7</v>
      </c>
      <c r="D2624">
        <v>1174</v>
      </c>
      <c r="E2624" s="4">
        <f t="shared" si="80"/>
        <v>44035</v>
      </c>
      <c r="F2624">
        <f t="shared" si="81"/>
        <v>994</v>
      </c>
    </row>
    <row r="2625" spans="1:6" x14ac:dyDescent="0.55000000000000004">
      <c r="A2625">
        <v>1.5375922921831371E+19</v>
      </c>
      <c r="B2625" t="s">
        <v>824</v>
      </c>
      <c r="C2625" t="s">
        <v>10</v>
      </c>
      <c r="D2625">
        <v>165</v>
      </c>
      <c r="E2625" s="4">
        <f t="shared" si="80"/>
        <v>44482</v>
      </c>
      <c r="F2625">
        <f t="shared" si="81"/>
        <v>547</v>
      </c>
    </row>
    <row r="2626" spans="1:6" x14ac:dyDescent="0.55000000000000004">
      <c r="A2626">
        <v>5.8340753107297587E+18</v>
      </c>
      <c r="B2626" t="s">
        <v>927</v>
      </c>
      <c r="C2626" t="s">
        <v>10</v>
      </c>
      <c r="D2626">
        <v>11955</v>
      </c>
      <c r="E2626" s="4">
        <f t="shared" si="80"/>
        <v>44775</v>
      </c>
      <c r="F2626">
        <f t="shared" si="81"/>
        <v>254</v>
      </c>
    </row>
    <row r="2627" spans="1:6" x14ac:dyDescent="0.55000000000000004">
      <c r="A2627">
        <v>1.675114799969938E+19</v>
      </c>
      <c r="B2627" t="s">
        <v>232</v>
      </c>
      <c r="C2627" t="s">
        <v>13</v>
      </c>
      <c r="D2627">
        <v>1934</v>
      </c>
      <c r="E2627" s="4">
        <f t="shared" ref="E2627:E2690" si="82">DATEVALUE(B2627)</f>
        <v>44745</v>
      </c>
      <c r="F2627">
        <f t="shared" ref="F2627:F2690" si="83">$H$1-E2627</f>
        <v>284</v>
      </c>
    </row>
    <row r="2628" spans="1:6" x14ac:dyDescent="0.55000000000000004">
      <c r="A2628">
        <v>7.1131906820418394E+17</v>
      </c>
      <c r="B2628" t="s">
        <v>454</v>
      </c>
      <c r="C2628" t="s">
        <v>13</v>
      </c>
      <c r="D2628">
        <v>2960</v>
      </c>
      <c r="E2628" s="4">
        <f t="shared" si="82"/>
        <v>44740</v>
      </c>
      <c r="F2628">
        <f t="shared" si="83"/>
        <v>289</v>
      </c>
    </row>
    <row r="2629" spans="1:6" x14ac:dyDescent="0.55000000000000004">
      <c r="A2629">
        <v>1.5384082452842521E+19</v>
      </c>
      <c r="B2629" t="s">
        <v>150</v>
      </c>
      <c r="C2629" t="s">
        <v>10</v>
      </c>
      <c r="D2629">
        <v>5275</v>
      </c>
      <c r="E2629" s="4">
        <f t="shared" si="82"/>
        <v>44258</v>
      </c>
      <c r="F2629">
        <f t="shared" si="83"/>
        <v>771</v>
      </c>
    </row>
    <row r="2630" spans="1:6" x14ac:dyDescent="0.55000000000000004">
      <c r="A2630">
        <v>9.2147412065153024E+18</v>
      </c>
      <c r="B2630" t="s">
        <v>392</v>
      </c>
      <c r="C2630" t="s">
        <v>13</v>
      </c>
      <c r="D2630">
        <v>428</v>
      </c>
      <c r="E2630" s="4">
        <f t="shared" si="82"/>
        <v>45013</v>
      </c>
      <c r="F2630">
        <f t="shared" si="83"/>
        <v>16</v>
      </c>
    </row>
    <row r="2631" spans="1:6" x14ac:dyDescent="0.55000000000000004">
      <c r="A2631">
        <v>3.4990096452295839E+18</v>
      </c>
      <c r="B2631" t="s">
        <v>610</v>
      </c>
      <c r="C2631" t="s">
        <v>7</v>
      </c>
      <c r="D2631">
        <v>663</v>
      </c>
      <c r="E2631" s="4">
        <f t="shared" si="82"/>
        <v>44484</v>
      </c>
      <c r="F2631">
        <f t="shared" si="83"/>
        <v>545</v>
      </c>
    </row>
    <row r="2632" spans="1:6" x14ac:dyDescent="0.55000000000000004">
      <c r="A2632">
        <v>5.8282773082604247E+18</v>
      </c>
      <c r="B2632" t="s">
        <v>171</v>
      </c>
      <c r="C2632" t="s">
        <v>10</v>
      </c>
      <c r="D2632">
        <v>199</v>
      </c>
      <c r="E2632" s="4">
        <f t="shared" si="82"/>
        <v>44457</v>
      </c>
      <c r="F2632">
        <f t="shared" si="83"/>
        <v>572</v>
      </c>
    </row>
    <row r="2633" spans="1:6" x14ac:dyDescent="0.55000000000000004">
      <c r="A2633">
        <v>1.134540150975931E+19</v>
      </c>
      <c r="B2633" t="s">
        <v>393</v>
      </c>
      <c r="C2633" t="s">
        <v>10</v>
      </c>
      <c r="D2633">
        <v>3212</v>
      </c>
      <c r="E2633" s="4">
        <f t="shared" si="82"/>
        <v>43976</v>
      </c>
      <c r="F2633">
        <f t="shared" si="83"/>
        <v>1053</v>
      </c>
    </row>
    <row r="2634" spans="1:6" x14ac:dyDescent="0.55000000000000004">
      <c r="A2634">
        <v>1.5485723615538999E+19</v>
      </c>
      <c r="B2634" t="s">
        <v>307</v>
      </c>
      <c r="C2634" t="s">
        <v>13</v>
      </c>
      <c r="D2634">
        <v>11090</v>
      </c>
      <c r="E2634" s="4">
        <f t="shared" si="82"/>
        <v>44616</v>
      </c>
      <c r="F2634">
        <f t="shared" si="83"/>
        <v>413</v>
      </c>
    </row>
    <row r="2635" spans="1:6" x14ac:dyDescent="0.55000000000000004">
      <c r="A2635">
        <v>1.667516599105642E+18</v>
      </c>
      <c r="B2635" t="s">
        <v>277</v>
      </c>
      <c r="C2635" t="s">
        <v>13</v>
      </c>
      <c r="D2635">
        <v>1189</v>
      </c>
      <c r="E2635" s="4">
        <f t="shared" si="82"/>
        <v>44871</v>
      </c>
      <c r="F2635">
        <f t="shared" si="83"/>
        <v>158</v>
      </c>
    </row>
    <row r="2636" spans="1:6" x14ac:dyDescent="0.55000000000000004">
      <c r="A2636">
        <v>8.6727379281980047E+18</v>
      </c>
      <c r="B2636" t="s">
        <v>283</v>
      </c>
      <c r="C2636" t="s">
        <v>7</v>
      </c>
      <c r="D2636">
        <v>422</v>
      </c>
      <c r="E2636" s="4">
        <f t="shared" si="82"/>
        <v>44586</v>
      </c>
      <c r="F2636">
        <f t="shared" si="83"/>
        <v>443</v>
      </c>
    </row>
    <row r="2637" spans="1:6" x14ac:dyDescent="0.55000000000000004">
      <c r="A2637">
        <v>1.4961346208182901E+19</v>
      </c>
      <c r="B2637" t="s">
        <v>1102</v>
      </c>
      <c r="C2637" t="s">
        <v>13</v>
      </c>
      <c r="D2637">
        <v>950</v>
      </c>
      <c r="E2637" s="4">
        <f t="shared" si="82"/>
        <v>44957</v>
      </c>
      <c r="F2637">
        <f t="shared" si="83"/>
        <v>72</v>
      </c>
    </row>
    <row r="2638" spans="1:6" x14ac:dyDescent="0.55000000000000004">
      <c r="A2638">
        <v>7.2637407886487521E+18</v>
      </c>
      <c r="B2638" t="s">
        <v>925</v>
      </c>
      <c r="C2638" t="s">
        <v>10</v>
      </c>
      <c r="D2638">
        <v>597</v>
      </c>
      <c r="E2638" s="4">
        <f t="shared" si="82"/>
        <v>44185</v>
      </c>
      <c r="F2638">
        <f t="shared" si="83"/>
        <v>844</v>
      </c>
    </row>
    <row r="2639" spans="1:6" x14ac:dyDescent="0.55000000000000004">
      <c r="A2639">
        <v>1.216780842409685E+19</v>
      </c>
      <c r="B2639" t="s">
        <v>1104</v>
      </c>
      <c r="C2639" t="s">
        <v>7</v>
      </c>
      <c r="D2639">
        <v>349</v>
      </c>
      <c r="E2639" s="4">
        <f t="shared" si="82"/>
        <v>43922</v>
      </c>
      <c r="F2639">
        <f t="shared" si="83"/>
        <v>1107</v>
      </c>
    </row>
    <row r="2640" spans="1:6" x14ac:dyDescent="0.55000000000000004">
      <c r="A2640">
        <v>2.2534652662718369E+18</v>
      </c>
      <c r="B2640" t="s">
        <v>142</v>
      </c>
      <c r="C2640" t="s">
        <v>13</v>
      </c>
      <c r="D2640">
        <v>96</v>
      </c>
      <c r="E2640" s="4">
        <f t="shared" si="82"/>
        <v>44272</v>
      </c>
      <c r="F2640">
        <f t="shared" si="83"/>
        <v>757</v>
      </c>
    </row>
    <row r="2641" spans="1:6" x14ac:dyDescent="0.55000000000000004">
      <c r="A2641">
        <v>1.666302565504528E+19</v>
      </c>
      <c r="B2641" t="s">
        <v>593</v>
      </c>
      <c r="C2641" t="s">
        <v>7</v>
      </c>
      <c r="D2641">
        <v>354</v>
      </c>
      <c r="E2641" s="4">
        <f t="shared" si="82"/>
        <v>44500</v>
      </c>
      <c r="F2641">
        <f t="shared" si="83"/>
        <v>529</v>
      </c>
    </row>
    <row r="2642" spans="1:6" x14ac:dyDescent="0.55000000000000004">
      <c r="A2642">
        <v>9.0093056768248351E+18</v>
      </c>
      <c r="B2642" t="s">
        <v>1071</v>
      </c>
      <c r="C2642" t="s">
        <v>10</v>
      </c>
      <c r="D2642">
        <v>2822</v>
      </c>
      <c r="E2642" s="4">
        <f t="shared" si="82"/>
        <v>44288</v>
      </c>
      <c r="F2642">
        <f t="shared" si="83"/>
        <v>741</v>
      </c>
    </row>
    <row r="2643" spans="1:6" x14ac:dyDescent="0.55000000000000004">
      <c r="A2643">
        <v>5.7556105243482644E+18</v>
      </c>
      <c r="B2643" t="s">
        <v>1149</v>
      </c>
      <c r="C2643" t="s">
        <v>13</v>
      </c>
      <c r="D2643">
        <v>882</v>
      </c>
      <c r="E2643" s="4">
        <f t="shared" si="82"/>
        <v>43948</v>
      </c>
      <c r="F2643">
        <f t="shared" si="83"/>
        <v>1081</v>
      </c>
    </row>
    <row r="2644" spans="1:6" x14ac:dyDescent="0.55000000000000004">
      <c r="A2644">
        <v>1.3153809842568221E+19</v>
      </c>
      <c r="B2644" t="s">
        <v>1150</v>
      </c>
      <c r="C2644" t="s">
        <v>26</v>
      </c>
      <c r="D2644">
        <v>109</v>
      </c>
      <c r="E2644" s="4">
        <f t="shared" si="82"/>
        <v>43776</v>
      </c>
      <c r="F2644">
        <f t="shared" si="83"/>
        <v>1253</v>
      </c>
    </row>
    <row r="2645" spans="1:6" x14ac:dyDescent="0.55000000000000004">
      <c r="A2645">
        <v>1.2356092702888061E+19</v>
      </c>
      <c r="B2645" t="s">
        <v>721</v>
      </c>
      <c r="C2645" t="s">
        <v>10</v>
      </c>
      <c r="D2645">
        <v>390</v>
      </c>
      <c r="E2645" s="4">
        <f t="shared" si="82"/>
        <v>44876</v>
      </c>
      <c r="F2645">
        <f t="shared" si="83"/>
        <v>153</v>
      </c>
    </row>
    <row r="2646" spans="1:6" x14ac:dyDescent="0.55000000000000004">
      <c r="A2646">
        <v>6.8830756411811174E+18</v>
      </c>
      <c r="B2646" t="s">
        <v>1015</v>
      </c>
      <c r="C2646" t="s">
        <v>10</v>
      </c>
      <c r="D2646">
        <v>1365</v>
      </c>
      <c r="E2646" s="4">
        <f t="shared" si="82"/>
        <v>44440</v>
      </c>
      <c r="F2646">
        <f t="shared" si="83"/>
        <v>589</v>
      </c>
    </row>
    <row r="2647" spans="1:6" x14ac:dyDescent="0.55000000000000004">
      <c r="A2647">
        <v>6.1986093279012096E+18</v>
      </c>
      <c r="B2647" t="s">
        <v>368</v>
      </c>
      <c r="C2647" t="s">
        <v>13</v>
      </c>
      <c r="D2647">
        <v>483</v>
      </c>
      <c r="E2647" s="4">
        <f t="shared" si="82"/>
        <v>44812</v>
      </c>
      <c r="F2647">
        <f t="shared" si="83"/>
        <v>217</v>
      </c>
    </row>
    <row r="2648" spans="1:6" x14ac:dyDescent="0.55000000000000004">
      <c r="A2648">
        <v>1.6108854001866289E+19</v>
      </c>
      <c r="B2648" t="s">
        <v>1109</v>
      </c>
      <c r="C2648" t="s">
        <v>10</v>
      </c>
      <c r="D2648">
        <v>59</v>
      </c>
      <c r="E2648" s="4">
        <f t="shared" si="82"/>
        <v>44002</v>
      </c>
      <c r="F2648">
        <f t="shared" si="83"/>
        <v>1027</v>
      </c>
    </row>
    <row r="2649" spans="1:6" x14ac:dyDescent="0.55000000000000004">
      <c r="A2649">
        <v>2.5108968822276541E+18</v>
      </c>
      <c r="B2649" t="s">
        <v>977</v>
      </c>
      <c r="C2649" t="s">
        <v>13</v>
      </c>
      <c r="D2649">
        <v>1536</v>
      </c>
      <c r="E2649" s="4">
        <f t="shared" si="82"/>
        <v>44826</v>
      </c>
      <c r="F2649">
        <f t="shared" si="83"/>
        <v>203</v>
      </c>
    </row>
    <row r="2650" spans="1:6" x14ac:dyDescent="0.55000000000000004">
      <c r="A2650">
        <v>4.1384079277476362E+18</v>
      </c>
      <c r="B2650" t="s">
        <v>1151</v>
      </c>
      <c r="C2650" t="s">
        <v>10</v>
      </c>
      <c r="D2650">
        <v>1380</v>
      </c>
      <c r="E2650" s="4">
        <f t="shared" si="82"/>
        <v>44031</v>
      </c>
      <c r="F2650">
        <f t="shared" si="83"/>
        <v>998</v>
      </c>
    </row>
    <row r="2651" spans="1:6" x14ac:dyDescent="0.55000000000000004">
      <c r="A2651">
        <v>5.7242372799877747E+17</v>
      </c>
      <c r="B2651" t="s">
        <v>245</v>
      </c>
      <c r="C2651" t="s">
        <v>13</v>
      </c>
      <c r="D2651">
        <v>3175</v>
      </c>
      <c r="E2651" s="4">
        <f t="shared" si="82"/>
        <v>44748</v>
      </c>
      <c r="F2651">
        <f t="shared" si="83"/>
        <v>281</v>
      </c>
    </row>
    <row r="2652" spans="1:6" x14ac:dyDescent="0.55000000000000004">
      <c r="A2652">
        <v>9.3011369724624343E+18</v>
      </c>
      <c r="B2652" t="s">
        <v>30</v>
      </c>
      <c r="C2652" t="s">
        <v>13</v>
      </c>
      <c r="D2652">
        <v>630</v>
      </c>
      <c r="E2652" s="4">
        <f t="shared" si="82"/>
        <v>44954</v>
      </c>
      <c r="F2652">
        <f t="shared" si="83"/>
        <v>75</v>
      </c>
    </row>
    <row r="2653" spans="1:6" x14ac:dyDescent="0.55000000000000004">
      <c r="A2653">
        <v>1.7450883086238751E+19</v>
      </c>
      <c r="B2653" t="s">
        <v>1101</v>
      </c>
      <c r="C2653" t="s">
        <v>10</v>
      </c>
      <c r="D2653">
        <v>320</v>
      </c>
      <c r="E2653" s="4">
        <f t="shared" si="82"/>
        <v>44058</v>
      </c>
      <c r="F2653">
        <f t="shared" si="83"/>
        <v>971</v>
      </c>
    </row>
    <row r="2654" spans="1:6" x14ac:dyDescent="0.55000000000000004">
      <c r="A2654">
        <v>1.134540150975931E+19</v>
      </c>
      <c r="B2654" t="s">
        <v>1152</v>
      </c>
      <c r="C2654" t="s">
        <v>10</v>
      </c>
      <c r="D2654">
        <v>2187</v>
      </c>
      <c r="E2654" s="4">
        <f t="shared" si="82"/>
        <v>43788</v>
      </c>
      <c r="F2654">
        <f t="shared" si="83"/>
        <v>1241</v>
      </c>
    </row>
    <row r="2655" spans="1:6" x14ac:dyDescent="0.55000000000000004">
      <c r="A2655">
        <v>1.3351036816645151E+19</v>
      </c>
      <c r="B2655" t="s">
        <v>731</v>
      </c>
      <c r="C2655" t="s">
        <v>26</v>
      </c>
      <c r="D2655">
        <v>0</v>
      </c>
      <c r="E2655" s="4">
        <f t="shared" si="82"/>
        <v>44300</v>
      </c>
      <c r="F2655">
        <f t="shared" si="83"/>
        <v>729</v>
      </c>
    </row>
    <row r="2656" spans="1:6" x14ac:dyDescent="0.55000000000000004">
      <c r="A2656">
        <v>8.1866868172181187E+18</v>
      </c>
      <c r="B2656" t="s">
        <v>606</v>
      </c>
      <c r="C2656" t="s">
        <v>13</v>
      </c>
      <c r="D2656">
        <v>1680</v>
      </c>
      <c r="E2656" s="4">
        <f t="shared" si="82"/>
        <v>44037</v>
      </c>
      <c r="F2656">
        <f t="shared" si="83"/>
        <v>992</v>
      </c>
    </row>
    <row r="2657" spans="1:6" x14ac:dyDescent="0.55000000000000004">
      <c r="A2657">
        <v>1.637643127043243E+19</v>
      </c>
      <c r="B2657" t="s">
        <v>1042</v>
      </c>
      <c r="C2657" t="s">
        <v>13</v>
      </c>
      <c r="D2657">
        <v>3238</v>
      </c>
      <c r="E2657" s="4">
        <f t="shared" si="82"/>
        <v>44182</v>
      </c>
      <c r="F2657">
        <f t="shared" si="83"/>
        <v>847</v>
      </c>
    </row>
    <row r="2658" spans="1:6" x14ac:dyDescent="0.55000000000000004">
      <c r="A2658">
        <v>5.3973038049061745E+18</v>
      </c>
      <c r="B2658" t="s">
        <v>1153</v>
      </c>
      <c r="C2658" t="s">
        <v>50</v>
      </c>
      <c r="D2658">
        <v>54151.3</v>
      </c>
      <c r="E2658" s="4">
        <f t="shared" si="82"/>
        <v>43232</v>
      </c>
      <c r="F2658">
        <f t="shared" si="83"/>
        <v>1797</v>
      </c>
    </row>
    <row r="2659" spans="1:6" x14ac:dyDescent="0.55000000000000004">
      <c r="A2659">
        <v>1.0541013610742131E+19</v>
      </c>
      <c r="B2659" t="s">
        <v>1007</v>
      </c>
      <c r="C2659" t="s">
        <v>13</v>
      </c>
      <c r="D2659">
        <v>5020</v>
      </c>
      <c r="E2659" s="4">
        <f t="shared" si="82"/>
        <v>44377</v>
      </c>
      <c r="F2659">
        <f t="shared" si="83"/>
        <v>652</v>
      </c>
    </row>
    <row r="2660" spans="1:6" x14ac:dyDescent="0.55000000000000004">
      <c r="A2660">
        <v>1.193444999446759E+19</v>
      </c>
      <c r="B2660" t="s">
        <v>138</v>
      </c>
      <c r="C2660" t="s">
        <v>13</v>
      </c>
      <c r="D2660">
        <v>419</v>
      </c>
      <c r="E2660" s="4">
        <f t="shared" si="82"/>
        <v>44320</v>
      </c>
      <c r="F2660">
        <f t="shared" si="83"/>
        <v>709</v>
      </c>
    </row>
    <row r="2661" spans="1:6" x14ac:dyDescent="0.55000000000000004">
      <c r="A2661">
        <v>1.2044647442963249E+19</v>
      </c>
      <c r="B2661" t="s">
        <v>194</v>
      </c>
      <c r="C2661" t="s">
        <v>10</v>
      </c>
      <c r="D2661">
        <v>759</v>
      </c>
      <c r="E2661" s="4">
        <f t="shared" si="82"/>
        <v>44988</v>
      </c>
      <c r="F2661">
        <f t="shared" si="83"/>
        <v>41</v>
      </c>
    </row>
    <row r="2662" spans="1:6" x14ac:dyDescent="0.55000000000000004">
      <c r="A2662">
        <v>1.117688049237956E+19</v>
      </c>
      <c r="B2662" t="s">
        <v>396</v>
      </c>
      <c r="C2662" t="s">
        <v>10</v>
      </c>
      <c r="D2662">
        <v>2304</v>
      </c>
      <c r="E2662" s="4">
        <f t="shared" si="82"/>
        <v>44179</v>
      </c>
      <c r="F2662">
        <f t="shared" si="83"/>
        <v>850</v>
      </c>
    </row>
    <row r="2663" spans="1:6" x14ac:dyDescent="0.55000000000000004">
      <c r="A2663">
        <v>8.607613251301118E+18</v>
      </c>
      <c r="B2663" t="s">
        <v>165</v>
      </c>
      <c r="C2663" t="s">
        <v>10</v>
      </c>
      <c r="D2663">
        <v>2988</v>
      </c>
      <c r="E2663" s="4">
        <f t="shared" si="82"/>
        <v>44513</v>
      </c>
      <c r="F2663">
        <f t="shared" si="83"/>
        <v>516</v>
      </c>
    </row>
    <row r="2664" spans="1:6" x14ac:dyDescent="0.55000000000000004">
      <c r="A2664">
        <v>6.5643654175855411E+18</v>
      </c>
      <c r="B2664" t="s">
        <v>1128</v>
      </c>
      <c r="C2664" t="s">
        <v>10</v>
      </c>
      <c r="D2664">
        <v>49</v>
      </c>
      <c r="E2664" s="4">
        <f t="shared" si="82"/>
        <v>44142</v>
      </c>
      <c r="F2664">
        <f t="shared" si="83"/>
        <v>887</v>
      </c>
    </row>
    <row r="2665" spans="1:6" x14ac:dyDescent="0.55000000000000004">
      <c r="A2665">
        <v>4.2908079193108336E+16</v>
      </c>
      <c r="B2665" t="s">
        <v>1154</v>
      </c>
      <c r="C2665" t="s">
        <v>7</v>
      </c>
      <c r="D2665">
        <v>290</v>
      </c>
      <c r="E2665" s="4">
        <f t="shared" si="82"/>
        <v>44380</v>
      </c>
      <c r="F2665">
        <f t="shared" si="83"/>
        <v>649</v>
      </c>
    </row>
    <row r="2666" spans="1:6" x14ac:dyDescent="0.55000000000000004">
      <c r="A2666">
        <v>1.6854811492381499E+19</v>
      </c>
      <c r="B2666" t="s">
        <v>609</v>
      </c>
      <c r="C2666" t="s">
        <v>10</v>
      </c>
      <c r="D2666">
        <v>3069</v>
      </c>
      <c r="E2666" s="4">
        <f t="shared" si="82"/>
        <v>44429</v>
      </c>
      <c r="F2666">
        <f t="shared" si="83"/>
        <v>600</v>
      </c>
    </row>
    <row r="2667" spans="1:6" x14ac:dyDescent="0.55000000000000004">
      <c r="A2667">
        <v>1.496928590559763E+19</v>
      </c>
      <c r="B2667" t="s">
        <v>66</v>
      </c>
      <c r="C2667" t="s">
        <v>10</v>
      </c>
      <c r="D2667">
        <v>594</v>
      </c>
      <c r="E2667" s="4">
        <f t="shared" si="82"/>
        <v>44789</v>
      </c>
      <c r="F2667">
        <f t="shared" si="83"/>
        <v>240</v>
      </c>
    </row>
    <row r="2668" spans="1:6" x14ac:dyDescent="0.55000000000000004">
      <c r="A2668">
        <v>8.3708087912053862E+18</v>
      </c>
      <c r="B2668" t="s">
        <v>107</v>
      </c>
      <c r="C2668" t="s">
        <v>13</v>
      </c>
      <c r="D2668">
        <v>165</v>
      </c>
      <c r="E2668" s="4">
        <f t="shared" si="82"/>
        <v>45019</v>
      </c>
      <c r="F2668">
        <f t="shared" si="83"/>
        <v>10</v>
      </c>
    </row>
    <row r="2669" spans="1:6" x14ac:dyDescent="0.55000000000000004">
      <c r="A2669">
        <v>1.629324704820073E+18</v>
      </c>
      <c r="B2669" t="s">
        <v>633</v>
      </c>
      <c r="C2669" t="s">
        <v>7</v>
      </c>
      <c r="D2669">
        <v>5379</v>
      </c>
      <c r="E2669" s="4">
        <f t="shared" si="82"/>
        <v>43596</v>
      </c>
      <c r="F2669">
        <f t="shared" si="83"/>
        <v>1433</v>
      </c>
    </row>
    <row r="2670" spans="1:6" x14ac:dyDescent="0.55000000000000004">
      <c r="A2670">
        <v>1.6866689558705279E+19</v>
      </c>
      <c r="B2670" t="s">
        <v>906</v>
      </c>
      <c r="C2670" t="s">
        <v>10</v>
      </c>
      <c r="D2670">
        <v>298</v>
      </c>
      <c r="E2670" s="4">
        <f t="shared" si="82"/>
        <v>44603</v>
      </c>
      <c r="F2670">
        <f t="shared" si="83"/>
        <v>426</v>
      </c>
    </row>
    <row r="2671" spans="1:6" x14ac:dyDescent="0.55000000000000004">
      <c r="A2671">
        <v>1.4589760455791749E+19</v>
      </c>
      <c r="B2671" t="s">
        <v>804</v>
      </c>
      <c r="C2671" t="s">
        <v>13</v>
      </c>
      <c r="D2671">
        <v>1167</v>
      </c>
      <c r="E2671" s="4">
        <f t="shared" si="82"/>
        <v>44306</v>
      </c>
      <c r="F2671">
        <f t="shared" si="83"/>
        <v>723</v>
      </c>
    </row>
    <row r="2672" spans="1:6" x14ac:dyDescent="0.55000000000000004">
      <c r="A2672">
        <v>8.7509659763436114E+18</v>
      </c>
      <c r="B2672" t="s">
        <v>906</v>
      </c>
      <c r="C2672" t="s">
        <v>10</v>
      </c>
      <c r="D2672">
        <v>3056</v>
      </c>
      <c r="E2672" s="4">
        <f t="shared" si="82"/>
        <v>44603</v>
      </c>
      <c r="F2672">
        <f t="shared" si="83"/>
        <v>426</v>
      </c>
    </row>
    <row r="2673" spans="1:6" x14ac:dyDescent="0.55000000000000004">
      <c r="A2673">
        <v>7.9604283635286159E+18</v>
      </c>
      <c r="B2673" t="s">
        <v>24</v>
      </c>
      <c r="C2673" t="s">
        <v>7</v>
      </c>
      <c r="D2673">
        <v>25</v>
      </c>
      <c r="E2673" s="4">
        <f t="shared" si="82"/>
        <v>44527</v>
      </c>
      <c r="F2673">
        <f t="shared" si="83"/>
        <v>502</v>
      </c>
    </row>
    <row r="2674" spans="1:6" x14ac:dyDescent="0.55000000000000004">
      <c r="A2674">
        <v>1.600783233449292E+19</v>
      </c>
      <c r="B2674" t="s">
        <v>474</v>
      </c>
      <c r="C2674" t="s">
        <v>13</v>
      </c>
      <c r="D2674">
        <v>9604</v>
      </c>
      <c r="E2674" s="4">
        <f t="shared" si="82"/>
        <v>44785</v>
      </c>
      <c r="F2674">
        <f t="shared" si="83"/>
        <v>244</v>
      </c>
    </row>
    <row r="2675" spans="1:6" x14ac:dyDescent="0.55000000000000004">
      <c r="A2675">
        <v>1.4861461294758699E+19</v>
      </c>
      <c r="B2675" t="s">
        <v>113</v>
      </c>
      <c r="C2675" t="s">
        <v>46</v>
      </c>
      <c r="D2675">
        <v>1440</v>
      </c>
      <c r="E2675" s="4">
        <f t="shared" si="82"/>
        <v>43870</v>
      </c>
      <c r="F2675">
        <f t="shared" si="83"/>
        <v>1159</v>
      </c>
    </row>
    <row r="2676" spans="1:6" x14ac:dyDescent="0.55000000000000004">
      <c r="A2676">
        <v>8.4499611551842959E+18</v>
      </c>
      <c r="B2676" t="s">
        <v>1155</v>
      </c>
      <c r="C2676" t="s">
        <v>10</v>
      </c>
      <c r="D2676">
        <v>3627</v>
      </c>
      <c r="E2676" s="4">
        <f t="shared" si="82"/>
        <v>44262</v>
      </c>
      <c r="F2676">
        <f t="shared" si="83"/>
        <v>767</v>
      </c>
    </row>
    <row r="2677" spans="1:6" x14ac:dyDescent="0.55000000000000004">
      <c r="A2677">
        <v>2.62748593945662E+18</v>
      </c>
      <c r="B2677" t="s">
        <v>1156</v>
      </c>
      <c r="C2677" t="s">
        <v>10</v>
      </c>
      <c r="D2677">
        <v>1014</v>
      </c>
      <c r="E2677" s="4">
        <f t="shared" si="82"/>
        <v>44660</v>
      </c>
      <c r="F2677">
        <f t="shared" si="83"/>
        <v>369</v>
      </c>
    </row>
    <row r="2678" spans="1:6" x14ac:dyDescent="0.55000000000000004">
      <c r="A2678">
        <v>1.5403850247064271E+19</v>
      </c>
      <c r="B2678" t="s">
        <v>362</v>
      </c>
      <c r="C2678" t="s">
        <v>10</v>
      </c>
      <c r="D2678">
        <v>1929</v>
      </c>
      <c r="E2678" s="4">
        <f t="shared" si="82"/>
        <v>44164</v>
      </c>
      <c r="F2678">
        <f t="shared" si="83"/>
        <v>865</v>
      </c>
    </row>
    <row r="2679" spans="1:6" x14ac:dyDescent="0.55000000000000004">
      <c r="A2679">
        <v>1.0359063996735889E+19</v>
      </c>
      <c r="B2679" t="s">
        <v>1110</v>
      </c>
      <c r="C2679" t="s">
        <v>13</v>
      </c>
      <c r="D2679">
        <v>2749</v>
      </c>
      <c r="E2679" s="4">
        <f t="shared" si="82"/>
        <v>44790</v>
      </c>
      <c r="F2679">
        <f t="shared" si="83"/>
        <v>239</v>
      </c>
    </row>
    <row r="2680" spans="1:6" x14ac:dyDescent="0.55000000000000004">
      <c r="A2680">
        <v>7.6079480927465441E+18</v>
      </c>
      <c r="B2680" t="s">
        <v>155</v>
      </c>
      <c r="C2680" t="s">
        <v>10</v>
      </c>
      <c r="D2680">
        <v>299</v>
      </c>
      <c r="E2680" s="4">
        <f t="shared" si="82"/>
        <v>44081</v>
      </c>
      <c r="F2680">
        <f t="shared" si="83"/>
        <v>948</v>
      </c>
    </row>
    <row r="2681" spans="1:6" x14ac:dyDescent="0.55000000000000004">
      <c r="A2681">
        <v>1.8255241922951529E+18</v>
      </c>
      <c r="B2681" t="s">
        <v>1157</v>
      </c>
      <c r="C2681" t="s">
        <v>10</v>
      </c>
      <c r="D2681">
        <v>297</v>
      </c>
      <c r="E2681" s="4">
        <f t="shared" si="82"/>
        <v>44900</v>
      </c>
      <c r="F2681">
        <f t="shared" si="83"/>
        <v>129</v>
      </c>
    </row>
    <row r="2682" spans="1:6" x14ac:dyDescent="0.55000000000000004">
      <c r="A2682">
        <v>3.8623846872666322E+18</v>
      </c>
      <c r="B2682" t="s">
        <v>1158</v>
      </c>
      <c r="C2682" t="s">
        <v>10</v>
      </c>
      <c r="D2682">
        <v>1469</v>
      </c>
      <c r="E2682" s="4">
        <f t="shared" si="82"/>
        <v>44607</v>
      </c>
      <c r="F2682">
        <f t="shared" si="83"/>
        <v>422</v>
      </c>
    </row>
    <row r="2683" spans="1:6" x14ac:dyDescent="0.55000000000000004">
      <c r="A2683">
        <v>2.3506228402336369E+18</v>
      </c>
      <c r="B2683" t="s">
        <v>22</v>
      </c>
      <c r="C2683" t="s">
        <v>13</v>
      </c>
      <c r="D2683">
        <v>2658</v>
      </c>
      <c r="E2683" s="4">
        <f t="shared" si="82"/>
        <v>44560</v>
      </c>
      <c r="F2683">
        <f t="shared" si="83"/>
        <v>469</v>
      </c>
    </row>
    <row r="2684" spans="1:6" x14ac:dyDescent="0.55000000000000004">
      <c r="A2684">
        <v>6.4342451881816975E+18</v>
      </c>
      <c r="B2684" t="s">
        <v>505</v>
      </c>
      <c r="C2684" t="s">
        <v>13</v>
      </c>
      <c r="D2684">
        <v>4375</v>
      </c>
      <c r="E2684" s="4">
        <f t="shared" si="82"/>
        <v>44548</v>
      </c>
      <c r="F2684">
        <f t="shared" si="83"/>
        <v>481</v>
      </c>
    </row>
    <row r="2685" spans="1:6" x14ac:dyDescent="0.55000000000000004">
      <c r="A2685">
        <v>6.6230097931188941E+18</v>
      </c>
      <c r="B2685" t="s">
        <v>1122</v>
      </c>
      <c r="C2685" t="s">
        <v>13</v>
      </c>
      <c r="D2685">
        <v>5776</v>
      </c>
      <c r="E2685" s="4">
        <f t="shared" si="82"/>
        <v>44840</v>
      </c>
      <c r="F2685">
        <f t="shared" si="83"/>
        <v>189</v>
      </c>
    </row>
    <row r="2686" spans="1:6" x14ac:dyDescent="0.55000000000000004">
      <c r="A2686">
        <v>1.0966372242911189E+19</v>
      </c>
      <c r="B2686" t="s">
        <v>657</v>
      </c>
      <c r="C2686" t="s">
        <v>13</v>
      </c>
      <c r="D2686">
        <v>375</v>
      </c>
      <c r="E2686" s="4">
        <f t="shared" si="82"/>
        <v>44592</v>
      </c>
      <c r="F2686">
        <f t="shared" si="83"/>
        <v>437</v>
      </c>
    </row>
    <row r="2687" spans="1:6" x14ac:dyDescent="0.55000000000000004">
      <c r="A2687">
        <v>5.0481806929191342E+18</v>
      </c>
      <c r="B2687" t="s">
        <v>430</v>
      </c>
      <c r="C2687" t="s">
        <v>26</v>
      </c>
      <c r="D2687">
        <v>147</v>
      </c>
      <c r="E2687" s="4">
        <f t="shared" si="82"/>
        <v>44302</v>
      </c>
      <c r="F2687">
        <f t="shared" si="83"/>
        <v>727</v>
      </c>
    </row>
    <row r="2688" spans="1:6" x14ac:dyDescent="0.55000000000000004">
      <c r="A2688">
        <v>1.665388646333131E+19</v>
      </c>
      <c r="B2688" t="s">
        <v>602</v>
      </c>
      <c r="C2688" t="s">
        <v>10</v>
      </c>
      <c r="D2688">
        <v>387</v>
      </c>
      <c r="E2688" s="4">
        <f t="shared" si="82"/>
        <v>44193</v>
      </c>
      <c r="F2688">
        <f t="shared" si="83"/>
        <v>836</v>
      </c>
    </row>
    <row r="2689" spans="1:6" x14ac:dyDescent="0.55000000000000004">
      <c r="A2689">
        <v>8.7935106791523226E+18</v>
      </c>
      <c r="B2689" t="s">
        <v>216</v>
      </c>
      <c r="C2689" t="s">
        <v>13</v>
      </c>
      <c r="D2689">
        <v>603</v>
      </c>
      <c r="E2689" s="4">
        <f t="shared" si="82"/>
        <v>44027</v>
      </c>
      <c r="F2689">
        <f t="shared" si="83"/>
        <v>1002</v>
      </c>
    </row>
    <row r="2690" spans="1:6" x14ac:dyDescent="0.55000000000000004">
      <c r="A2690">
        <v>1.5408046944755769E+19</v>
      </c>
      <c r="B2690" t="s">
        <v>178</v>
      </c>
      <c r="C2690" t="s">
        <v>10</v>
      </c>
      <c r="D2690">
        <v>1876</v>
      </c>
      <c r="E2690" s="4">
        <f t="shared" si="82"/>
        <v>44984</v>
      </c>
      <c r="F2690">
        <f t="shared" si="83"/>
        <v>45</v>
      </c>
    </row>
    <row r="2691" spans="1:6" x14ac:dyDescent="0.55000000000000004">
      <c r="A2691">
        <v>9.7907267103041267E+17</v>
      </c>
      <c r="B2691" t="s">
        <v>11</v>
      </c>
      <c r="C2691" t="s">
        <v>10</v>
      </c>
      <c r="D2691">
        <v>2012</v>
      </c>
      <c r="E2691" s="4">
        <f t="shared" ref="E2691:E2754" si="84">DATEVALUE(B2691)</f>
        <v>44923</v>
      </c>
      <c r="F2691">
        <f t="shared" ref="F2691:F2754" si="85">$H$1-E2691</f>
        <v>106</v>
      </c>
    </row>
    <row r="2692" spans="1:6" x14ac:dyDescent="0.55000000000000004">
      <c r="A2692">
        <v>1.438948701201042E+19</v>
      </c>
      <c r="B2692" t="s">
        <v>847</v>
      </c>
      <c r="C2692" t="s">
        <v>5</v>
      </c>
      <c r="D2692">
        <v>8073</v>
      </c>
      <c r="E2692" s="4">
        <f t="shared" si="84"/>
        <v>44190</v>
      </c>
      <c r="F2692">
        <f t="shared" si="85"/>
        <v>839</v>
      </c>
    </row>
    <row r="2693" spans="1:6" x14ac:dyDescent="0.55000000000000004">
      <c r="A2693">
        <v>1.391907373968365E+19</v>
      </c>
      <c r="B2693" t="s">
        <v>468</v>
      </c>
      <c r="C2693" t="s">
        <v>10</v>
      </c>
      <c r="D2693">
        <v>279</v>
      </c>
      <c r="E2693" s="4">
        <f t="shared" si="84"/>
        <v>44292</v>
      </c>
      <c r="F2693">
        <f t="shared" si="85"/>
        <v>737</v>
      </c>
    </row>
    <row r="2694" spans="1:6" x14ac:dyDescent="0.55000000000000004">
      <c r="A2694">
        <v>6.8284815311635948E+18</v>
      </c>
      <c r="B2694" t="s">
        <v>1029</v>
      </c>
      <c r="C2694" t="s">
        <v>7</v>
      </c>
      <c r="D2694">
        <v>75</v>
      </c>
      <c r="E2694" s="4">
        <f t="shared" si="84"/>
        <v>44351</v>
      </c>
      <c r="F2694">
        <f t="shared" si="85"/>
        <v>678</v>
      </c>
    </row>
    <row r="2695" spans="1:6" x14ac:dyDescent="0.55000000000000004">
      <c r="A2695">
        <v>1.2420661798939331E+19</v>
      </c>
      <c r="B2695" t="s">
        <v>393</v>
      </c>
      <c r="C2695" t="s">
        <v>10</v>
      </c>
      <c r="D2695">
        <v>180</v>
      </c>
      <c r="E2695" s="4">
        <f t="shared" si="84"/>
        <v>43976</v>
      </c>
      <c r="F2695">
        <f t="shared" si="85"/>
        <v>1053</v>
      </c>
    </row>
    <row r="2696" spans="1:6" x14ac:dyDescent="0.55000000000000004">
      <c r="A2696">
        <v>1.284150528335927E+18</v>
      </c>
      <c r="B2696" t="s">
        <v>363</v>
      </c>
      <c r="C2696" t="s">
        <v>13</v>
      </c>
      <c r="D2696">
        <v>339</v>
      </c>
      <c r="E2696" s="4">
        <f t="shared" si="84"/>
        <v>44454</v>
      </c>
      <c r="F2696">
        <f t="shared" si="85"/>
        <v>575</v>
      </c>
    </row>
    <row r="2697" spans="1:6" x14ac:dyDescent="0.55000000000000004">
      <c r="A2697">
        <v>1.1358988740140071E+19</v>
      </c>
      <c r="B2697" t="s">
        <v>1093</v>
      </c>
      <c r="C2697" t="s">
        <v>10</v>
      </c>
      <c r="D2697">
        <v>19170</v>
      </c>
      <c r="E2697" s="4">
        <f t="shared" si="84"/>
        <v>44993</v>
      </c>
      <c r="F2697">
        <f t="shared" si="85"/>
        <v>36</v>
      </c>
    </row>
    <row r="2698" spans="1:6" x14ac:dyDescent="0.55000000000000004">
      <c r="A2698">
        <v>8.9485107261010115E+18</v>
      </c>
      <c r="B2698" t="s">
        <v>36</v>
      </c>
      <c r="C2698" t="s">
        <v>13</v>
      </c>
      <c r="D2698">
        <v>99</v>
      </c>
      <c r="E2698" s="4">
        <f t="shared" si="84"/>
        <v>44808</v>
      </c>
      <c r="F2698">
        <f t="shared" si="85"/>
        <v>221</v>
      </c>
    </row>
    <row r="2699" spans="1:6" x14ac:dyDescent="0.55000000000000004">
      <c r="A2699">
        <v>1.1868077272663519E+19</v>
      </c>
      <c r="B2699" t="s">
        <v>811</v>
      </c>
      <c r="C2699" t="s">
        <v>10</v>
      </c>
      <c r="D2699">
        <v>2285</v>
      </c>
      <c r="E2699" s="4">
        <f t="shared" si="84"/>
        <v>44104</v>
      </c>
      <c r="F2699">
        <f t="shared" si="85"/>
        <v>925</v>
      </c>
    </row>
    <row r="2700" spans="1:6" x14ac:dyDescent="0.55000000000000004">
      <c r="A2700">
        <v>9.4805907407423304E+18</v>
      </c>
      <c r="B2700" t="s">
        <v>395</v>
      </c>
      <c r="C2700" t="s">
        <v>7</v>
      </c>
      <c r="D2700">
        <v>615</v>
      </c>
      <c r="E2700" s="4">
        <f t="shared" si="84"/>
        <v>44942</v>
      </c>
      <c r="F2700">
        <f t="shared" si="85"/>
        <v>87</v>
      </c>
    </row>
    <row r="2701" spans="1:6" x14ac:dyDescent="0.55000000000000004">
      <c r="A2701">
        <v>1.6848572918924741E+19</v>
      </c>
      <c r="B2701" t="s">
        <v>73</v>
      </c>
      <c r="C2701" t="s">
        <v>13</v>
      </c>
      <c r="D2701">
        <v>459</v>
      </c>
      <c r="E2701" s="4">
        <f t="shared" si="84"/>
        <v>44188</v>
      </c>
      <c r="F2701">
        <f t="shared" si="85"/>
        <v>841</v>
      </c>
    </row>
    <row r="2702" spans="1:6" x14ac:dyDescent="0.55000000000000004">
      <c r="A2702">
        <v>5.8918493956634819E+18</v>
      </c>
      <c r="B2702" t="s">
        <v>783</v>
      </c>
      <c r="C2702" t="s">
        <v>10</v>
      </c>
      <c r="D2702">
        <v>277</v>
      </c>
      <c r="E2702" s="4">
        <f t="shared" si="84"/>
        <v>44986</v>
      </c>
      <c r="F2702">
        <f t="shared" si="85"/>
        <v>43</v>
      </c>
    </row>
    <row r="2703" spans="1:6" x14ac:dyDescent="0.55000000000000004">
      <c r="A2703">
        <v>6.0965140272997366E+18</v>
      </c>
      <c r="B2703" t="s">
        <v>916</v>
      </c>
      <c r="C2703" t="s">
        <v>7</v>
      </c>
      <c r="D2703">
        <v>531</v>
      </c>
      <c r="E2703" s="4">
        <f t="shared" si="84"/>
        <v>44176</v>
      </c>
      <c r="F2703">
        <f t="shared" si="85"/>
        <v>853</v>
      </c>
    </row>
    <row r="2704" spans="1:6" x14ac:dyDescent="0.55000000000000004">
      <c r="A2704">
        <v>6.749289830386561E+18</v>
      </c>
      <c r="B2704" t="s">
        <v>1159</v>
      </c>
      <c r="C2704" t="s">
        <v>13</v>
      </c>
      <c r="D2704">
        <v>9720</v>
      </c>
      <c r="E2704" s="4">
        <f t="shared" si="84"/>
        <v>44836</v>
      </c>
      <c r="F2704">
        <f t="shared" si="85"/>
        <v>193</v>
      </c>
    </row>
    <row r="2705" spans="1:6" x14ac:dyDescent="0.55000000000000004">
      <c r="A2705">
        <v>1.565609792506035E+19</v>
      </c>
      <c r="B2705" t="s">
        <v>275</v>
      </c>
      <c r="C2705" t="s">
        <v>10</v>
      </c>
      <c r="D2705">
        <v>363</v>
      </c>
      <c r="E2705" s="4">
        <f t="shared" si="84"/>
        <v>44922</v>
      </c>
      <c r="F2705">
        <f t="shared" si="85"/>
        <v>107</v>
      </c>
    </row>
    <row r="2706" spans="1:6" x14ac:dyDescent="0.55000000000000004">
      <c r="A2706">
        <v>6.1057971100813087E+18</v>
      </c>
      <c r="B2706" t="s">
        <v>890</v>
      </c>
      <c r="C2706" t="s">
        <v>10</v>
      </c>
      <c r="D2706">
        <v>883</v>
      </c>
      <c r="E2706" s="4">
        <f t="shared" si="84"/>
        <v>43755</v>
      </c>
      <c r="F2706">
        <f t="shared" si="85"/>
        <v>1274</v>
      </c>
    </row>
    <row r="2707" spans="1:6" x14ac:dyDescent="0.55000000000000004">
      <c r="A2707">
        <v>1.6492270893537661E+19</v>
      </c>
      <c r="B2707" t="s">
        <v>126</v>
      </c>
      <c r="C2707" t="s">
        <v>10</v>
      </c>
      <c r="D2707">
        <v>301</v>
      </c>
      <c r="E2707" s="4">
        <f t="shared" si="84"/>
        <v>43833</v>
      </c>
      <c r="F2707">
        <f t="shared" si="85"/>
        <v>1196</v>
      </c>
    </row>
    <row r="2708" spans="1:6" x14ac:dyDescent="0.55000000000000004">
      <c r="A2708">
        <v>1.73458171227591E+19</v>
      </c>
      <c r="B2708" t="s">
        <v>282</v>
      </c>
      <c r="C2708" t="s">
        <v>13</v>
      </c>
      <c r="D2708">
        <v>8613</v>
      </c>
      <c r="E2708" s="4">
        <f t="shared" si="84"/>
        <v>44557</v>
      </c>
      <c r="F2708">
        <f t="shared" si="85"/>
        <v>472</v>
      </c>
    </row>
    <row r="2709" spans="1:6" x14ac:dyDescent="0.55000000000000004">
      <c r="A2709">
        <v>6.4384708484770816E+17</v>
      </c>
      <c r="B2709" t="s">
        <v>199</v>
      </c>
      <c r="C2709" t="s">
        <v>10</v>
      </c>
      <c r="D2709">
        <v>1038</v>
      </c>
      <c r="E2709" s="4">
        <f t="shared" si="84"/>
        <v>44095</v>
      </c>
      <c r="F2709">
        <f t="shared" si="85"/>
        <v>934</v>
      </c>
    </row>
    <row r="2710" spans="1:6" x14ac:dyDescent="0.55000000000000004">
      <c r="A2710">
        <v>5.7005708962086676E+18</v>
      </c>
      <c r="B2710" t="s">
        <v>365</v>
      </c>
      <c r="C2710" t="s">
        <v>10</v>
      </c>
      <c r="D2710">
        <v>1257</v>
      </c>
      <c r="E2710" s="4">
        <f t="shared" si="84"/>
        <v>44918</v>
      </c>
      <c r="F2710">
        <f t="shared" si="85"/>
        <v>111</v>
      </c>
    </row>
    <row r="2711" spans="1:6" x14ac:dyDescent="0.55000000000000004">
      <c r="A2711">
        <v>1.1466666695778251E+19</v>
      </c>
      <c r="B2711" t="s">
        <v>241</v>
      </c>
      <c r="C2711" t="s">
        <v>13</v>
      </c>
      <c r="D2711">
        <v>440</v>
      </c>
      <c r="E2711" s="4">
        <f t="shared" si="84"/>
        <v>43834</v>
      </c>
      <c r="F2711">
        <f t="shared" si="85"/>
        <v>1195</v>
      </c>
    </row>
    <row r="2712" spans="1:6" x14ac:dyDescent="0.55000000000000004">
      <c r="A2712">
        <v>2.6197504961558559E+18</v>
      </c>
      <c r="B2712" t="s">
        <v>1026</v>
      </c>
      <c r="C2712" t="s">
        <v>10</v>
      </c>
      <c r="D2712">
        <v>830</v>
      </c>
      <c r="E2712" s="4">
        <f t="shared" si="84"/>
        <v>44328</v>
      </c>
      <c r="F2712">
        <f t="shared" si="85"/>
        <v>701</v>
      </c>
    </row>
    <row r="2713" spans="1:6" x14ac:dyDescent="0.55000000000000004">
      <c r="A2713">
        <v>1.5644167160182211E+19</v>
      </c>
      <c r="B2713" t="s">
        <v>29</v>
      </c>
      <c r="C2713" t="s">
        <v>26</v>
      </c>
      <c r="D2713">
        <v>408</v>
      </c>
      <c r="E2713" s="4">
        <f t="shared" si="84"/>
        <v>44536</v>
      </c>
      <c r="F2713">
        <f t="shared" si="85"/>
        <v>493</v>
      </c>
    </row>
    <row r="2714" spans="1:6" x14ac:dyDescent="0.55000000000000004">
      <c r="A2714">
        <v>6.7373578365760123E+18</v>
      </c>
      <c r="B2714" t="s">
        <v>958</v>
      </c>
      <c r="C2714" t="s">
        <v>13</v>
      </c>
      <c r="D2714">
        <v>2540</v>
      </c>
      <c r="E2714" s="4">
        <f t="shared" si="84"/>
        <v>44756</v>
      </c>
      <c r="F2714">
        <f t="shared" si="85"/>
        <v>273</v>
      </c>
    </row>
    <row r="2715" spans="1:6" x14ac:dyDescent="0.55000000000000004">
      <c r="A2715">
        <v>2.1015068619281229E+18</v>
      </c>
      <c r="B2715" t="s">
        <v>536</v>
      </c>
      <c r="C2715" t="s">
        <v>13</v>
      </c>
      <c r="D2715">
        <v>8099</v>
      </c>
      <c r="E2715" s="4">
        <f t="shared" si="84"/>
        <v>44738</v>
      </c>
      <c r="F2715">
        <f t="shared" si="85"/>
        <v>291</v>
      </c>
    </row>
    <row r="2716" spans="1:6" x14ac:dyDescent="0.55000000000000004">
      <c r="A2716">
        <v>1.422979730041292E+19</v>
      </c>
      <c r="B2716" t="s">
        <v>22</v>
      </c>
      <c r="C2716" t="s">
        <v>10</v>
      </c>
      <c r="D2716">
        <v>160</v>
      </c>
      <c r="E2716" s="4">
        <f t="shared" si="84"/>
        <v>44560</v>
      </c>
      <c r="F2716">
        <f t="shared" si="85"/>
        <v>469</v>
      </c>
    </row>
    <row r="2717" spans="1:6" x14ac:dyDescent="0.55000000000000004">
      <c r="A2717">
        <v>9.4492502071620915E+18</v>
      </c>
      <c r="B2717" t="s">
        <v>1160</v>
      </c>
      <c r="C2717" t="s">
        <v>10</v>
      </c>
      <c r="D2717">
        <v>299</v>
      </c>
      <c r="E2717" s="4">
        <f t="shared" si="84"/>
        <v>44611</v>
      </c>
      <c r="F2717">
        <f t="shared" si="85"/>
        <v>418</v>
      </c>
    </row>
    <row r="2718" spans="1:6" x14ac:dyDescent="0.55000000000000004">
      <c r="A2718">
        <v>1.110002113022685E+19</v>
      </c>
      <c r="B2718" t="s">
        <v>27</v>
      </c>
      <c r="C2718" t="s">
        <v>5</v>
      </c>
      <c r="D2718">
        <v>1677</v>
      </c>
      <c r="E2718" s="4">
        <f t="shared" si="84"/>
        <v>44451</v>
      </c>
      <c r="F2718">
        <f t="shared" si="85"/>
        <v>578</v>
      </c>
    </row>
    <row r="2719" spans="1:6" x14ac:dyDescent="0.55000000000000004">
      <c r="A2719">
        <v>4.8261840652299284E+18</v>
      </c>
      <c r="B2719" t="s">
        <v>1161</v>
      </c>
      <c r="C2719" t="s">
        <v>13</v>
      </c>
      <c r="D2719">
        <v>2905</v>
      </c>
      <c r="E2719" s="4">
        <f t="shared" si="84"/>
        <v>44240</v>
      </c>
      <c r="F2719">
        <f t="shared" si="85"/>
        <v>789</v>
      </c>
    </row>
    <row r="2720" spans="1:6" x14ac:dyDescent="0.55000000000000004">
      <c r="A2720">
        <v>1.065258126072278E+19</v>
      </c>
      <c r="B2720" t="s">
        <v>209</v>
      </c>
      <c r="C2720" t="s">
        <v>10</v>
      </c>
      <c r="D2720">
        <v>3870</v>
      </c>
      <c r="E2720" s="4">
        <f t="shared" si="84"/>
        <v>44940</v>
      </c>
      <c r="F2720">
        <f t="shared" si="85"/>
        <v>89</v>
      </c>
    </row>
    <row r="2721" spans="1:6" x14ac:dyDescent="0.55000000000000004">
      <c r="A2721">
        <v>8.2607926074224865E+18</v>
      </c>
      <c r="B2721" t="s">
        <v>392</v>
      </c>
      <c r="C2721" t="s">
        <v>13</v>
      </c>
      <c r="D2721">
        <v>1610</v>
      </c>
      <c r="E2721" s="4">
        <f t="shared" si="84"/>
        <v>45013</v>
      </c>
      <c r="F2721">
        <f t="shared" si="85"/>
        <v>16</v>
      </c>
    </row>
    <row r="2722" spans="1:6" x14ac:dyDescent="0.55000000000000004">
      <c r="A2722">
        <v>1.090739695224781E+19</v>
      </c>
      <c r="B2722" t="s">
        <v>261</v>
      </c>
      <c r="C2722" t="s">
        <v>13</v>
      </c>
      <c r="D2722">
        <v>955</v>
      </c>
      <c r="E2722" s="4">
        <f t="shared" si="84"/>
        <v>44910</v>
      </c>
      <c r="F2722">
        <f t="shared" si="85"/>
        <v>119</v>
      </c>
    </row>
    <row r="2723" spans="1:6" x14ac:dyDescent="0.55000000000000004">
      <c r="A2723">
        <v>1.584657330440481E+19</v>
      </c>
      <c r="B2723" t="s">
        <v>263</v>
      </c>
      <c r="C2723" t="s">
        <v>13</v>
      </c>
      <c r="D2723">
        <v>6125</v>
      </c>
      <c r="E2723" s="4">
        <f t="shared" si="84"/>
        <v>44549</v>
      </c>
      <c r="F2723">
        <f t="shared" si="85"/>
        <v>480</v>
      </c>
    </row>
    <row r="2724" spans="1:6" x14ac:dyDescent="0.55000000000000004">
      <c r="A2724">
        <v>6.8089722655245609E+18</v>
      </c>
      <c r="B2724" t="s">
        <v>894</v>
      </c>
      <c r="C2724" t="s">
        <v>10</v>
      </c>
      <c r="D2724">
        <v>3330</v>
      </c>
      <c r="E2724" s="4">
        <f t="shared" si="84"/>
        <v>44214</v>
      </c>
      <c r="F2724">
        <f t="shared" si="85"/>
        <v>815</v>
      </c>
    </row>
    <row r="2725" spans="1:6" x14ac:dyDescent="0.55000000000000004">
      <c r="A2725">
        <v>3.3357923261150618E+18</v>
      </c>
      <c r="B2725" t="s">
        <v>795</v>
      </c>
      <c r="C2725" t="s">
        <v>13</v>
      </c>
      <c r="D2725">
        <v>378</v>
      </c>
      <c r="E2725" s="4">
        <f t="shared" si="84"/>
        <v>44698</v>
      </c>
      <c r="F2725">
        <f t="shared" si="85"/>
        <v>331</v>
      </c>
    </row>
    <row r="2726" spans="1:6" x14ac:dyDescent="0.55000000000000004">
      <c r="A2726">
        <v>1.8323586710948401E+18</v>
      </c>
      <c r="B2726" t="s">
        <v>1162</v>
      </c>
      <c r="C2726" t="s">
        <v>10</v>
      </c>
      <c r="D2726">
        <v>1614</v>
      </c>
      <c r="E2726" s="4">
        <f t="shared" si="84"/>
        <v>44101</v>
      </c>
      <c r="F2726">
        <f t="shared" si="85"/>
        <v>928</v>
      </c>
    </row>
    <row r="2727" spans="1:6" x14ac:dyDescent="0.55000000000000004">
      <c r="A2727">
        <v>2.5609919502683709E+18</v>
      </c>
      <c r="B2727" t="s">
        <v>1163</v>
      </c>
      <c r="C2727" t="s">
        <v>46</v>
      </c>
      <c r="D2727">
        <v>284</v>
      </c>
      <c r="E2727" s="4">
        <f t="shared" si="84"/>
        <v>43972</v>
      </c>
      <c r="F2727">
        <f t="shared" si="85"/>
        <v>1057</v>
      </c>
    </row>
    <row r="2728" spans="1:6" x14ac:dyDescent="0.55000000000000004">
      <c r="A2728">
        <v>7.8456795297527828E+18</v>
      </c>
      <c r="B2728" t="s">
        <v>969</v>
      </c>
      <c r="C2728" t="s">
        <v>10</v>
      </c>
      <c r="D2728">
        <v>276</v>
      </c>
      <c r="E2728" s="4">
        <f t="shared" si="84"/>
        <v>44303</v>
      </c>
      <c r="F2728">
        <f t="shared" si="85"/>
        <v>726</v>
      </c>
    </row>
    <row r="2729" spans="1:6" x14ac:dyDescent="0.55000000000000004">
      <c r="A2729">
        <v>1.054310189520607E+19</v>
      </c>
      <c r="B2729" t="s">
        <v>1164</v>
      </c>
      <c r="C2729" t="s">
        <v>10</v>
      </c>
      <c r="D2729">
        <v>1994</v>
      </c>
      <c r="E2729" s="4">
        <f t="shared" si="84"/>
        <v>44234</v>
      </c>
      <c r="F2729">
        <f t="shared" si="85"/>
        <v>795</v>
      </c>
    </row>
    <row r="2730" spans="1:6" x14ac:dyDescent="0.55000000000000004">
      <c r="A2730">
        <v>1.8105990993554E+19</v>
      </c>
      <c r="B2730" t="s">
        <v>1165</v>
      </c>
      <c r="C2730" t="s">
        <v>13</v>
      </c>
      <c r="D2730">
        <v>680</v>
      </c>
      <c r="E2730" s="4">
        <f t="shared" si="84"/>
        <v>44426</v>
      </c>
      <c r="F2730">
        <f t="shared" si="85"/>
        <v>603</v>
      </c>
    </row>
    <row r="2731" spans="1:6" x14ac:dyDescent="0.55000000000000004">
      <c r="A2731">
        <v>1.7279929082511679E+19</v>
      </c>
      <c r="B2731" t="s">
        <v>1081</v>
      </c>
      <c r="C2731" t="s">
        <v>10</v>
      </c>
      <c r="D2731">
        <v>525</v>
      </c>
      <c r="E2731" s="4">
        <f t="shared" si="84"/>
        <v>44572</v>
      </c>
      <c r="F2731">
        <f t="shared" si="85"/>
        <v>457</v>
      </c>
    </row>
    <row r="2732" spans="1:6" x14ac:dyDescent="0.55000000000000004">
      <c r="A2732">
        <v>1.546388297041663E+19</v>
      </c>
      <c r="B2732" t="s">
        <v>1072</v>
      </c>
      <c r="C2732" t="s">
        <v>10</v>
      </c>
      <c r="D2732">
        <v>1585</v>
      </c>
      <c r="E2732" s="4">
        <f t="shared" si="84"/>
        <v>44203</v>
      </c>
      <c r="F2732">
        <f t="shared" si="85"/>
        <v>826</v>
      </c>
    </row>
    <row r="2733" spans="1:6" x14ac:dyDescent="0.55000000000000004">
      <c r="A2733">
        <v>3.3761717883426061E+17</v>
      </c>
      <c r="B2733" t="s">
        <v>672</v>
      </c>
      <c r="C2733" t="s">
        <v>13</v>
      </c>
      <c r="D2733">
        <v>285</v>
      </c>
      <c r="E2733" s="4">
        <f t="shared" si="84"/>
        <v>43897</v>
      </c>
      <c r="F2733">
        <f t="shared" si="85"/>
        <v>1132</v>
      </c>
    </row>
    <row r="2734" spans="1:6" x14ac:dyDescent="0.55000000000000004">
      <c r="A2734">
        <v>5.3973038049061745E+18</v>
      </c>
      <c r="B2734" t="s">
        <v>1166</v>
      </c>
      <c r="C2734" t="s">
        <v>46</v>
      </c>
      <c r="D2734">
        <v>121845.5</v>
      </c>
      <c r="E2734" s="4">
        <f t="shared" si="84"/>
        <v>42549</v>
      </c>
      <c r="F2734">
        <f t="shared" si="85"/>
        <v>2480</v>
      </c>
    </row>
    <row r="2735" spans="1:6" x14ac:dyDescent="0.55000000000000004">
      <c r="A2735">
        <v>1.107480986434713E+19</v>
      </c>
      <c r="B2735" t="s">
        <v>330</v>
      </c>
      <c r="C2735" t="s">
        <v>7</v>
      </c>
      <c r="D2735">
        <v>516</v>
      </c>
      <c r="E2735" s="4">
        <f t="shared" si="84"/>
        <v>44282</v>
      </c>
      <c r="F2735">
        <f t="shared" si="85"/>
        <v>747</v>
      </c>
    </row>
    <row r="2736" spans="1:6" x14ac:dyDescent="0.55000000000000004">
      <c r="A2736">
        <v>1.363244259854325E+18</v>
      </c>
      <c r="B2736" t="s">
        <v>212</v>
      </c>
      <c r="C2736" t="s">
        <v>7</v>
      </c>
      <c r="D2736">
        <v>612</v>
      </c>
      <c r="E2736" s="4">
        <f t="shared" si="84"/>
        <v>43915</v>
      </c>
      <c r="F2736">
        <f t="shared" si="85"/>
        <v>1114</v>
      </c>
    </row>
    <row r="2737" spans="1:6" x14ac:dyDescent="0.55000000000000004">
      <c r="A2737">
        <v>4.9635871697967299E+18</v>
      </c>
      <c r="B2737" t="s">
        <v>1120</v>
      </c>
      <c r="C2737" t="s">
        <v>13</v>
      </c>
      <c r="D2737">
        <v>1900</v>
      </c>
      <c r="E2737" s="4">
        <f t="shared" si="84"/>
        <v>44319</v>
      </c>
      <c r="F2737">
        <f t="shared" si="85"/>
        <v>710</v>
      </c>
    </row>
    <row r="2738" spans="1:6" x14ac:dyDescent="0.55000000000000004">
      <c r="A2738">
        <v>1.4936326659362959E+19</v>
      </c>
      <c r="B2738" t="s">
        <v>726</v>
      </c>
      <c r="C2738" t="s">
        <v>13</v>
      </c>
      <c r="D2738">
        <v>992</v>
      </c>
      <c r="E2738" s="4">
        <f t="shared" si="84"/>
        <v>45011</v>
      </c>
      <c r="F2738">
        <f t="shared" si="85"/>
        <v>18</v>
      </c>
    </row>
    <row r="2739" spans="1:6" x14ac:dyDescent="0.55000000000000004">
      <c r="A2739">
        <v>1.7714807636284101E+19</v>
      </c>
      <c r="B2739" t="s">
        <v>261</v>
      </c>
      <c r="C2739" t="s">
        <v>13</v>
      </c>
      <c r="D2739">
        <v>6727</v>
      </c>
      <c r="E2739" s="4">
        <f t="shared" si="84"/>
        <v>44910</v>
      </c>
      <c r="F2739">
        <f t="shared" si="85"/>
        <v>119</v>
      </c>
    </row>
    <row r="2740" spans="1:6" x14ac:dyDescent="0.55000000000000004">
      <c r="A2740">
        <v>7.9604283635286159E+18</v>
      </c>
      <c r="B2740" t="s">
        <v>354</v>
      </c>
      <c r="C2740" t="s">
        <v>5</v>
      </c>
      <c r="D2740">
        <v>858</v>
      </c>
      <c r="E2740" s="4">
        <f t="shared" si="84"/>
        <v>44925</v>
      </c>
      <c r="F2740">
        <f t="shared" si="85"/>
        <v>104</v>
      </c>
    </row>
    <row r="2741" spans="1:6" x14ac:dyDescent="0.55000000000000004">
      <c r="A2741">
        <v>4.2728264437008538E+18</v>
      </c>
      <c r="B2741" t="s">
        <v>863</v>
      </c>
      <c r="C2741" t="s">
        <v>13</v>
      </c>
      <c r="D2741">
        <v>1064</v>
      </c>
      <c r="E2741" s="4">
        <f t="shared" si="84"/>
        <v>44881</v>
      </c>
      <c r="F2741">
        <f t="shared" si="85"/>
        <v>148</v>
      </c>
    </row>
    <row r="2742" spans="1:6" x14ac:dyDescent="0.55000000000000004">
      <c r="A2742">
        <v>1.378013292667358E+19</v>
      </c>
      <c r="B2742" t="s">
        <v>494</v>
      </c>
      <c r="C2742" t="s">
        <v>13</v>
      </c>
      <c r="D2742">
        <v>1497</v>
      </c>
      <c r="E2742" s="4">
        <f t="shared" si="84"/>
        <v>44891</v>
      </c>
      <c r="F2742">
        <f t="shared" si="85"/>
        <v>138</v>
      </c>
    </row>
    <row r="2743" spans="1:6" x14ac:dyDescent="0.55000000000000004">
      <c r="A2743">
        <v>1.4031811648580569E+19</v>
      </c>
      <c r="B2743" t="s">
        <v>627</v>
      </c>
      <c r="C2743" t="s">
        <v>7</v>
      </c>
      <c r="D2743">
        <v>290</v>
      </c>
      <c r="E2743" s="4">
        <f t="shared" si="84"/>
        <v>44810</v>
      </c>
      <c r="F2743">
        <f t="shared" si="85"/>
        <v>219</v>
      </c>
    </row>
    <row r="2744" spans="1:6" x14ac:dyDescent="0.55000000000000004">
      <c r="A2744">
        <v>9.6984337750557348E+18</v>
      </c>
      <c r="B2744" t="s">
        <v>902</v>
      </c>
      <c r="C2744" t="s">
        <v>7</v>
      </c>
      <c r="D2744">
        <v>2260</v>
      </c>
      <c r="E2744" s="4">
        <f t="shared" si="84"/>
        <v>44730</v>
      </c>
      <c r="F2744">
        <f t="shared" si="85"/>
        <v>299</v>
      </c>
    </row>
    <row r="2745" spans="1:6" x14ac:dyDescent="0.55000000000000004">
      <c r="A2745">
        <v>1.3902923977509911E+19</v>
      </c>
      <c r="B2745" t="s">
        <v>1167</v>
      </c>
      <c r="C2745" t="s">
        <v>13</v>
      </c>
      <c r="D2745">
        <v>204</v>
      </c>
      <c r="E2745" s="4">
        <f t="shared" si="84"/>
        <v>43807</v>
      </c>
      <c r="F2745">
        <f t="shared" si="85"/>
        <v>1222</v>
      </c>
    </row>
    <row r="2746" spans="1:6" x14ac:dyDescent="0.55000000000000004">
      <c r="A2746">
        <v>7.5811886889476536E+18</v>
      </c>
      <c r="B2746" t="s">
        <v>290</v>
      </c>
      <c r="C2746" t="s">
        <v>10</v>
      </c>
      <c r="D2746">
        <v>473</v>
      </c>
      <c r="E2746" s="4">
        <f t="shared" si="84"/>
        <v>44639</v>
      </c>
      <c r="F2746">
        <f t="shared" si="85"/>
        <v>390</v>
      </c>
    </row>
    <row r="2747" spans="1:6" x14ac:dyDescent="0.55000000000000004">
      <c r="A2747">
        <v>1.14714685135289E+19</v>
      </c>
      <c r="B2747" t="s">
        <v>503</v>
      </c>
      <c r="C2747" t="s">
        <v>13</v>
      </c>
      <c r="D2747">
        <v>1776</v>
      </c>
      <c r="E2747" s="4">
        <f t="shared" si="84"/>
        <v>44480</v>
      </c>
      <c r="F2747">
        <f t="shared" si="85"/>
        <v>549</v>
      </c>
    </row>
    <row r="2748" spans="1:6" x14ac:dyDescent="0.55000000000000004">
      <c r="A2748">
        <v>1.015165737764199E+19</v>
      </c>
      <c r="B2748" t="s">
        <v>354</v>
      </c>
      <c r="C2748" t="s">
        <v>13</v>
      </c>
      <c r="D2748">
        <v>4091</v>
      </c>
      <c r="E2748" s="4">
        <f t="shared" si="84"/>
        <v>44925</v>
      </c>
      <c r="F2748">
        <f t="shared" si="85"/>
        <v>104</v>
      </c>
    </row>
    <row r="2749" spans="1:6" x14ac:dyDescent="0.55000000000000004">
      <c r="A2749">
        <v>9.0474318240599982E+18</v>
      </c>
      <c r="B2749" t="s">
        <v>940</v>
      </c>
      <c r="C2749" t="s">
        <v>13</v>
      </c>
      <c r="D2749">
        <v>6483</v>
      </c>
      <c r="E2749" s="4">
        <f t="shared" si="84"/>
        <v>44776</v>
      </c>
      <c r="F2749">
        <f t="shared" si="85"/>
        <v>253</v>
      </c>
    </row>
    <row r="2750" spans="1:6" x14ac:dyDescent="0.55000000000000004">
      <c r="A2750">
        <v>8.9188782512294784E+17</v>
      </c>
      <c r="B2750" t="s">
        <v>195</v>
      </c>
      <c r="C2750" t="s">
        <v>10</v>
      </c>
      <c r="D2750">
        <v>98</v>
      </c>
      <c r="E2750" s="4">
        <f t="shared" si="84"/>
        <v>44640</v>
      </c>
      <c r="F2750">
        <f t="shared" si="85"/>
        <v>389</v>
      </c>
    </row>
    <row r="2751" spans="1:6" x14ac:dyDescent="0.55000000000000004">
      <c r="A2751">
        <v>1.609852388043197E+19</v>
      </c>
      <c r="B2751" t="s">
        <v>711</v>
      </c>
      <c r="C2751" t="s">
        <v>13</v>
      </c>
      <c r="D2751">
        <v>6930</v>
      </c>
      <c r="E2751" s="4">
        <f t="shared" si="84"/>
        <v>44498</v>
      </c>
      <c r="F2751">
        <f t="shared" si="85"/>
        <v>531</v>
      </c>
    </row>
    <row r="2752" spans="1:6" x14ac:dyDescent="0.55000000000000004">
      <c r="A2752">
        <v>3.2447675441447608E+18</v>
      </c>
      <c r="B2752" t="s">
        <v>145</v>
      </c>
      <c r="C2752" t="s">
        <v>13</v>
      </c>
      <c r="D2752">
        <v>6900</v>
      </c>
      <c r="E2752" s="4">
        <f t="shared" si="84"/>
        <v>44662</v>
      </c>
      <c r="F2752">
        <f t="shared" si="85"/>
        <v>367</v>
      </c>
    </row>
    <row r="2753" spans="1:6" x14ac:dyDescent="0.55000000000000004">
      <c r="A2753">
        <v>1.522193412101396E+18</v>
      </c>
      <c r="B2753" t="s">
        <v>1168</v>
      </c>
      <c r="C2753" t="s">
        <v>13</v>
      </c>
      <c r="D2753">
        <v>910</v>
      </c>
      <c r="E2753" s="4">
        <f t="shared" si="84"/>
        <v>44295</v>
      </c>
      <c r="F2753">
        <f t="shared" si="85"/>
        <v>734</v>
      </c>
    </row>
    <row r="2754" spans="1:6" x14ac:dyDescent="0.55000000000000004">
      <c r="A2754">
        <v>1.56524110507473E+19</v>
      </c>
      <c r="B2754" t="s">
        <v>1169</v>
      </c>
      <c r="C2754" t="s">
        <v>13</v>
      </c>
      <c r="D2754">
        <v>470</v>
      </c>
      <c r="E2754" s="4">
        <f t="shared" si="84"/>
        <v>44405</v>
      </c>
      <c r="F2754">
        <f t="shared" si="85"/>
        <v>624</v>
      </c>
    </row>
    <row r="2755" spans="1:6" x14ac:dyDescent="0.55000000000000004">
      <c r="A2755">
        <v>3.4031196728040279E+18</v>
      </c>
      <c r="B2755" t="s">
        <v>1009</v>
      </c>
      <c r="C2755" t="s">
        <v>13</v>
      </c>
      <c r="D2755">
        <v>7365</v>
      </c>
      <c r="E2755" s="4">
        <f t="shared" ref="E2755:E2818" si="86">DATEVALUE(B2755)</f>
        <v>44795</v>
      </c>
      <c r="F2755">
        <f t="shared" ref="F2755:F2818" si="87">$H$1-E2755</f>
        <v>234</v>
      </c>
    </row>
    <row r="2756" spans="1:6" x14ac:dyDescent="0.55000000000000004">
      <c r="A2756">
        <v>1.4216710582739651E+19</v>
      </c>
      <c r="B2756" t="s">
        <v>520</v>
      </c>
      <c r="C2756" t="s">
        <v>13</v>
      </c>
      <c r="D2756">
        <v>1689</v>
      </c>
      <c r="E2756" s="4">
        <f t="shared" si="86"/>
        <v>44412</v>
      </c>
      <c r="F2756">
        <f t="shared" si="87"/>
        <v>617</v>
      </c>
    </row>
    <row r="2757" spans="1:6" x14ac:dyDescent="0.55000000000000004">
      <c r="A2757">
        <v>1.2726228110193639E+19</v>
      </c>
      <c r="B2757" t="s">
        <v>862</v>
      </c>
      <c r="C2757" t="s">
        <v>10</v>
      </c>
      <c r="D2757">
        <v>3.99</v>
      </c>
      <c r="E2757" s="4">
        <f t="shared" si="86"/>
        <v>44394</v>
      </c>
      <c r="F2757">
        <f t="shared" si="87"/>
        <v>635</v>
      </c>
    </row>
    <row r="2758" spans="1:6" x14ac:dyDescent="0.55000000000000004">
      <c r="A2758">
        <v>1.015165737764199E+19</v>
      </c>
      <c r="B2758" t="s">
        <v>1170</v>
      </c>
      <c r="C2758" t="s">
        <v>10</v>
      </c>
      <c r="D2758">
        <v>431</v>
      </c>
      <c r="E2758" s="4">
        <f t="shared" si="86"/>
        <v>44044</v>
      </c>
      <c r="F2758">
        <f t="shared" si="87"/>
        <v>985</v>
      </c>
    </row>
    <row r="2759" spans="1:6" x14ac:dyDescent="0.55000000000000004">
      <c r="A2759">
        <v>1.284150528335927E+18</v>
      </c>
      <c r="B2759" t="s">
        <v>1171</v>
      </c>
      <c r="C2759" t="s">
        <v>13</v>
      </c>
      <c r="D2759">
        <v>2530</v>
      </c>
      <c r="E2759" s="4">
        <f t="shared" si="86"/>
        <v>44526</v>
      </c>
      <c r="F2759">
        <f t="shared" si="87"/>
        <v>503</v>
      </c>
    </row>
    <row r="2760" spans="1:6" x14ac:dyDescent="0.55000000000000004">
      <c r="A2760">
        <v>1.1702806551466799E+19</v>
      </c>
      <c r="B2760" t="s">
        <v>1094</v>
      </c>
      <c r="C2760" t="s">
        <v>50</v>
      </c>
      <c r="D2760">
        <v>64</v>
      </c>
      <c r="E2760" s="4">
        <f t="shared" si="86"/>
        <v>44059</v>
      </c>
      <c r="F2760">
        <f t="shared" si="87"/>
        <v>970</v>
      </c>
    </row>
    <row r="2761" spans="1:6" x14ac:dyDescent="0.55000000000000004">
      <c r="A2761">
        <v>1.3866389946631281E+19</v>
      </c>
      <c r="B2761" t="s">
        <v>570</v>
      </c>
      <c r="C2761" t="s">
        <v>10</v>
      </c>
      <c r="D2761">
        <v>2322</v>
      </c>
      <c r="E2761" s="4">
        <f t="shared" si="86"/>
        <v>44490</v>
      </c>
      <c r="F2761">
        <f t="shared" si="87"/>
        <v>539</v>
      </c>
    </row>
    <row r="2762" spans="1:6" x14ac:dyDescent="0.55000000000000004">
      <c r="A2762">
        <v>1.627222207656344E+19</v>
      </c>
      <c r="B2762" t="s">
        <v>229</v>
      </c>
      <c r="C2762" t="s">
        <v>10</v>
      </c>
      <c r="D2762">
        <v>1257</v>
      </c>
      <c r="E2762" s="4">
        <f t="shared" si="86"/>
        <v>44960</v>
      </c>
      <c r="F2762">
        <f t="shared" si="87"/>
        <v>69</v>
      </c>
    </row>
    <row r="2763" spans="1:6" x14ac:dyDescent="0.55000000000000004">
      <c r="A2763">
        <v>5.3973038049061745E+18</v>
      </c>
      <c r="B2763" t="s">
        <v>1172</v>
      </c>
      <c r="C2763" t="s">
        <v>7</v>
      </c>
      <c r="D2763">
        <v>497856.7</v>
      </c>
      <c r="E2763" s="4">
        <f t="shared" si="86"/>
        <v>42538</v>
      </c>
      <c r="F2763">
        <f t="shared" si="87"/>
        <v>2491</v>
      </c>
    </row>
    <row r="2764" spans="1:6" x14ac:dyDescent="0.55000000000000004">
      <c r="A2764">
        <v>1.4100483328214159E+19</v>
      </c>
      <c r="B2764" t="s">
        <v>280</v>
      </c>
      <c r="C2764" t="s">
        <v>13</v>
      </c>
      <c r="D2764">
        <v>890</v>
      </c>
      <c r="E2764" s="4">
        <f t="shared" si="86"/>
        <v>44593</v>
      </c>
      <c r="F2764">
        <f t="shared" si="87"/>
        <v>436</v>
      </c>
    </row>
    <row r="2765" spans="1:6" x14ac:dyDescent="0.55000000000000004">
      <c r="A2765">
        <v>1.4456830229592809E+19</v>
      </c>
      <c r="B2765" t="s">
        <v>1015</v>
      </c>
      <c r="C2765" t="s">
        <v>13</v>
      </c>
      <c r="D2765">
        <v>1716</v>
      </c>
      <c r="E2765" s="4">
        <f t="shared" si="86"/>
        <v>44440</v>
      </c>
      <c r="F2765">
        <f t="shared" si="87"/>
        <v>589</v>
      </c>
    </row>
    <row r="2766" spans="1:6" x14ac:dyDescent="0.55000000000000004">
      <c r="A2766">
        <v>1.302942212458215E+19</v>
      </c>
      <c r="B2766" t="s">
        <v>1092</v>
      </c>
      <c r="C2766" t="s">
        <v>10</v>
      </c>
      <c r="D2766">
        <v>11070</v>
      </c>
      <c r="E2766" s="4">
        <f t="shared" si="86"/>
        <v>43958</v>
      </c>
      <c r="F2766">
        <f t="shared" si="87"/>
        <v>1071</v>
      </c>
    </row>
    <row r="2767" spans="1:6" x14ac:dyDescent="0.55000000000000004">
      <c r="A2767">
        <v>2.663254991129406E+18</v>
      </c>
      <c r="B2767" t="s">
        <v>349</v>
      </c>
      <c r="C2767" t="s">
        <v>13</v>
      </c>
      <c r="D2767">
        <v>18228</v>
      </c>
      <c r="E2767" s="4">
        <f t="shared" si="86"/>
        <v>44502</v>
      </c>
      <c r="F2767">
        <f t="shared" si="87"/>
        <v>527</v>
      </c>
    </row>
    <row r="2768" spans="1:6" x14ac:dyDescent="0.55000000000000004">
      <c r="A2768">
        <v>4.5930178229070321E+18</v>
      </c>
      <c r="B2768" t="s">
        <v>472</v>
      </c>
      <c r="C2768" t="s">
        <v>10</v>
      </c>
      <c r="D2768">
        <v>338</v>
      </c>
      <c r="E2768" s="4">
        <f t="shared" si="86"/>
        <v>44769</v>
      </c>
      <c r="F2768">
        <f t="shared" si="87"/>
        <v>260</v>
      </c>
    </row>
    <row r="2769" spans="1:6" x14ac:dyDescent="0.55000000000000004">
      <c r="A2769">
        <v>1.78681892567855E+19</v>
      </c>
      <c r="B2769" t="s">
        <v>15</v>
      </c>
      <c r="C2769" t="s">
        <v>50</v>
      </c>
      <c r="D2769">
        <v>59</v>
      </c>
      <c r="E2769" s="4">
        <f t="shared" si="86"/>
        <v>44212</v>
      </c>
      <c r="F2769">
        <f t="shared" si="87"/>
        <v>817</v>
      </c>
    </row>
    <row r="2770" spans="1:6" x14ac:dyDescent="0.55000000000000004">
      <c r="A2770">
        <v>2.0396979990972869E+18</v>
      </c>
      <c r="B2770" t="s">
        <v>366</v>
      </c>
      <c r="C2770" t="s">
        <v>10</v>
      </c>
      <c r="D2770">
        <v>199</v>
      </c>
      <c r="E2770" s="4">
        <f t="shared" si="86"/>
        <v>44746</v>
      </c>
      <c r="F2770">
        <f t="shared" si="87"/>
        <v>283</v>
      </c>
    </row>
    <row r="2771" spans="1:6" x14ac:dyDescent="0.55000000000000004">
      <c r="A2771">
        <v>1.0825347330381611E+19</v>
      </c>
      <c r="B2771" t="s">
        <v>466</v>
      </c>
      <c r="C2771" t="s">
        <v>50</v>
      </c>
      <c r="D2771">
        <v>58</v>
      </c>
      <c r="E2771" s="4">
        <f t="shared" si="86"/>
        <v>44624</v>
      </c>
      <c r="F2771">
        <f t="shared" si="87"/>
        <v>405</v>
      </c>
    </row>
    <row r="2772" spans="1:6" x14ac:dyDescent="0.55000000000000004">
      <c r="A2772">
        <v>1.646635473202792E+19</v>
      </c>
      <c r="B2772" t="s">
        <v>392</v>
      </c>
      <c r="C2772" t="s">
        <v>10</v>
      </c>
      <c r="D2772">
        <v>598</v>
      </c>
      <c r="E2772" s="4">
        <f t="shared" si="86"/>
        <v>45013</v>
      </c>
      <c r="F2772">
        <f t="shared" si="87"/>
        <v>16</v>
      </c>
    </row>
    <row r="2773" spans="1:6" x14ac:dyDescent="0.55000000000000004">
      <c r="A2773">
        <v>2.2861909734112389E+18</v>
      </c>
      <c r="B2773" t="s">
        <v>1070</v>
      </c>
      <c r="C2773" t="s">
        <v>10</v>
      </c>
      <c r="D2773">
        <v>390</v>
      </c>
      <c r="E2773" s="4">
        <f t="shared" si="86"/>
        <v>44869</v>
      </c>
      <c r="F2773">
        <f t="shared" si="87"/>
        <v>160</v>
      </c>
    </row>
    <row r="2774" spans="1:6" x14ac:dyDescent="0.55000000000000004">
      <c r="A2774">
        <v>1.780933424292872E+19</v>
      </c>
      <c r="B2774" t="s">
        <v>594</v>
      </c>
      <c r="C2774" t="s">
        <v>13</v>
      </c>
      <c r="D2774">
        <v>1563</v>
      </c>
      <c r="E2774" s="4">
        <f t="shared" si="86"/>
        <v>44638</v>
      </c>
      <c r="F2774">
        <f t="shared" si="87"/>
        <v>391</v>
      </c>
    </row>
    <row r="2775" spans="1:6" x14ac:dyDescent="0.55000000000000004">
      <c r="A2775">
        <v>1.4124490964674601E+19</v>
      </c>
      <c r="B2775" t="s">
        <v>914</v>
      </c>
      <c r="C2775" t="s">
        <v>7</v>
      </c>
      <c r="D2775">
        <v>281</v>
      </c>
      <c r="E2775" s="4">
        <f t="shared" si="86"/>
        <v>44505</v>
      </c>
      <c r="F2775">
        <f t="shared" si="87"/>
        <v>524</v>
      </c>
    </row>
    <row r="2776" spans="1:6" x14ac:dyDescent="0.55000000000000004">
      <c r="A2776">
        <v>5.1034642093638625E+18</v>
      </c>
      <c r="B2776" t="s">
        <v>148</v>
      </c>
      <c r="C2776" t="s">
        <v>7</v>
      </c>
      <c r="D2776">
        <v>6300</v>
      </c>
      <c r="E2776" s="4">
        <f t="shared" si="86"/>
        <v>44005</v>
      </c>
      <c r="F2776">
        <f t="shared" si="87"/>
        <v>1024</v>
      </c>
    </row>
    <row r="2777" spans="1:6" x14ac:dyDescent="0.55000000000000004">
      <c r="A2777">
        <v>3.5856296985564948E+18</v>
      </c>
      <c r="B2777" t="s">
        <v>816</v>
      </c>
      <c r="C2777" t="s">
        <v>13</v>
      </c>
      <c r="D2777">
        <v>285</v>
      </c>
      <c r="E2777" s="4">
        <f t="shared" si="86"/>
        <v>43796</v>
      </c>
      <c r="F2777">
        <f t="shared" si="87"/>
        <v>1233</v>
      </c>
    </row>
    <row r="2778" spans="1:6" x14ac:dyDescent="0.55000000000000004">
      <c r="A2778">
        <v>1.6012773091087811E+19</v>
      </c>
      <c r="B2778" t="s">
        <v>54</v>
      </c>
      <c r="C2778" t="s">
        <v>7</v>
      </c>
      <c r="D2778">
        <v>227</v>
      </c>
      <c r="E2778" s="4">
        <f t="shared" si="86"/>
        <v>44943</v>
      </c>
      <c r="F2778">
        <f t="shared" si="87"/>
        <v>86</v>
      </c>
    </row>
    <row r="2779" spans="1:6" x14ac:dyDescent="0.55000000000000004">
      <c r="A2779">
        <v>3.9440220148222531E+18</v>
      </c>
      <c r="B2779" t="s">
        <v>939</v>
      </c>
      <c r="C2779" t="s">
        <v>5</v>
      </c>
      <c r="D2779">
        <v>990</v>
      </c>
      <c r="E2779" s="4">
        <f t="shared" si="86"/>
        <v>44768</v>
      </c>
      <c r="F2779">
        <f t="shared" si="87"/>
        <v>261</v>
      </c>
    </row>
    <row r="2780" spans="1:6" x14ac:dyDescent="0.55000000000000004">
      <c r="A2780">
        <v>5.718961874495673E+17</v>
      </c>
      <c r="B2780" t="s">
        <v>1068</v>
      </c>
      <c r="C2780" t="s">
        <v>13</v>
      </c>
      <c r="D2780">
        <v>833</v>
      </c>
      <c r="E2780" s="4">
        <f t="shared" si="86"/>
        <v>44859</v>
      </c>
      <c r="F2780">
        <f t="shared" si="87"/>
        <v>170</v>
      </c>
    </row>
    <row r="2781" spans="1:6" x14ac:dyDescent="0.55000000000000004">
      <c r="A2781">
        <v>1.76979563705582E+19</v>
      </c>
      <c r="B2781" t="s">
        <v>263</v>
      </c>
      <c r="C2781" t="s">
        <v>10</v>
      </c>
      <c r="D2781">
        <v>3613</v>
      </c>
      <c r="E2781" s="4">
        <f t="shared" si="86"/>
        <v>44549</v>
      </c>
      <c r="F2781">
        <f t="shared" si="87"/>
        <v>480</v>
      </c>
    </row>
    <row r="2782" spans="1:6" x14ac:dyDescent="0.55000000000000004">
      <c r="A2782">
        <v>3.283349759280599E+18</v>
      </c>
      <c r="B2782" t="s">
        <v>567</v>
      </c>
      <c r="C2782" t="s">
        <v>10</v>
      </c>
      <c r="D2782">
        <v>613</v>
      </c>
      <c r="E2782" s="4">
        <f t="shared" si="86"/>
        <v>43771</v>
      </c>
      <c r="F2782">
        <f t="shared" si="87"/>
        <v>1258</v>
      </c>
    </row>
    <row r="2783" spans="1:6" x14ac:dyDescent="0.55000000000000004">
      <c r="A2783">
        <v>6.4675072884870011E+18</v>
      </c>
      <c r="B2783" t="s">
        <v>635</v>
      </c>
      <c r="C2783" t="s">
        <v>50</v>
      </c>
      <c r="D2783">
        <v>2520</v>
      </c>
      <c r="E2783" s="4">
        <f t="shared" si="86"/>
        <v>45020</v>
      </c>
      <c r="F2783">
        <f t="shared" si="87"/>
        <v>9</v>
      </c>
    </row>
    <row r="2784" spans="1:6" x14ac:dyDescent="0.55000000000000004">
      <c r="A2784">
        <v>3.178430187051071E+18</v>
      </c>
      <c r="B2784" t="s">
        <v>234</v>
      </c>
      <c r="C2784" t="s">
        <v>10</v>
      </c>
      <c r="D2784">
        <v>570</v>
      </c>
      <c r="E2784" s="4">
        <f t="shared" si="86"/>
        <v>44766</v>
      </c>
      <c r="F2784">
        <f t="shared" si="87"/>
        <v>263</v>
      </c>
    </row>
    <row r="2785" spans="1:6" x14ac:dyDescent="0.55000000000000004">
      <c r="A2785">
        <v>1.2061880677718579E+19</v>
      </c>
      <c r="B2785" t="s">
        <v>97</v>
      </c>
      <c r="C2785" t="s">
        <v>10</v>
      </c>
      <c r="D2785">
        <v>12390</v>
      </c>
      <c r="E2785" s="4">
        <f t="shared" si="86"/>
        <v>44444</v>
      </c>
      <c r="F2785">
        <f t="shared" si="87"/>
        <v>585</v>
      </c>
    </row>
    <row r="2786" spans="1:6" x14ac:dyDescent="0.55000000000000004">
      <c r="A2786">
        <v>6.386093456178901E+18</v>
      </c>
      <c r="B2786" t="s">
        <v>1034</v>
      </c>
      <c r="C2786" t="s">
        <v>26</v>
      </c>
      <c r="D2786">
        <v>389</v>
      </c>
      <c r="E2786" s="4">
        <f t="shared" si="86"/>
        <v>44227</v>
      </c>
      <c r="F2786">
        <f t="shared" si="87"/>
        <v>802</v>
      </c>
    </row>
    <row r="2787" spans="1:6" x14ac:dyDescent="0.55000000000000004">
      <c r="A2787">
        <v>8.076829276577236E+18</v>
      </c>
      <c r="B2787" t="s">
        <v>444</v>
      </c>
      <c r="C2787" t="s">
        <v>13</v>
      </c>
      <c r="D2787">
        <v>11060</v>
      </c>
      <c r="E2787" s="4">
        <f t="shared" si="86"/>
        <v>44606</v>
      </c>
      <c r="F2787">
        <f t="shared" si="87"/>
        <v>423</v>
      </c>
    </row>
    <row r="2788" spans="1:6" x14ac:dyDescent="0.55000000000000004">
      <c r="A2788">
        <v>9.3759268339452088E+18</v>
      </c>
      <c r="B2788" t="s">
        <v>953</v>
      </c>
      <c r="C2788" t="s">
        <v>13</v>
      </c>
      <c r="D2788">
        <v>338</v>
      </c>
      <c r="E2788" s="4">
        <f t="shared" si="86"/>
        <v>44579</v>
      </c>
      <c r="F2788">
        <f t="shared" si="87"/>
        <v>450</v>
      </c>
    </row>
    <row r="2789" spans="1:6" x14ac:dyDescent="0.55000000000000004">
      <c r="A2789">
        <v>1.494118160307739E+19</v>
      </c>
      <c r="B2789" t="s">
        <v>969</v>
      </c>
      <c r="C2789" t="s">
        <v>10</v>
      </c>
      <c r="D2789">
        <v>1314</v>
      </c>
      <c r="E2789" s="4">
        <f t="shared" si="86"/>
        <v>44303</v>
      </c>
      <c r="F2789">
        <f t="shared" si="87"/>
        <v>726</v>
      </c>
    </row>
    <row r="2790" spans="1:6" x14ac:dyDescent="0.55000000000000004">
      <c r="A2790">
        <v>1.1338584012558399E+19</v>
      </c>
      <c r="B2790" t="s">
        <v>44</v>
      </c>
      <c r="C2790" t="s">
        <v>10</v>
      </c>
      <c r="D2790">
        <v>2990</v>
      </c>
      <c r="E2790" s="4">
        <f t="shared" si="86"/>
        <v>44867</v>
      </c>
      <c r="F2790">
        <f t="shared" si="87"/>
        <v>162</v>
      </c>
    </row>
    <row r="2791" spans="1:6" x14ac:dyDescent="0.55000000000000004">
      <c r="A2791">
        <v>5.8340753107297587E+18</v>
      </c>
      <c r="B2791" t="s">
        <v>497</v>
      </c>
      <c r="C2791" t="s">
        <v>13</v>
      </c>
      <c r="D2791">
        <v>1226</v>
      </c>
      <c r="E2791" s="4">
        <f t="shared" si="86"/>
        <v>44676</v>
      </c>
      <c r="F2791">
        <f t="shared" si="87"/>
        <v>353</v>
      </c>
    </row>
    <row r="2792" spans="1:6" x14ac:dyDescent="0.55000000000000004">
      <c r="A2792">
        <v>1.647289932137508E+19</v>
      </c>
      <c r="B2792" t="s">
        <v>587</v>
      </c>
      <c r="C2792" t="s">
        <v>46</v>
      </c>
      <c r="D2792">
        <v>626</v>
      </c>
      <c r="E2792" s="4">
        <f t="shared" si="86"/>
        <v>44729</v>
      </c>
      <c r="F2792">
        <f t="shared" si="87"/>
        <v>300</v>
      </c>
    </row>
    <row r="2793" spans="1:6" x14ac:dyDescent="0.55000000000000004">
      <c r="A2793">
        <v>2.1445875065722711E+18</v>
      </c>
      <c r="B2793" t="s">
        <v>394</v>
      </c>
      <c r="C2793" t="s">
        <v>13</v>
      </c>
      <c r="D2793">
        <v>13090</v>
      </c>
      <c r="E2793" s="4">
        <f t="shared" si="86"/>
        <v>44819</v>
      </c>
      <c r="F2793">
        <f t="shared" si="87"/>
        <v>210</v>
      </c>
    </row>
    <row r="2794" spans="1:6" x14ac:dyDescent="0.55000000000000004">
      <c r="A2794">
        <v>6.0064479704031314E+18</v>
      </c>
      <c r="B2794" t="s">
        <v>274</v>
      </c>
      <c r="C2794" t="s">
        <v>10</v>
      </c>
      <c r="D2794">
        <v>190</v>
      </c>
      <c r="E2794" s="4">
        <f t="shared" si="86"/>
        <v>45026</v>
      </c>
      <c r="F2794">
        <f t="shared" si="87"/>
        <v>3</v>
      </c>
    </row>
    <row r="2795" spans="1:6" x14ac:dyDescent="0.55000000000000004">
      <c r="A2795">
        <v>1.178237675493468E+19</v>
      </c>
      <c r="B2795" t="s">
        <v>1173</v>
      </c>
      <c r="C2795" t="s">
        <v>26</v>
      </c>
      <c r="D2795">
        <v>660</v>
      </c>
      <c r="E2795" s="4">
        <f t="shared" si="86"/>
        <v>43857</v>
      </c>
      <c r="F2795">
        <f t="shared" si="87"/>
        <v>1172</v>
      </c>
    </row>
    <row r="2796" spans="1:6" x14ac:dyDescent="0.55000000000000004">
      <c r="A2796">
        <v>1.493495880360328E+19</v>
      </c>
      <c r="B2796" t="s">
        <v>1174</v>
      </c>
      <c r="C2796" t="s">
        <v>7</v>
      </c>
      <c r="D2796">
        <v>39</v>
      </c>
      <c r="E2796" s="4">
        <f t="shared" si="86"/>
        <v>43855</v>
      </c>
      <c r="F2796">
        <f t="shared" si="87"/>
        <v>1174</v>
      </c>
    </row>
    <row r="2797" spans="1:6" x14ac:dyDescent="0.55000000000000004">
      <c r="A2797">
        <v>8.0907281256138419E+17</v>
      </c>
      <c r="B2797" t="s">
        <v>540</v>
      </c>
      <c r="C2797" t="s">
        <v>10</v>
      </c>
      <c r="D2797">
        <v>9542</v>
      </c>
      <c r="E2797" s="4">
        <f t="shared" si="86"/>
        <v>44436</v>
      </c>
      <c r="F2797">
        <f t="shared" si="87"/>
        <v>593</v>
      </c>
    </row>
    <row r="2798" spans="1:6" x14ac:dyDescent="0.55000000000000004">
      <c r="A2798">
        <v>8.9323290244367526E+17</v>
      </c>
      <c r="B2798" t="s">
        <v>170</v>
      </c>
      <c r="C2798" t="s">
        <v>13</v>
      </c>
      <c r="D2798">
        <v>1485</v>
      </c>
      <c r="E2798" s="4">
        <f t="shared" si="86"/>
        <v>44615</v>
      </c>
      <c r="F2798">
        <f t="shared" si="87"/>
        <v>414</v>
      </c>
    </row>
    <row r="2799" spans="1:6" x14ac:dyDescent="0.55000000000000004">
      <c r="A2799">
        <v>5.6825257000827535E+18</v>
      </c>
      <c r="B2799" t="s">
        <v>599</v>
      </c>
      <c r="C2799" t="s">
        <v>10</v>
      </c>
      <c r="D2799">
        <v>1489</v>
      </c>
      <c r="E2799" s="4">
        <f t="shared" si="86"/>
        <v>44754</v>
      </c>
      <c r="F2799">
        <f t="shared" si="87"/>
        <v>275</v>
      </c>
    </row>
    <row r="2800" spans="1:6" x14ac:dyDescent="0.55000000000000004">
      <c r="A2800">
        <v>6.2331944931402336E+16</v>
      </c>
      <c r="B2800" t="s">
        <v>40</v>
      </c>
      <c r="C2800" t="s">
        <v>46</v>
      </c>
      <c r="D2800">
        <v>115</v>
      </c>
      <c r="E2800" s="4">
        <f t="shared" si="86"/>
        <v>44990</v>
      </c>
      <c r="F2800">
        <f t="shared" si="87"/>
        <v>39</v>
      </c>
    </row>
    <row r="2801" spans="1:6" x14ac:dyDescent="0.55000000000000004">
      <c r="A2801">
        <v>1.7157356656938309E+18</v>
      </c>
      <c r="B2801" t="s">
        <v>892</v>
      </c>
      <c r="C2801" t="s">
        <v>10</v>
      </c>
      <c r="D2801">
        <v>4046</v>
      </c>
      <c r="E2801" s="4">
        <f t="shared" si="86"/>
        <v>43718</v>
      </c>
      <c r="F2801">
        <f t="shared" si="87"/>
        <v>1311</v>
      </c>
    </row>
    <row r="2802" spans="1:6" x14ac:dyDescent="0.55000000000000004">
      <c r="A2802">
        <v>5.8649699749280215E+18</v>
      </c>
      <c r="B2802" t="s">
        <v>761</v>
      </c>
      <c r="C2802" t="s">
        <v>7</v>
      </c>
      <c r="D2802">
        <v>145</v>
      </c>
      <c r="E2802" s="4">
        <f t="shared" si="86"/>
        <v>43999</v>
      </c>
      <c r="F2802">
        <f t="shared" si="87"/>
        <v>1030</v>
      </c>
    </row>
    <row r="2803" spans="1:6" x14ac:dyDescent="0.55000000000000004">
      <c r="A2803">
        <v>3.148239023525054E+18</v>
      </c>
      <c r="B2803" t="s">
        <v>392</v>
      </c>
      <c r="C2803" t="s">
        <v>13</v>
      </c>
      <c r="D2803">
        <v>2697</v>
      </c>
      <c r="E2803" s="4">
        <f t="shared" si="86"/>
        <v>45013</v>
      </c>
      <c r="F2803">
        <f t="shared" si="87"/>
        <v>16</v>
      </c>
    </row>
    <row r="2804" spans="1:6" x14ac:dyDescent="0.55000000000000004">
      <c r="A2804">
        <v>1.7194383882598541E+18</v>
      </c>
      <c r="B2804" t="s">
        <v>432</v>
      </c>
      <c r="C2804" t="s">
        <v>13</v>
      </c>
      <c r="D2804">
        <v>10020</v>
      </c>
      <c r="E2804" s="4">
        <f t="shared" si="86"/>
        <v>44777</v>
      </c>
      <c r="F2804">
        <f t="shared" si="87"/>
        <v>252</v>
      </c>
    </row>
    <row r="2805" spans="1:6" x14ac:dyDescent="0.55000000000000004">
      <c r="A2805">
        <v>3.2028183476818959E+18</v>
      </c>
      <c r="B2805" t="s">
        <v>863</v>
      </c>
      <c r="C2805" t="s">
        <v>13</v>
      </c>
      <c r="D2805">
        <v>419</v>
      </c>
      <c r="E2805" s="4">
        <f t="shared" si="86"/>
        <v>44881</v>
      </c>
      <c r="F2805">
        <f t="shared" si="87"/>
        <v>148</v>
      </c>
    </row>
    <row r="2806" spans="1:6" x14ac:dyDescent="0.55000000000000004">
      <c r="A2806">
        <v>3.8213474236409672E+18</v>
      </c>
      <c r="B2806" t="s">
        <v>212</v>
      </c>
      <c r="C2806" t="s">
        <v>13</v>
      </c>
      <c r="D2806">
        <v>179</v>
      </c>
      <c r="E2806" s="4">
        <f t="shared" si="86"/>
        <v>43915</v>
      </c>
      <c r="F2806">
        <f t="shared" si="87"/>
        <v>1114</v>
      </c>
    </row>
    <row r="2807" spans="1:6" x14ac:dyDescent="0.55000000000000004">
      <c r="A2807">
        <v>1.830235197192389E+19</v>
      </c>
      <c r="B2807" t="s">
        <v>1175</v>
      </c>
      <c r="C2807" t="s">
        <v>10</v>
      </c>
      <c r="D2807">
        <v>13845</v>
      </c>
      <c r="E2807" s="4">
        <f t="shared" si="86"/>
        <v>44314</v>
      </c>
      <c r="F2807">
        <f t="shared" si="87"/>
        <v>715</v>
      </c>
    </row>
    <row r="2808" spans="1:6" x14ac:dyDescent="0.55000000000000004">
      <c r="A2808">
        <v>1.351887796399998E+19</v>
      </c>
      <c r="B2808" t="s">
        <v>1176</v>
      </c>
      <c r="C2808" t="s">
        <v>10</v>
      </c>
      <c r="D2808">
        <v>482</v>
      </c>
      <c r="E2808" s="4">
        <f t="shared" si="86"/>
        <v>43850</v>
      </c>
      <c r="F2808">
        <f t="shared" si="87"/>
        <v>1179</v>
      </c>
    </row>
    <row r="2809" spans="1:6" x14ac:dyDescent="0.55000000000000004">
      <c r="A2809">
        <v>1.5549230291114441E+19</v>
      </c>
      <c r="B2809" t="s">
        <v>62</v>
      </c>
      <c r="C2809" t="s">
        <v>50</v>
      </c>
      <c r="D2809">
        <v>105</v>
      </c>
      <c r="E2809" s="4">
        <f t="shared" si="86"/>
        <v>44349</v>
      </c>
      <c r="F2809">
        <f t="shared" si="87"/>
        <v>680</v>
      </c>
    </row>
    <row r="2810" spans="1:6" x14ac:dyDescent="0.55000000000000004">
      <c r="A2810">
        <v>1.082616171172949E+19</v>
      </c>
      <c r="B2810" t="s">
        <v>1131</v>
      </c>
      <c r="C2810" t="s">
        <v>10</v>
      </c>
      <c r="D2810">
        <v>439</v>
      </c>
      <c r="E2810" s="4">
        <f t="shared" si="86"/>
        <v>44365</v>
      </c>
      <c r="F2810">
        <f t="shared" si="87"/>
        <v>664</v>
      </c>
    </row>
    <row r="2811" spans="1:6" x14ac:dyDescent="0.55000000000000004">
      <c r="A2811">
        <v>1.2325779343734329E+19</v>
      </c>
      <c r="B2811" t="s">
        <v>871</v>
      </c>
      <c r="C2811" t="s">
        <v>7</v>
      </c>
      <c r="D2811">
        <v>597</v>
      </c>
      <c r="E2811" s="4">
        <f t="shared" si="86"/>
        <v>44492</v>
      </c>
      <c r="F2811">
        <f t="shared" si="87"/>
        <v>537</v>
      </c>
    </row>
    <row r="2812" spans="1:6" x14ac:dyDescent="0.55000000000000004">
      <c r="A2812">
        <v>8.4465724405097103E+18</v>
      </c>
      <c r="B2812" t="s">
        <v>142</v>
      </c>
      <c r="C2812" t="s">
        <v>13</v>
      </c>
      <c r="D2812">
        <v>930</v>
      </c>
      <c r="E2812" s="4">
        <f t="shared" si="86"/>
        <v>44272</v>
      </c>
      <c r="F2812">
        <f t="shared" si="87"/>
        <v>757</v>
      </c>
    </row>
    <row r="2813" spans="1:6" x14ac:dyDescent="0.55000000000000004">
      <c r="A2813">
        <v>1.264290519837441E+18</v>
      </c>
      <c r="B2813" t="s">
        <v>203</v>
      </c>
      <c r="C2813" t="s">
        <v>13</v>
      </c>
      <c r="D2813">
        <v>390</v>
      </c>
      <c r="E2813" s="4">
        <f t="shared" si="86"/>
        <v>44875</v>
      </c>
      <c r="F2813">
        <f t="shared" si="87"/>
        <v>154</v>
      </c>
    </row>
    <row r="2814" spans="1:6" x14ac:dyDescent="0.55000000000000004">
      <c r="A2814">
        <v>1.2685288237024381E+19</v>
      </c>
      <c r="B2814" t="s">
        <v>1021</v>
      </c>
      <c r="C2814" t="s">
        <v>46</v>
      </c>
      <c r="D2814">
        <v>373</v>
      </c>
      <c r="E2814" s="4">
        <f t="shared" si="86"/>
        <v>44000</v>
      </c>
      <c r="F2814">
        <f t="shared" si="87"/>
        <v>1029</v>
      </c>
    </row>
    <row r="2815" spans="1:6" x14ac:dyDescent="0.55000000000000004">
      <c r="A2815">
        <v>7.8708096775665695E+18</v>
      </c>
      <c r="B2815" t="s">
        <v>775</v>
      </c>
      <c r="C2815" t="s">
        <v>13</v>
      </c>
      <c r="D2815">
        <v>965</v>
      </c>
      <c r="E2815" s="4">
        <f t="shared" si="86"/>
        <v>44374</v>
      </c>
      <c r="F2815">
        <f t="shared" si="87"/>
        <v>655</v>
      </c>
    </row>
    <row r="2816" spans="1:6" x14ac:dyDescent="0.55000000000000004">
      <c r="A2816">
        <v>1.152853398103018E+18</v>
      </c>
      <c r="B2816" t="s">
        <v>558</v>
      </c>
      <c r="C2816" t="s">
        <v>7</v>
      </c>
      <c r="D2816">
        <v>1698</v>
      </c>
      <c r="E2816" s="4">
        <f t="shared" si="86"/>
        <v>44284</v>
      </c>
      <c r="F2816">
        <f t="shared" si="87"/>
        <v>745</v>
      </c>
    </row>
    <row r="2817" spans="1:6" x14ac:dyDescent="0.55000000000000004">
      <c r="A2817">
        <v>9.6473097955478285E+17</v>
      </c>
      <c r="B2817" t="s">
        <v>261</v>
      </c>
      <c r="C2817" t="s">
        <v>13</v>
      </c>
      <c r="D2817">
        <v>476</v>
      </c>
      <c r="E2817" s="4">
        <f t="shared" si="86"/>
        <v>44910</v>
      </c>
      <c r="F2817">
        <f t="shared" si="87"/>
        <v>119</v>
      </c>
    </row>
    <row r="2818" spans="1:6" x14ac:dyDescent="0.55000000000000004">
      <c r="A2818">
        <v>1.7584192800198799E+19</v>
      </c>
      <c r="B2818" t="s">
        <v>1053</v>
      </c>
      <c r="C2818" t="s">
        <v>10</v>
      </c>
      <c r="D2818">
        <v>135</v>
      </c>
      <c r="E2818" s="4">
        <f t="shared" si="86"/>
        <v>44244</v>
      </c>
      <c r="F2818">
        <f t="shared" si="87"/>
        <v>785</v>
      </c>
    </row>
    <row r="2819" spans="1:6" x14ac:dyDescent="0.55000000000000004">
      <c r="A2819">
        <v>7.6836926941930506E+18</v>
      </c>
      <c r="B2819" t="s">
        <v>909</v>
      </c>
      <c r="C2819" t="s">
        <v>10</v>
      </c>
      <c r="D2819">
        <v>1625</v>
      </c>
      <c r="E2819" s="4">
        <f t="shared" ref="E2819:E2882" si="88">DATEVALUE(B2819)</f>
        <v>44496</v>
      </c>
      <c r="F2819">
        <f t="shared" ref="F2819:F2882" si="89">$H$1-E2819</f>
        <v>533</v>
      </c>
    </row>
    <row r="2820" spans="1:6" x14ac:dyDescent="0.55000000000000004">
      <c r="A2820">
        <v>2.5758306272859781E+18</v>
      </c>
      <c r="B2820" t="s">
        <v>136</v>
      </c>
      <c r="C2820" t="s">
        <v>10</v>
      </c>
      <c r="D2820">
        <v>378</v>
      </c>
      <c r="E2820" s="4">
        <f t="shared" si="88"/>
        <v>44955</v>
      </c>
      <c r="F2820">
        <f t="shared" si="89"/>
        <v>74</v>
      </c>
    </row>
    <row r="2821" spans="1:6" x14ac:dyDescent="0.55000000000000004">
      <c r="A2821">
        <v>7.0551409579902822E+17</v>
      </c>
      <c r="B2821" t="s">
        <v>306</v>
      </c>
      <c r="C2821" t="s">
        <v>13</v>
      </c>
      <c r="D2821">
        <v>989</v>
      </c>
      <c r="E2821" s="4">
        <f t="shared" si="88"/>
        <v>44855</v>
      </c>
      <c r="F2821">
        <f t="shared" si="89"/>
        <v>174</v>
      </c>
    </row>
    <row r="2822" spans="1:6" x14ac:dyDescent="0.55000000000000004">
      <c r="A2822">
        <v>2.7658005217164191E+18</v>
      </c>
      <c r="B2822" t="s">
        <v>864</v>
      </c>
      <c r="C2822" t="s">
        <v>13</v>
      </c>
      <c r="D2822">
        <v>2717</v>
      </c>
      <c r="E2822" s="4">
        <f t="shared" si="88"/>
        <v>44401</v>
      </c>
      <c r="F2822">
        <f t="shared" si="89"/>
        <v>628</v>
      </c>
    </row>
    <row r="2823" spans="1:6" x14ac:dyDescent="0.55000000000000004">
      <c r="A2823">
        <v>1.2325779343734329E+19</v>
      </c>
      <c r="B2823" t="s">
        <v>105</v>
      </c>
      <c r="C2823" t="s">
        <v>5</v>
      </c>
      <c r="D2823">
        <v>2970</v>
      </c>
      <c r="E2823" s="4">
        <f t="shared" si="88"/>
        <v>44989</v>
      </c>
      <c r="F2823">
        <f t="shared" si="89"/>
        <v>40</v>
      </c>
    </row>
    <row r="2824" spans="1:6" x14ac:dyDescent="0.55000000000000004">
      <c r="A2824">
        <v>1.667248320503731E+19</v>
      </c>
      <c r="B2824" t="s">
        <v>712</v>
      </c>
      <c r="C2824" t="s">
        <v>13</v>
      </c>
      <c r="D2824">
        <v>162</v>
      </c>
      <c r="E2824" s="4">
        <f t="shared" si="88"/>
        <v>44470</v>
      </c>
      <c r="F2824">
        <f t="shared" si="89"/>
        <v>559</v>
      </c>
    </row>
    <row r="2825" spans="1:6" x14ac:dyDescent="0.55000000000000004">
      <c r="A2825">
        <v>1.6583533684433861E+19</v>
      </c>
      <c r="B2825" t="s">
        <v>164</v>
      </c>
      <c r="C2825" t="s">
        <v>5</v>
      </c>
      <c r="D2825">
        <v>582</v>
      </c>
      <c r="E2825" s="4">
        <f t="shared" si="88"/>
        <v>44324</v>
      </c>
      <c r="F2825">
        <f t="shared" si="89"/>
        <v>705</v>
      </c>
    </row>
    <row r="2826" spans="1:6" x14ac:dyDescent="0.55000000000000004">
      <c r="A2826">
        <v>1.3537907601576471E+19</v>
      </c>
      <c r="B2826" t="s">
        <v>1177</v>
      </c>
      <c r="C2826" t="s">
        <v>13</v>
      </c>
      <c r="D2826">
        <v>2789</v>
      </c>
      <c r="E2826" s="4">
        <f t="shared" si="88"/>
        <v>44553</v>
      </c>
      <c r="F2826">
        <f t="shared" si="89"/>
        <v>476</v>
      </c>
    </row>
    <row r="2827" spans="1:6" x14ac:dyDescent="0.55000000000000004">
      <c r="A2827">
        <v>1.460620150996985E+19</v>
      </c>
      <c r="B2827" t="s">
        <v>945</v>
      </c>
      <c r="C2827" t="s">
        <v>10</v>
      </c>
      <c r="D2827">
        <v>266</v>
      </c>
      <c r="E2827" s="4">
        <f t="shared" si="88"/>
        <v>44019</v>
      </c>
      <c r="F2827">
        <f t="shared" si="89"/>
        <v>1010</v>
      </c>
    </row>
    <row r="2828" spans="1:6" x14ac:dyDescent="0.55000000000000004">
      <c r="A2828">
        <v>1.3615365342194739E+19</v>
      </c>
      <c r="B2828" t="s">
        <v>690</v>
      </c>
      <c r="C2828" t="s">
        <v>10</v>
      </c>
      <c r="D2828">
        <v>890</v>
      </c>
      <c r="E2828" s="4">
        <f t="shared" si="88"/>
        <v>43838</v>
      </c>
      <c r="F2828">
        <f t="shared" si="89"/>
        <v>1191</v>
      </c>
    </row>
    <row r="2829" spans="1:6" x14ac:dyDescent="0.55000000000000004">
      <c r="A2829">
        <v>7.9305751184416246E+18</v>
      </c>
      <c r="B2829" t="s">
        <v>675</v>
      </c>
      <c r="C2829" t="s">
        <v>13</v>
      </c>
      <c r="D2829">
        <v>7791</v>
      </c>
      <c r="E2829" s="4">
        <f t="shared" si="88"/>
        <v>44033</v>
      </c>
      <c r="F2829">
        <f t="shared" si="89"/>
        <v>996</v>
      </c>
    </row>
    <row r="2830" spans="1:6" x14ac:dyDescent="0.55000000000000004">
      <c r="A2830">
        <v>1.178237675493468E+19</v>
      </c>
      <c r="B2830" t="s">
        <v>493</v>
      </c>
      <c r="C2830" t="s">
        <v>7</v>
      </c>
      <c r="D2830">
        <v>576</v>
      </c>
      <c r="E2830" s="4">
        <f t="shared" si="88"/>
        <v>43747</v>
      </c>
      <c r="F2830">
        <f t="shared" si="89"/>
        <v>1282</v>
      </c>
    </row>
    <row r="2831" spans="1:6" x14ac:dyDescent="0.55000000000000004">
      <c r="A2831">
        <v>2.5593155119467418E+18</v>
      </c>
      <c r="B2831" t="s">
        <v>643</v>
      </c>
      <c r="C2831" t="s">
        <v>13</v>
      </c>
      <c r="D2831">
        <v>2752</v>
      </c>
      <c r="E2831" s="4">
        <f t="shared" si="88"/>
        <v>44805</v>
      </c>
      <c r="F2831">
        <f t="shared" si="89"/>
        <v>224</v>
      </c>
    </row>
    <row r="2832" spans="1:6" x14ac:dyDescent="0.55000000000000004">
      <c r="A2832">
        <v>4.8818776375257528E+18</v>
      </c>
      <c r="B2832" t="s">
        <v>20</v>
      </c>
      <c r="C2832" t="s">
        <v>46</v>
      </c>
      <c r="D2832">
        <v>480</v>
      </c>
      <c r="E2832" s="4">
        <f t="shared" si="88"/>
        <v>44423</v>
      </c>
      <c r="F2832">
        <f t="shared" si="89"/>
        <v>606</v>
      </c>
    </row>
    <row r="2833" spans="1:6" x14ac:dyDescent="0.55000000000000004">
      <c r="A2833">
        <v>7.1585107620074312E+18</v>
      </c>
      <c r="B2833" t="s">
        <v>132</v>
      </c>
      <c r="C2833" t="s">
        <v>50</v>
      </c>
      <c r="D2833">
        <v>249</v>
      </c>
      <c r="E2833" s="4">
        <f t="shared" si="88"/>
        <v>44345</v>
      </c>
      <c r="F2833">
        <f t="shared" si="89"/>
        <v>684</v>
      </c>
    </row>
    <row r="2834" spans="1:6" x14ac:dyDescent="0.55000000000000004">
      <c r="A2834">
        <v>4.8261973668250235E+18</v>
      </c>
      <c r="B2834" t="s">
        <v>149</v>
      </c>
      <c r="C2834" t="s">
        <v>50</v>
      </c>
      <c r="D2834">
        <v>73</v>
      </c>
      <c r="E2834" s="4">
        <f t="shared" si="88"/>
        <v>43905</v>
      </c>
      <c r="F2834">
        <f t="shared" si="89"/>
        <v>1124</v>
      </c>
    </row>
    <row r="2835" spans="1:6" x14ac:dyDescent="0.55000000000000004">
      <c r="A2835">
        <v>1.41654505370513E+19</v>
      </c>
      <c r="B2835" t="s">
        <v>829</v>
      </c>
      <c r="C2835" t="s">
        <v>13</v>
      </c>
      <c r="D2835">
        <v>210</v>
      </c>
      <c r="E2835" s="4">
        <f t="shared" si="88"/>
        <v>44431</v>
      </c>
      <c r="F2835">
        <f t="shared" si="89"/>
        <v>598</v>
      </c>
    </row>
    <row r="2836" spans="1:6" x14ac:dyDescent="0.55000000000000004">
      <c r="A2836">
        <v>7.078790832576682E+18</v>
      </c>
      <c r="B2836" t="s">
        <v>23</v>
      </c>
      <c r="C2836" t="s">
        <v>13</v>
      </c>
      <c r="D2836">
        <v>477</v>
      </c>
      <c r="E2836" s="4">
        <f t="shared" si="88"/>
        <v>44337</v>
      </c>
      <c r="F2836">
        <f t="shared" si="89"/>
        <v>692</v>
      </c>
    </row>
    <row r="2837" spans="1:6" x14ac:dyDescent="0.55000000000000004">
      <c r="A2837">
        <v>9.0032645547577498E+17</v>
      </c>
      <c r="B2837" t="s">
        <v>1046</v>
      </c>
      <c r="C2837" t="s">
        <v>50</v>
      </c>
      <c r="D2837">
        <v>46</v>
      </c>
      <c r="E2837" s="4">
        <f t="shared" si="88"/>
        <v>43804</v>
      </c>
      <c r="F2837">
        <f t="shared" si="89"/>
        <v>1225</v>
      </c>
    </row>
    <row r="2838" spans="1:6" x14ac:dyDescent="0.55000000000000004">
      <c r="A2838">
        <v>7.6501057150357299E+18</v>
      </c>
      <c r="B2838" t="s">
        <v>199</v>
      </c>
      <c r="C2838" t="s">
        <v>13</v>
      </c>
      <c r="D2838">
        <v>411</v>
      </c>
      <c r="E2838" s="4">
        <f t="shared" si="88"/>
        <v>44095</v>
      </c>
      <c r="F2838">
        <f t="shared" si="89"/>
        <v>934</v>
      </c>
    </row>
    <row r="2839" spans="1:6" x14ac:dyDescent="0.55000000000000004">
      <c r="A2839">
        <v>3.4752083850087532E+18</v>
      </c>
      <c r="B2839" t="s">
        <v>212</v>
      </c>
      <c r="C2839" t="s">
        <v>13</v>
      </c>
      <c r="D2839">
        <v>812</v>
      </c>
      <c r="E2839" s="4">
        <f t="shared" si="88"/>
        <v>43915</v>
      </c>
      <c r="F2839">
        <f t="shared" si="89"/>
        <v>1114</v>
      </c>
    </row>
    <row r="2840" spans="1:6" x14ac:dyDescent="0.55000000000000004">
      <c r="A2840">
        <v>1.3568600865634161E+19</v>
      </c>
      <c r="B2840" t="s">
        <v>1178</v>
      </c>
      <c r="C2840" t="s">
        <v>10</v>
      </c>
      <c r="D2840">
        <v>209</v>
      </c>
      <c r="E2840" s="4">
        <f t="shared" si="88"/>
        <v>43911</v>
      </c>
      <c r="F2840">
        <f t="shared" si="89"/>
        <v>1118</v>
      </c>
    </row>
    <row r="2841" spans="1:6" x14ac:dyDescent="0.55000000000000004">
      <c r="A2841">
        <v>1.5332872620488651E+19</v>
      </c>
      <c r="B2841" t="s">
        <v>551</v>
      </c>
      <c r="C2841" t="s">
        <v>10</v>
      </c>
      <c r="D2841">
        <v>390</v>
      </c>
      <c r="E2841" s="4">
        <f t="shared" si="88"/>
        <v>44247</v>
      </c>
      <c r="F2841">
        <f t="shared" si="89"/>
        <v>782</v>
      </c>
    </row>
    <row r="2842" spans="1:6" x14ac:dyDescent="0.55000000000000004">
      <c r="A2842">
        <v>9.8205187287879721E+18</v>
      </c>
      <c r="B2842" t="s">
        <v>575</v>
      </c>
      <c r="C2842" t="s">
        <v>10</v>
      </c>
      <c r="D2842">
        <v>3081</v>
      </c>
      <c r="E2842" s="4">
        <f t="shared" si="88"/>
        <v>44307</v>
      </c>
      <c r="F2842">
        <f t="shared" si="89"/>
        <v>722</v>
      </c>
    </row>
    <row r="2843" spans="1:6" x14ac:dyDescent="0.55000000000000004">
      <c r="A2843">
        <v>5.101889176606089E+17</v>
      </c>
      <c r="B2843" t="s">
        <v>1082</v>
      </c>
      <c r="C2843" t="s">
        <v>13</v>
      </c>
      <c r="D2843">
        <v>1070</v>
      </c>
      <c r="E2843" s="4">
        <f t="shared" si="88"/>
        <v>44813</v>
      </c>
      <c r="F2843">
        <f t="shared" si="89"/>
        <v>216</v>
      </c>
    </row>
    <row r="2844" spans="1:6" x14ac:dyDescent="0.55000000000000004">
      <c r="A2844">
        <v>4.0459079524297672E+18</v>
      </c>
      <c r="B2844" t="s">
        <v>119</v>
      </c>
      <c r="C2844" t="s">
        <v>13</v>
      </c>
      <c r="D2844">
        <v>579</v>
      </c>
      <c r="E2844" s="4">
        <f t="shared" si="88"/>
        <v>44792</v>
      </c>
      <c r="F2844">
        <f t="shared" si="89"/>
        <v>237</v>
      </c>
    </row>
    <row r="2845" spans="1:6" x14ac:dyDescent="0.55000000000000004">
      <c r="A2845">
        <v>6.1839390129527962E+18</v>
      </c>
      <c r="B2845" t="s">
        <v>362</v>
      </c>
      <c r="C2845" t="s">
        <v>10</v>
      </c>
      <c r="D2845">
        <v>16020</v>
      </c>
      <c r="E2845" s="4">
        <f t="shared" si="88"/>
        <v>44164</v>
      </c>
      <c r="F2845">
        <f t="shared" si="89"/>
        <v>865</v>
      </c>
    </row>
    <row r="2846" spans="1:6" x14ac:dyDescent="0.55000000000000004">
      <c r="A2846">
        <v>1.603422478619186E+19</v>
      </c>
      <c r="B2846" t="s">
        <v>101</v>
      </c>
      <c r="C2846" t="s">
        <v>26</v>
      </c>
      <c r="D2846">
        <v>186</v>
      </c>
      <c r="E2846" s="4">
        <f t="shared" si="88"/>
        <v>44270</v>
      </c>
      <c r="F2846">
        <f t="shared" si="89"/>
        <v>759</v>
      </c>
    </row>
    <row r="2847" spans="1:6" x14ac:dyDescent="0.55000000000000004">
      <c r="A2847">
        <v>8.3318844834548122E+18</v>
      </c>
      <c r="B2847" t="s">
        <v>87</v>
      </c>
      <c r="C2847" t="s">
        <v>13</v>
      </c>
      <c r="D2847">
        <v>3540</v>
      </c>
      <c r="E2847" s="4">
        <f t="shared" si="88"/>
        <v>44727</v>
      </c>
      <c r="F2847">
        <f t="shared" si="89"/>
        <v>302</v>
      </c>
    </row>
    <row r="2848" spans="1:6" x14ac:dyDescent="0.55000000000000004">
      <c r="A2848">
        <v>1.1055199992902341E+19</v>
      </c>
      <c r="B2848" t="s">
        <v>1179</v>
      </c>
      <c r="C2848" t="s">
        <v>10</v>
      </c>
      <c r="D2848">
        <v>1890</v>
      </c>
      <c r="E2848" s="4">
        <f t="shared" si="88"/>
        <v>43741</v>
      </c>
      <c r="F2848">
        <f t="shared" si="89"/>
        <v>1288</v>
      </c>
    </row>
    <row r="2849" spans="1:6" x14ac:dyDescent="0.55000000000000004">
      <c r="A2849">
        <v>1.2447495074817901E+19</v>
      </c>
      <c r="B2849" t="s">
        <v>1180</v>
      </c>
      <c r="C2849" t="s">
        <v>26</v>
      </c>
      <c r="D2849">
        <v>138</v>
      </c>
      <c r="E2849" s="4">
        <f t="shared" si="88"/>
        <v>43774</v>
      </c>
      <c r="F2849">
        <f t="shared" si="89"/>
        <v>1255</v>
      </c>
    </row>
    <row r="2850" spans="1:6" x14ac:dyDescent="0.55000000000000004">
      <c r="A2850">
        <v>2.3946474641006162E+18</v>
      </c>
      <c r="B2850" t="s">
        <v>1181</v>
      </c>
      <c r="C2850" t="s">
        <v>46</v>
      </c>
      <c r="D2850">
        <v>45</v>
      </c>
      <c r="E2850" s="4">
        <f t="shared" si="88"/>
        <v>44022</v>
      </c>
      <c r="F2850">
        <f t="shared" si="89"/>
        <v>1007</v>
      </c>
    </row>
    <row r="2851" spans="1:6" x14ac:dyDescent="0.55000000000000004">
      <c r="A2851">
        <v>5.3973038049061745E+18</v>
      </c>
      <c r="B2851" t="s">
        <v>181</v>
      </c>
      <c r="C2851" t="s">
        <v>10</v>
      </c>
      <c r="D2851">
        <v>1733684.74</v>
      </c>
      <c r="E2851" s="4">
        <f t="shared" si="88"/>
        <v>45000</v>
      </c>
      <c r="F2851">
        <f t="shared" si="89"/>
        <v>29</v>
      </c>
    </row>
    <row r="2852" spans="1:6" x14ac:dyDescent="0.55000000000000004">
      <c r="A2852">
        <v>1.6348048213521639E+19</v>
      </c>
      <c r="B2852" t="s">
        <v>636</v>
      </c>
      <c r="C2852" t="s">
        <v>10</v>
      </c>
      <c r="D2852">
        <v>372</v>
      </c>
      <c r="E2852" s="4">
        <f t="shared" si="88"/>
        <v>44653</v>
      </c>
      <c r="F2852">
        <f t="shared" si="89"/>
        <v>376</v>
      </c>
    </row>
    <row r="2853" spans="1:6" x14ac:dyDescent="0.55000000000000004">
      <c r="A2853">
        <v>1.669571824780218E+19</v>
      </c>
      <c r="B2853" t="s">
        <v>1054</v>
      </c>
      <c r="C2853" t="s">
        <v>10</v>
      </c>
      <c r="D2853">
        <v>105</v>
      </c>
      <c r="E2853" s="4">
        <f t="shared" si="88"/>
        <v>44119</v>
      </c>
      <c r="F2853">
        <f t="shared" si="89"/>
        <v>910</v>
      </c>
    </row>
    <row r="2854" spans="1:6" x14ac:dyDescent="0.55000000000000004">
      <c r="A2854">
        <v>5.1250685605554504E+18</v>
      </c>
      <c r="B2854" t="s">
        <v>363</v>
      </c>
      <c r="C2854" t="s">
        <v>50</v>
      </c>
      <c r="D2854">
        <v>88</v>
      </c>
      <c r="E2854" s="4">
        <f t="shared" si="88"/>
        <v>44454</v>
      </c>
      <c r="F2854">
        <f t="shared" si="89"/>
        <v>575</v>
      </c>
    </row>
    <row r="2855" spans="1:6" x14ac:dyDescent="0.55000000000000004">
      <c r="A2855">
        <v>1.757412242164845E+19</v>
      </c>
      <c r="B2855" t="s">
        <v>307</v>
      </c>
      <c r="C2855" t="s">
        <v>13</v>
      </c>
      <c r="D2855">
        <v>440</v>
      </c>
      <c r="E2855" s="4">
        <f t="shared" si="88"/>
        <v>44616</v>
      </c>
      <c r="F2855">
        <f t="shared" si="89"/>
        <v>413</v>
      </c>
    </row>
    <row r="2856" spans="1:6" x14ac:dyDescent="0.55000000000000004">
      <c r="A2856">
        <v>2.267788166417271E+18</v>
      </c>
      <c r="B2856" t="s">
        <v>547</v>
      </c>
      <c r="C2856" t="s">
        <v>10</v>
      </c>
      <c r="D2856">
        <v>1336</v>
      </c>
      <c r="E2856" s="4">
        <f t="shared" si="88"/>
        <v>44618</v>
      </c>
      <c r="F2856">
        <f t="shared" si="89"/>
        <v>411</v>
      </c>
    </row>
    <row r="2857" spans="1:6" x14ac:dyDescent="0.55000000000000004">
      <c r="A2857">
        <v>6.908084459337769E+18</v>
      </c>
      <c r="B2857" t="s">
        <v>324</v>
      </c>
      <c r="C2857" t="s">
        <v>10</v>
      </c>
      <c r="D2857">
        <v>597</v>
      </c>
      <c r="E2857" s="4">
        <f t="shared" si="88"/>
        <v>44421</v>
      </c>
      <c r="F2857">
        <f t="shared" si="89"/>
        <v>608</v>
      </c>
    </row>
    <row r="2858" spans="1:6" x14ac:dyDescent="0.55000000000000004">
      <c r="A2858">
        <v>1.844682043730959E+17</v>
      </c>
      <c r="B2858" t="s">
        <v>760</v>
      </c>
      <c r="C2858" t="s">
        <v>26</v>
      </c>
      <c r="D2858">
        <v>229</v>
      </c>
      <c r="E2858" s="4">
        <f t="shared" si="88"/>
        <v>43829</v>
      </c>
      <c r="F2858">
        <f t="shared" si="89"/>
        <v>1200</v>
      </c>
    </row>
    <row r="2859" spans="1:6" x14ac:dyDescent="0.55000000000000004">
      <c r="A2859">
        <v>1.3676031092069671E+19</v>
      </c>
      <c r="B2859" t="s">
        <v>1182</v>
      </c>
      <c r="C2859" t="s">
        <v>13</v>
      </c>
      <c r="D2859">
        <v>1650</v>
      </c>
      <c r="E2859" s="4">
        <f t="shared" si="88"/>
        <v>44130</v>
      </c>
      <c r="F2859">
        <f t="shared" si="89"/>
        <v>899</v>
      </c>
    </row>
    <row r="2860" spans="1:6" x14ac:dyDescent="0.55000000000000004">
      <c r="A2860">
        <v>6.8227132645195633E+18</v>
      </c>
      <c r="B2860" t="s">
        <v>921</v>
      </c>
      <c r="C2860" t="s">
        <v>13</v>
      </c>
      <c r="D2860">
        <v>400</v>
      </c>
      <c r="E2860" s="4">
        <f t="shared" si="88"/>
        <v>44172</v>
      </c>
      <c r="F2860">
        <f t="shared" si="89"/>
        <v>857</v>
      </c>
    </row>
    <row r="2861" spans="1:6" x14ac:dyDescent="0.55000000000000004">
      <c r="A2861">
        <v>5.3973038049061745E+18</v>
      </c>
      <c r="B2861" t="s">
        <v>1183</v>
      </c>
      <c r="C2861" t="s">
        <v>7</v>
      </c>
      <c r="D2861">
        <v>299970.40000000002</v>
      </c>
      <c r="E2861" s="4">
        <f t="shared" si="88"/>
        <v>43397</v>
      </c>
      <c r="F2861">
        <f t="shared" si="89"/>
        <v>1632</v>
      </c>
    </row>
    <row r="2862" spans="1:6" x14ac:dyDescent="0.55000000000000004">
      <c r="A2862">
        <v>1.7718341296387379E+19</v>
      </c>
      <c r="B2862" t="s">
        <v>329</v>
      </c>
      <c r="C2862" t="s">
        <v>13</v>
      </c>
      <c r="D2862">
        <v>397</v>
      </c>
      <c r="E2862" s="4">
        <f t="shared" si="88"/>
        <v>43898</v>
      </c>
      <c r="F2862">
        <f t="shared" si="89"/>
        <v>1131</v>
      </c>
    </row>
    <row r="2863" spans="1:6" x14ac:dyDescent="0.55000000000000004">
      <c r="A2863">
        <v>1.294689804642237E+19</v>
      </c>
      <c r="B2863" t="s">
        <v>805</v>
      </c>
      <c r="C2863" t="s">
        <v>13</v>
      </c>
      <c r="D2863">
        <v>1484</v>
      </c>
      <c r="E2863" s="4">
        <f t="shared" si="88"/>
        <v>44868</v>
      </c>
      <c r="F2863">
        <f t="shared" si="89"/>
        <v>161</v>
      </c>
    </row>
    <row r="2864" spans="1:6" x14ac:dyDescent="0.55000000000000004">
      <c r="A2864">
        <v>1.3397401790747869E+19</v>
      </c>
      <c r="B2864" t="s">
        <v>159</v>
      </c>
      <c r="C2864" t="s">
        <v>10</v>
      </c>
      <c r="D2864">
        <v>498</v>
      </c>
      <c r="E2864" s="4">
        <f t="shared" si="88"/>
        <v>44762</v>
      </c>
      <c r="F2864">
        <f t="shared" si="89"/>
        <v>267</v>
      </c>
    </row>
    <row r="2865" spans="1:6" x14ac:dyDescent="0.55000000000000004">
      <c r="A2865">
        <v>1.67115837018606E+19</v>
      </c>
      <c r="B2865" t="s">
        <v>1184</v>
      </c>
      <c r="C2865" t="s">
        <v>13</v>
      </c>
      <c r="D2865">
        <v>741</v>
      </c>
      <c r="E2865" s="4">
        <f t="shared" si="88"/>
        <v>44020</v>
      </c>
      <c r="F2865">
        <f t="shared" si="89"/>
        <v>1009</v>
      </c>
    </row>
    <row r="2866" spans="1:6" x14ac:dyDescent="0.55000000000000004">
      <c r="A2866">
        <v>1.411496331180091E+19</v>
      </c>
      <c r="B2866" t="s">
        <v>1185</v>
      </c>
      <c r="C2866" t="s">
        <v>10</v>
      </c>
      <c r="D2866">
        <v>1259</v>
      </c>
      <c r="E2866" s="4">
        <f t="shared" si="88"/>
        <v>44699</v>
      </c>
      <c r="F2866">
        <f t="shared" si="89"/>
        <v>330</v>
      </c>
    </row>
    <row r="2867" spans="1:6" x14ac:dyDescent="0.55000000000000004">
      <c r="A2867">
        <v>8.4571055573795328E+18</v>
      </c>
      <c r="B2867" t="s">
        <v>891</v>
      </c>
      <c r="C2867" t="s">
        <v>13</v>
      </c>
      <c r="D2867">
        <v>3696</v>
      </c>
      <c r="E2867" s="4">
        <f t="shared" si="88"/>
        <v>44235</v>
      </c>
      <c r="F2867">
        <f t="shared" si="89"/>
        <v>794</v>
      </c>
    </row>
    <row r="2868" spans="1:6" x14ac:dyDescent="0.55000000000000004">
      <c r="A2868">
        <v>6.5114163163565875E+18</v>
      </c>
      <c r="B2868" t="s">
        <v>475</v>
      </c>
      <c r="C2868" t="s">
        <v>13</v>
      </c>
      <c r="D2868">
        <v>2050</v>
      </c>
      <c r="E2868" s="4">
        <f t="shared" si="88"/>
        <v>44847</v>
      </c>
      <c r="F2868">
        <f t="shared" si="89"/>
        <v>182</v>
      </c>
    </row>
    <row r="2869" spans="1:6" x14ac:dyDescent="0.55000000000000004">
      <c r="A2869">
        <v>5.8784430253090079E+18</v>
      </c>
      <c r="B2869" t="s">
        <v>394</v>
      </c>
      <c r="C2869" t="s">
        <v>7</v>
      </c>
      <c r="D2869">
        <v>1600</v>
      </c>
      <c r="E2869" s="4">
        <f t="shared" si="88"/>
        <v>44819</v>
      </c>
      <c r="F2869">
        <f t="shared" si="89"/>
        <v>210</v>
      </c>
    </row>
    <row r="2870" spans="1:6" x14ac:dyDescent="0.55000000000000004">
      <c r="A2870">
        <v>1.272107029485295E+19</v>
      </c>
      <c r="B2870" t="s">
        <v>1186</v>
      </c>
      <c r="C2870" t="s">
        <v>7</v>
      </c>
      <c r="D2870">
        <v>440</v>
      </c>
      <c r="E2870" s="4">
        <f t="shared" si="88"/>
        <v>43902</v>
      </c>
      <c r="F2870">
        <f t="shared" si="89"/>
        <v>1127</v>
      </c>
    </row>
    <row r="2871" spans="1:6" x14ac:dyDescent="0.55000000000000004">
      <c r="A2871">
        <v>1.170482534092361E+18</v>
      </c>
      <c r="B2871" t="s">
        <v>425</v>
      </c>
      <c r="C2871" t="s">
        <v>10</v>
      </c>
      <c r="D2871">
        <v>109</v>
      </c>
      <c r="E2871" s="4">
        <f t="shared" si="88"/>
        <v>44096</v>
      </c>
      <c r="F2871">
        <f t="shared" si="89"/>
        <v>933</v>
      </c>
    </row>
    <row r="2872" spans="1:6" x14ac:dyDescent="0.55000000000000004">
      <c r="A2872">
        <v>1.6131516332605991E+19</v>
      </c>
      <c r="B2872" t="s">
        <v>1038</v>
      </c>
      <c r="C2872" t="s">
        <v>46</v>
      </c>
      <c r="D2872">
        <v>157</v>
      </c>
      <c r="E2872" s="4">
        <f t="shared" si="88"/>
        <v>44724</v>
      </c>
      <c r="F2872">
        <f t="shared" si="89"/>
        <v>305</v>
      </c>
    </row>
    <row r="2873" spans="1:6" x14ac:dyDescent="0.55000000000000004">
      <c r="A2873">
        <v>1.7735722794972459E+19</v>
      </c>
      <c r="B2873" t="s">
        <v>822</v>
      </c>
      <c r="C2873" t="s">
        <v>13</v>
      </c>
      <c r="D2873">
        <v>1507</v>
      </c>
      <c r="E2873" s="4">
        <f t="shared" si="88"/>
        <v>44120</v>
      </c>
      <c r="F2873">
        <f t="shared" si="89"/>
        <v>909</v>
      </c>
    </row>
    <row r="2874" spans="1:6" x14ac:dyDescent="0.55000000000000004">
      <c r="A2874">
        <v>5.0919192247528796E+18</v>
      </c>
      <c r="B2874" t="s">
        <v>682</v>
      </c>
      <c r="C2874" t="s">
        <v>50</v>
      </c>
      <c r="D2874">
        <v>45</v>
      </c>
      <c r="E2874" s="4">
        <f t="shared" si="88"/>
        <v>43750</v>
      </c>
      <c r="F2874">
        <f t="shared" si="89"/>
        <v>1279</v>
      </c>
    </row>
    <row r="2875" spans="1:6" x14ac:dyDescent="0.55000000000000004">
      <c r="A2875">
        <v>5.101889176606089E+17</v>
      </c>
      <c r="B2875" t="s">
        <v>1187</v>
      </c>
      <c r="C2875" t="s">
        <v>10</v>
      </c>
      <c r="D2875">
        <v>2796</v>
      </c>
      <c r="E2875" s="4">
        <f t="shared" si="88"/>
        <v>44025</v>
      </c>
      <c r="F2875">
        <f t="shared" si="89"/>
        <v>1004</v>
      </c>
    </row>
    <row r="2876" spans="1:6" x14ac:dyDescent="0.55000000000000004">
      <c r="A2876">
        <v>1.815269932860136E+19</v>
      </c>
      <c r="B2876" t="s">
        <v>452</v>
      </c>
      <c r="C2876" t="s">
        <v>5</v>
      </c>
      <c r="D2876">
        <v>2640</v>
      </c>
      <c r="E2876" s="4">
        <f t="shared" si="88"/>
        <v>44163</v>
      </c>
      <c r="F2876">
        <f t="shared" si="89"/>
        <v>866</v>
      </c>
    </row>
    <row r="2877" spans="1:6" x14ac:dyDescent="0.55000000000000004">
      <c r="A2877">
        <v>3.1994363334983782E+18</v>
      </c>
      <c r="B2877" t="s">
        <v>543</v>
      </c>
      <c r="C2877" t="s">
        <v>13</v>
      </c>
      <c r="D2877">
        <v>8220</v>
      </c>
      <c r="E2877" s="4">
        <f t="shared" si="88"/>
        <v>44998</v>
      </c>
      <c r="F2877">
        <f t="shared" si="89"/>
        <v>31</v>
      </c>
    </row>
    <row r="2878" spans="1:6" x14ac:dyDescent="0.55000000000000004">
      <c r="A2878">
        <v>1.160880881456226E+18</v>
      </c>
      <c r="B2878" t="s">
        <v>1088</v>
      </c>
      <c r="C2878" t="s">
        <v>13</v>
      </c>
      <c r="D2878">
        <v>5080</v>
      </c>
      <c r="E2878" s="4">
        <f t="shared" si="88"/>
        <v>44951</v>
      </c>
      <c r="F2878">
        <f t="shared" si="89"/>
        <v>78</v>
      </c>
    </row>
    <row r="2879" spans="1:6" x14ac:dyDescent="0.55000000000000004">
      <c r="A2879">
        <v>1.207908146795667E+19</v>
      </c>
      <c r="B2879" t="s">
        <v>174</v>
      </c>
      <c r="C2879" t="s">
        <v>7</v>
      </c>
      <c r="D2879">
        <v>271</v>
      </c>
      <c r="E2879" s="4">
        <f t="shared" si="88"/>
        <v>44008</v>
      </c>
      <c r="F2879">
        <f t="shared" si="89"/>
        <v>1021</v>
      </c>
    </row>
    <row r="2880" spans="1:6" x14ac:dyDescent="0.55000000000000004">
      <c r="A2880">
        <v>1.265391923995298E+19</v>
      </c>
      <c r="B2880" t="s">
        <v>1151</v>
      </c>
      <c r="C2880" t="s">
        <v>13</v>
      </c>
      <c r="D2880">
        <v>2210</v>
      </c>
      <c r="E2880" s="4">
        <f t="shared" si="88"/>
        <v>44031</v>
      </c>
      <c r="F2880">
        <f t="shared" si="89"/>
        <v>998</v>
      </c>
    </row>
    <row r="2881" spans="1:6" x14ac:dyDescent="0.55000000000000004">
      <c r="A2881">
        <v>7.1818682123350518E+18</v>
      </c>
      <c r="B2881" t="s">
        <v>99</v>
      </c>
      <c r="C2881" t="s">
        <v>13</v>
      </c>
      <c r="D2881">
        <v>1199</v>
      </c>
      <c r="E2881" s="4">
        <f t="shared" si="88"/>
        <v>44764</v>
      </c>
      <c r="F2881">
        <f t="shared" si="89"/>
        <v>265</v>
      </c>
    </row>
    <row r="2882" spans="1:6" x14ac:dyDescent="0.55000000000000004">
      <c r="A2882">
        <v>1.0142052197562481E+19</v>
      </c>
      <c r="B2882" t="s">
        <v>807</v>
      </c>
      <c r="C2882" t="s">
        <v>7</v>
      </c>
      <c r="D2882">
        <v>6665</v>
      </c>
      <c r="E2882" s="4">
        <f t="shared" si="88"/>
        <v>44927</v>
      </c>
      <c r="F2882">
        <f t="shared" si="89"/>
        <v>102</v>
      </c>
    </row>
    <row r="2883" spans="1:6" x14ac:dyDescent="0.55000000000000004">
      <c r="A2883">
        <v>2.2161208201684759E+18</v>
      </c>
      <c r="B2883" t="s">
        <v>1188</v>
      </c>
      <c r="C2883" t="s">
        <v>10</v>
      </c>
      <c r="D2883">
        <v>112</v>
      </c>
      <c r="E2883" s="4">
        <f t="shared" ref="E2883:E2946" si="90">DATEVALUE(B2883)</f>
        <v>44196</v>
      </c>
      <c r="F2883">
        <f t="shared" ref="F2883:F2946" si="91">$H$1-E2883</f>
        <v>833</v>
      </c>
    </row>
    <row r="2884" spans="1:6" x14ac:dyDescent="0.55000000000000004">
      <c r="A2884">
        <v>7.1772537848913644E+18</v>
      </c>
      <c r="B2884" t="s">
        <v>282</v>
      </c>
      <c r="C2884" t="s">
        <v>10</v>
      </c>
      <c r="D2884">
        <v>5820</v>
      </c>
      <c r="E2884" s="4">
        <f t="shared" si="90"/>
        <v>44557</v>
      </c>
      <c r="F2884">
        <f t="shared" si="91"/>
        <v>472</v>
      </c>
    </row>
    <row r="2885" spans="1:6" x14ac:dyDescent="0.55000000000000004">
      <c r="A2885">
        <v>1.8004859116404771E+19</v>
      </c>
      <c r="B2885" t="s">
        <v>769</v>
      </c>
      <c r="C2885" t="s">
        <v>13</v>
      </c>
      <c r="D2885">
        <v>238</v>
      </c>
      <c r="E2885" s="4">
        <f t="shared" si="90"/>
        <v>44510</v>
      </c>
      <c r="F2885">
        <f t="shared" si="91"/>
        <v>519</v>
      </c>
    </row>
    <row r="2886" spans="1:6" x14ac:dyDescent="0.55000000000000004">
      <c r="A2886">
        <v>6.2709077484598569E+18</v>
      </c>
      <c r="B2886" t="s">
        <v>184</v>
      </c>
      <c r="C2886" t="s">
        <v>13</v>
      </c>
      <c r="D2886">
        <v>1693</v>
      </c>
      <c r="E2886" s="4">
        <f t="shared" si="90"/>
        <v>44152</v>
      </c>
      <c r="F2886">
        <f t="shared" si="91"/>
        <v>877</v>
      </c>
    </row>
    <row r="2887" spans="1:6" x14ac:dyDescent="0.55000000000000004">
      <c r="A2887">
        <v>1.5673232483183659E+19</v>
      </c>
      <c r="B2887" t="s">
        <v>1130</v>
      </c>
      <c r="C2887" t="s">
        <v>13</v>
      </c>
      <c r="D2887">
        <v>141</v>
      </c>
      <c r="E2887" s="4">
        <f t="shared" si="90"/>
        <v>44693</v>
      </c>
      <c r="F2887">
        <f t="shared" si="91"/>
        <v>336</v>
      </c>
    </row>
    <row r="2888" spans="1:6" x14ac:dyDescent="0.55000000000000004">
      <c r="A2888">
        <v>1.0304751137086179E+19</v>
      </c>
      <c r="B2888" t="s">
        <v>244</v>
      </c>
      <c r="C2888" t="s">
        <v>7</v>
      </c>
      <c r="D2888">
        <v>585</v>
      </c>
      <c r="E2888" s="4">
        <f t="shared" si="90"/>
        <v>44595</v>
      </c>
      <c r="F2888">
        <f t="shared" si="91"/>
        <v>434</v>
      </c>
    </row>
    <row r="2889" spans="1:6" x14ac:dyDescent="0.55000000000000004">
      <c r="A2889">
        <v>7.4680932947525184E+17</v>
      </c>
      <c r="B2889" t="s">
        <v>296</v>
      </c>
      <c r="C2889" t="s">
        <v>13</v>
      </c>
      <c r="D2889">
        <v>747</v>
      </c>
      <c r="E2889" s="4">
        <f t="shared" si="90"/>
        <v>44945</v>
      </c>
      <c r="F2889">
        <f t="shared" si="91"/>
        <v>84</v>
      </c>
    </row>
    <row r="2890" spans="1:6" x14ac:dyDescent="0.55000000000000004">
      <c r="A2890">
        <v>7.9386051659455212E+18</v>
      </c>
      <c r="B2890" t="s">
        <v>325</v>
      </c>
      <c r="C2890" t="s">
        <v>10</v>
      </c>
      <c r="D2890">
        <v>1560</v>
      </c>
      <c r="E2890" s="4">
        <f t="shared" si="90"/>
        <v>44143</v>
      </c>
      <c r="F2890">
        <f t="shared" si="91"/>
        <v>886</v>
      </c>
    </row>
    <row r="2891" spans="1:6" x14ac:dyDescent="0.55000000000000004">
      <c r="A2891">
        <v>9.8964021860478259E+18</v>
      </c>
      <c r="B2891" t="s">
        <v>76</v>
      </c>
      <c r="C2891" t="s">
        <v>50</v>
      </c>
      <c r="D2891">
        <v>156</v>
      </c>
      <c r="E2891" s="4">
        <f t="shared" si="90"/>
        <v>43994</v>
      </c>
      <c r="F2891">
        <f t="shared" si="91"/>
        <v>1035</v>
      </c>
    </row>
    <row r="2892" spans="1:6" x14ac:dyDescent="0.55000000000000004">
      <c r="A2892">
        <v>1.6470547131161219E+19</v>
      </c>
      <c r="B2892" t="s">
        <v>802</v>
      </c>
      <c r="C2892" t="s">
        <v>13</v>
      </c>
      <c r="D2892">
        <v>1716</v>
      </c>
      <c r="E2892" s="4">
        <f t="shared" si="90"/>
        <v>44788</v>
      </c>
      <c r="F2892">
        <f t="shared" si="91"/>
        <v>241</v>
      </c>
    </row>
    <row r="2893" spans="1:6" x14ac:dyDescent="0.55000000000000004">
      <c r="A2893">
        <v>1.0611866942011081E+19</v>
      </c>
      <c r="B2893" t="s">
        <v>601</v>
      </c>
      <c r="C2893" t="s">
        <v>13</v>
      </c>
      <c r="D2893">
        <v>1073</v>
      </c>
      <c r="E2893" s="4">
        <f t="shared" si="90"/>
        <v>44853</v>
      </c>
      <c r="F2893">
        <f t="shared" si="91"/>
        <v>176</v>
      </c>
    </row>
    <row r="2894" spans="1:6" x14ac:dyDescent="0.55000000000000004">
      <c r="A2894">
        <v>1.5401339438408831E+19</v>
      </c>
      <c r="B2894" t="s">
        <v>1189</v>
      </c>
      <c r="C2894" t="s">
        <v>50</v>
      </c>
      <c r="D2894">
        <v>518</v>
      </c>
      <c r="E2894" s="4">
        <f t="shared" si="90"/>
        <v>43874</v>
      </c>
      <c r="F2894">
        <f t="shared" si="91"/>
        <v>1155</v>
      </c>
    </row>
    <row r="2895" spans="1:6" x14ac:dyDescent="0.55000000000000004">
      <c r="A2895">
        <v>1.775150302071936E+19</v>
      </c>
      <c r="B2895" t="s">
        <v>585</v>
      </c>
      <c r="C2895" t="s">
        <v>10</v>
      </c>
      <c r="D2895">
        <v>453</v>
      </c>
      <c r="E2895" s="4">
        <f t="shared" si="90"/>
        <v>44860</v>
      </c>
      <c r="F2895">
        <f t="shared" si="91"/>
        <v>169</v>
      </c>
    </row>
    <row r="2896" spans="1:6" x14ac:dyDescent="0.55000000000000004">
      <c r="A2896">
        <v>1.154366778486877E+19</v>
      </c>
      <c r="B2896" t="s">
        <v>777</v>
      </c>
      <c r="C2896" t="s">
        <v>26</v>
      </c>
      <c r="D2896">
        <v>515</v>
      </c>
      <c r="E2896" s="4">
        <f t="shared" si="90"/>
        <v>43828</v>
      </c>
      <c r="F2896">
        <f t="shared" si="91"/>
        <v>1201</v>
      </c>
    </row>
    <row r="2897" spans="1:6" x14ac:dyDescent="0.55000000000000004">
      <c r="A2897">
        <v>5.2888979487340147E+17</v>
      </c>
      <c r="B2897" t="s">
        <v>345</v>
      </c>
      <c r="C2897" t="s">
        <v>7</v>
      </c>
      <c r="D2897">
        <v>3115</v>
      </c>
      <c r="E2897" s="4">
        <f t="shared" si="90"/>
        <v>44809</v>
      </c>
      <c r="F2897">
        <f t="shared" si="91"/>
        <v>220</v>
      </c>
    </row>
    <row r="2898" spans="1:6" x14ac:dyDescent="0.55000000000000004">
      <c r="A2898">
        <v>9.4805907407423304E+18</v>
      </c>
      <c r="B2898" t="s">
        <v>178</v>
      </c>
      <c r="C2898" t="s">
        <v>13</v>
      </c>
      <c r="D2898">
        <v>269</v>
      </c>
      <c r="E2898" s="4">
        <f t="shared" si="90"/>
        <v>44984</v>
      </c>
      <c r="F2898">
        <f t="shared" si="91"/>
        <v>45</v>
      </c>
    </row>
    <row r="2899" spans="1:6" x14ac:dyDescent="0.55000000000000004">
      <c r="A2899">
        <v>1.3849874418398641E+18</v>
      </c>
      <c r="B2899" t="s">
        <v>1190</v>
      </c>
      <c r="C2899" t="s">
        <v>10</v>
      </c>
      <c r="D2899">
        <v>1099</v>
      </c>
      <c r="E2899" s="4">
        <f t="shared" si="90"/>
        <v>43956</v>
      </c>
      <c r="F2899">
        <f t="shared" si="91"/>
        <v>1073</v>
      </c>
    </row>
    <row r="2900" spans="1:6" x14ac:dyDescent="0.55000000000000004">
      <c r="A2900">
        <v>2.5776502472543529E+18</v>
      </c>
      <c r="B2900" t="s">
        <v>28</v>
      </c>
      <c r="C2900" t="s">
        <v>13</v>
      </c>
      <c r="D2900">
        <v>7629</v>
      </c>
      <c r="E2900" s="4">
        <f t="shared" si="90"/>
        <v>44360</v>
      </c>
      <c r="F2900">
        <f t="shared" si="91"/>
        <v>669</v>
      </c>
    </row>
    <row r="2901" spans="1:6" x14ac:dyDescent="0.55000000000000004">
      <c r="A2901">
        <v>1.095561435546692E+19</v>
      </c>
      <c r="B2901" t="s">
        <v>8</v>
      </c>
      <c r="C2901" t="s">
        <v>10</v>
      </c>
      <c r="D2901">
        <v>2187</v>
      </c>
      <c r="E2901" s="4">
        <f t="shared" si="90"/>
        <v>44067</v>
      </c>
      <c r="F2901">
        <f t="shared" si="91"/>
        <v>962</v>
      </c>
    </row>
    <row r="2902" spans="1:6" x14ac:dyDescent="0.55000000000000004">
      <c r="A2902">
        <v>1.6019234248555399E+19</v>
      </c>
      <c r="B2902" t="s">
        <v>1191</v>
      </c>
      <c r="C2902" t="s">
        <v>10</v>
      </c>
      <c r="D2902">
        <v>2070</v>
      </c>
      <c r="E2902" s="4">
        <f t="shared" si="90"/>
        <v>44956</v>
      </c>
      <c r="F2902">
        <f t="shared" si="91"/>
        <v>73</v>
      </c>
    </row>
    <row r="2903" spans="1:6" x14ac:dyDescent="0.55000000000000004">
      <c r="A2903">
        <v>9.7042332944123105E+18</v>
      </c>
      <c r="B2903" t="s">
        <v>1192</v>
      </c>
      <c r="C2903" t="s">
        <v>13</v>
      </c>
      <c r="D2903">
        <v>17760</v>
      </c>
      <c r="E2903" s="4">
        <f t="shared" si="90"/>
        <v>44085</v>
      </c>
      <c r="F2903">
        <f t="shared" si="91"/>
        <v>944</v>
      </c>
    </row>
    <row r="2904" spans="1:6" x14ac:dyDescent="0.55000000000000004">
      <c r="A2904">
        <v>3.0757907403433108E+18</v>
      </c>
      <c r="B2904" t="s">
        <v>549</v>
      </c>
      <c r="C2904" t="s">
        <v>10</v>
      </c>
      <c r="D2904">
        <v>496</v>
      </c>
      <c r="E2904" s="4">
        <f t="shared" si="90"/>
        <v>44912</v>
      </c>
      <c r="F2904">
        <f t="shared" si="91"/>
        <v>117</v>
      </c>
    </row>
    <row r="2905" spans="1:6" x14ac:dyDescent="0.55000000000000004">
      <c r="A2905">
        <v>1.632131349700778E+19</v>
      </c>
      <c r="B2905" t="s">
        <v>863</v>
      </c>
      <c r="C2905" t="s">
        <v>10</v>
      </c>
      <c r="D2905">
        <v>2801</v>
      </c>
      <c r="E2905" s="4">
        <f t="shared" si="90"/>
        <v>44881</v>
      </c>
      <c r="F2905">
        <f t="shared" si="91"/>
        <v>148</v>
      </c>
    </row>
    <row r="2906" spans="1:6" x14ac:dyDescent="0.55000000000000004">
      <c r="A2906">
        <v>4.0018623992861558E+18</v>
      </c>
      <c r="B2906" t="s">
        <v>133</v>
      </c>
      <c r="C2906" t="s">
        <v>10</v>
      </c>
      <c r="D2906">
        <v>13249</v>
      </c>
      <c r="E2906" s="4">
        <f t="shared" si="90"/>
        <v>44944</v>
      </c>
      <c r="F2906">
        <f t="shared" si="91"/>
        <v>85</v>
      </c>
    </row>
    <row r="2907" spans="1:6" x14ac:dyDescent="0.55000000000000004">
      <c r="A2907">
        <v>1.192291517149329E+19</v>
      </c>
      <c r="B2907" t="s">
        <v>891</v>
      </c>
      <c r="C2907" t="s">
        <v>13</v>
      </c>
      <c r="D2907">
        <v>1871</v>
      </c>
      <c r="E2907" s="4">
        <f t="shared" si="90"/>
        <v>44235</v>
      </c>
      <c r="F2907">
        <f t="shared" si="91"/>
        <v>794</v>
      </c>
    </row>
    <row r="2908" spans="1:6" x14ac:dyDescent="0.55000000000000004">
      <c r="A2908">
        <v>3.283349759280599E+18</v>
      </c>
      <c r="B2908" t="s">
        <v>1098</v>
      </c>
      <c r="C2908" t="s">
        <v>13</v>
      </c>
      <c r="D2908">
        <v>1209</v>
      </c>
      <c r="E2908" s="4">
        <f t="shared" si="90"/>
        <v>44269</v>
      </c>
      <c r="F2908">
        <f t="shared" si="91"/>
        <v>760</v>
      </c>
    </row>
    <row r="2909" spans="1:6" x14ac:dyDescent="0.55000000000000004">
      <c r="A2909">
        <v>7.6067031389727324E+18</v>
      </c>
      <c r="B2909" t="s">
        <v>18</v>
      </c>
      <c r="C2909" t="s">
        <v>10</v>
      </c>
      <c r="D2909">
        <v>2191</v>
      </c>
      <c r="E2909" s="4">
        <f t="shared" si="90"/>
        <v>44982</v>
      </c>
      <c r="F2909">
        <f t="shared" si="91"/>
        <v>47</v>
      </c>
    </row>
    <row r="2910" spans="1:6" x14ac:dyDescent="0.55000000000000004">
      <c r="A2910">
        <v>1.188150367275085E+19</v>
      </c>
      <c r="B2910" t="s">
        <v>574</v>
      </c>
      <c r="C2910" t="s">
        <v>13</v>
      </c>
      <c r="D2910">
        <v>4395</v>
      </c>
      <c r="E2910" s="4">
        <f t="shared" si="90"/>
        <v>43736</v>
      </c>
      <c r="F2910">
        <f t="shared" si="91"/>
        <v>1293</v>
      </c>
    </row>
    <row r="2911" spans="1:6" x14ac:dyDescent="0.55000000000000004">
      <c r="A2911">
        <v>6.3662245030475868E+18</v>
      </c>
      <c r="B2911" t="s">
        <v>543</v>
      </c>
      <c r="C2911" t="s">
        <v>5</v>
      </c>
      <c r="D2911">
        <v>3420</v>
      </c>
      <c r="E2911" s="4">
        <f t="shared" si="90"/>
        <v>44998</v>
      </c>
      <c r="F2911">
        <f t="shared" si="91"/>
        <v>31</v>
      </c>
    </row>
    <row r="2912" spans="1:6" x14ac:dyDescent="0.55000000000000004">
      <c r="A2912">
        <v>8.8705274734315756E+18</v>
      </c>
      <c r="B2912" t="s">
        <v>758</v>
      </c>
      <c r="C2912" t="s">
        <v>7</v>
      </c>
      <c r="D2912">
        <v>3660</v>
      </c>
      <c r="E2912" s="4">
        <f t="shared" si="90"/>
        <v>44803</v>
      </c>
      <c r="F2912">
        <f t="shared" si="91"/>
        <v>226</v>
      </c>
    </row>
    <row r="2913" spans="1:6" x14ac:dyDescent="0.55000000000000004">
      <c r="A2913">
        <v>1.432914045526222E+19</v>
      </c>
      <c r="B2913" t="s">
        <v>465</v>
      </c>
      <c r="C2913" t="s">
        <v>10</v>
      </c>
      <c r="D2913">
        <v>5035</v>
      </c>
      <c r="E2913" s="4">
        <f t="shared" si="90"/>
        <v>44917</v>
      </c>
      <c r="F2913">
        <f t="shared" si="91"/>
        <v>112</v>
      </c>
    </row>
    <row r="2914" spans="1:6" x14ac:dyDescent="0.55000000000000004">
      <c r="A2914">
        <v>1.02766341055186E+19</v>
      </c>
      <c r="B2914" t="s">
        <v>532</v>
      </c>
      <c r="C2914" t="s">
        <v>26</v>
      </c>
      <c r="D2914">
        <v>179</v>
      </c>
      <c r="E2914" s="4">
        <f t="shared" si="90"/>
        <v>44524</v>
      </c>
      <c r="F2914">
        <f t="shared" si="91"/>
        <v>505</v>
      </c>
    </row>
    <row r="2915" spans="1:6" x14ac:dyDescent="0.55000000000000004">
      <c r="A2915">
        <v>1.3703114569611069E+19</v>
      </c>
      <c r="B2915" t="s">
        <v>1193</v>
      </c>
      <c r="C2915" t="s">
        <v>7</v>
      </c>
      <c r="D2915">
        <v>227</v>
      </c>
      <c r="E2915" s="4">
        <f t="shared" si="90"/>
        <v>45012</v>
      </c>
      <c r="F2915">
        <f t="shared" si="91"/>
        <v>17</v>
      </c>
    </row>
    <row r="2916" spans="1:6" x14ac:dyDescent="0.55000000000000004">
      <c r="A2916">
        <v>1.2135474904153309E+19</v>
      </c>
      <c r="B2916" t="s">
        <v>701</v>
      </c>
      <c r="C2916" t="s">
        <v>13</v>
      </c>
      <c r="D2916">
        <v>4070</v>
      </c>
      <c r="E2916" s="4">
        <f t="shared" si="90"/>
        <v>44747</v>
      </c>
      <c r="F2916">
        <f t="shared" si="91"/>
        <v>282</v>
      </c>
    </row>
    <row r="2917" spans="1:6" x14ac:dyDescent="0.55000000000000004">
      <c r="A2917">
        <v>1.2808864611926041E+19</v>
      </c>
      <c r="B2917" t="s">
        <v>598</v>
      </c>
      <c r="C2917" t="s">
        <v>13</v>
      </c>
      <c r="D2917">
        <v>1290</v>
      </c>
      <c r="E2917" s="4">
        <f t="shared" si="90"/>
        <v>44931</v>
      </c>
      <c r="F2917">
        <f t="shared" si="91"/>
        <v>98</v>
      </c>
    </row>
    <row r="2918" spans="1:6" x14ac:dyDescent="0.55000000000000004">
      <c r="A2918">
        <v>7.1926447705133344E+16</v>
      </c>
      <c r="B2918" t="s">
        <v>291</v>
      </c>
      <c r="C2918" t="s">
        <v>7</v>
      </c>
      <c r="D2918">
        <v>590</v>
      </c>
      <c r="E2918" s="4">
        <f t="shared" si="90"/>
        <v>44144</v>
      </c>
      <c r="F2918">
        <f t="shared" si="91"/>
        <v>885</v>
      </c>
    </row>
    <row r="2919" spans="1:6" x14ac:dyDescent="0.55000000000000004">
      <c r="A2919">
        <v>1.149354572414932E+19</v>
      </c>
      <c r="B2919" t="s">
        <v>287</v>
      </c>
      <c r="C2919" t="s">
        <v>13</v>
      </c>
      <c r="D2919">
        <v>2220</v>
      </c>
      <c r="E2919" s="4">
        <f t="shared" si="90"/>
        <v>44981</v>
      </c>
      <c r="F2919">
        <f t="shared" si="91"/>
        <v>48</v>
      </c>
    </row>
    <row r="2920" spans="1:6" x14ac:dyDescent="0.55000000000000004">
      <c r="A2920">
        <v>3.8996603096353321E+18</v>
      </c>
      <c r="B2920" t="s">
        <v>1194</v>
      </c>
      <c r="C2920" t="s">
        <v>5</v>
      </c>
      <c r="D2920">
        <v>605</v>
      </c>
      <c r="E2920" s="4">
        <f t="shared" si="90"/>
        <v>44003</v>
      </c>
      <c r="F2920">
        <f t="shared" si="91"/>
        <v>1026</v>
      </c>
    </row>
    <row r="2921" spans="1:6" x14ac:dyDescent="0.55000000000000004">
      <c r="A2921">
        <v>4.5868176532588631E+18</v>
      </c>
      <c r="B2921" t="s">
        <v>679</v>
      </c>
      <c r="C2921" t="s">
        <v>50</v>
      </c>
      <c r="D2921">
        <v>309</v>
      </c>
      <c r="E2921" s="4">
        <f t="shared" si="90"/>
        <v>43738</v>
      </c>
      <c r="F2921">
        <f t="shared" si="91"/>
        <v>1291</v>
      </c>
    </row>
    <row r="2922" spans="1:6" x14ac:dyDescent="0.55000000000000004">
      <c r="A2922">
        <v>1.384908775511219E+19</v>
      </c>
      <c r="B2922" t="s">
        <v>855</v>
      </c>
      <c r="C2922" t="s">
        <v>10</v>
      </c>
      <c r="D2922">
        <v>1289</v>
      </c>
      <c r="E2922" s="4">
        <f t="shared" si="90"/>
        <v>44807</v>
      </c>
      <c r="F2922">
        <f t="shared" si="91"/>
        <v>222</v>
      </c>
    </row>
    <row r="2923" spans="1:6" x14ac:dyDescent="0.55000000000000004">
      <c r="A2923">
        <v>5.3973038049061745E+18</v>
      </c>
      <c r="B2923" t="s">
        <v>1195</v>
      </c>
      <c r="C2923" t="s">
        <v>13</v>
      </c>
      <c r="D2923">
        <v>3230738.68</v>
      </c>
      <c r="E2923" s="4">
        <f t="shared" si="90"/>
        <v>42988</v>
      </c>
      <c r="F2923">
        <f t="shared" si="91"/>
        <v>2041</v>
      </c>
    </row>
    <row r="2924" spans="1:6" x14ac:dyDescent="0.55000000000000004">
      <c r="A2924">
        <v>1.4349572201562089E+19</v>
      </c>
      <c r="B2924" t="s">
        <v>222</v>
      </c>
      <c r="C2924" t="s">
        <v>13</v>
      </c>
      <c r="D2924">
        <v>18400</v>
      </c>
      <c r="E2924" s="4">
        <f t="shared" si="90"/>
        <v>45016</v>
      </c>
      <c r="F2924">
        <f t="shared" si="91"/>
        <v>13</v>
      </c>
    </row>
    <row r="2925" spans="1:6" x14ac:dyDescent="0.55000000000000004">
      <c r="A2925">
        <v>6.1389040048259338E+18</v>
      </c>
      <c r="B2925" t="s">
        <v>314</v>
      </c>
      <c r="C2925" t="s">
        <v>10</v>
      </c>
      <c r="D2925">
        <v>1654</v>
      </c>
      <c r="E2925" s="4">
        <f t="shared" si="90"/>
        <v>44687</v>
      </c>
      <c r="F2925">
        <f t="shared" si="91"/>
        <v>342</v>
      </c>
    </row>
    <row r="2926" spans="1:6" x14ac:dyDescent="0.55000000000000004">
      <c r="A2926">
        <v>4.1750935598840468E+18</v>
      </c>
      <c r="B2926" t="s">
        <v>569</v>
      </c>
      <c r="C2926" t="s">
        <v>13</v>
      </c>
      <c r="D2926">
        <v>4770</v>
      </c>
      <c r="E2926" s="4">
        <f t="shared" si="90"/>
        <v>44273</v>
      </c>
      <c r="F2926">
        <f t="shared" si="91"/>
        <v>756</v>
      </c>
    </row>
    <row r="2927" spans="1:6" x14ac:dyDescent="0.55000000000000004">
      <c r="A2927">
        <v>4.7349804595272796E+18</v>
      </c>
      <c r="B2927" t="s">
        <v>55</v>
      </c>
      <c r="C2927" t="s">
        <v>5</v>
      </c>
      <c r="D2927">
        <v>890</v>
      </c>
      <c r="E2927" s="4">
        <f t="shared" si="90"/>
        <v>45004</v>
      </c>
      <c r="F2927">
        <f t="shared" si="91"/>
        <v>25</v>
      </c>
    </row>
    <row r="2928" spans="1:6" x14ac:dyDescent="0.55000000000000004">
      <c r="A2928">
        <v>1.289825933655253E+19</v>
      </c>
      <c r="B2928" t="s">
        <v>884</v>
      </c>
      <c r="C2928" t="s">
        <v>26</v>
      </c>
      <c r="D2928">
        <v>1978</v>
      </c>
      <c r="E2928" s="4">
        <f t="shared" si="90"/>
        <v>44966</v>
      </c>
      <c r="F2928">
        <f t="shared" si="91"/>
        <v>63</v>
      </c>
    </row>
    <row r="2929" spans="1:6" x14ac:dyDescent="0.55000000000000004">
      <c r="A2929">
        <v>1.825832144440671E+19</v>
      </c>
      <c r="B2929" t="s">
        <v>480</v>
      </c>
      <c r="C2929" t="s">
        <v>13</v>
      </c>
      <c r="D2929">
        <v>519</v>
      </c>
      <c r="E2929" s="4">
        <f t="shared" si="90"/>
        <v>44979</v>
      </c>
      <c r="F2929">
        <f t="shared" si="91"/>
        <v>50</v>
      </c>
    </row>
    <row r="2930" spans="1:6" x14ac:dyDescent="0.55000000000000004">
      <c r="A2930">
        <v>1.2896180721199911E+19</v>
      </c>
      <c r="B2930" t="s">
        <v>729</v>
      </c>
      <c r="C2930" t="s">
        <v>7</v>
      </c>
      <c r="D2930">
        <v>1329</v>
      </c>
      <c r="E2930" s="4">
        <f t="shared" si="90"/>
        <v>44228</v>
      </c>
      <c r="F2930">
        <f t="shared" si="91"/>
        <v>801</v>
      </c>
    </row>
    <row r="2931" spans="1:6" x14ac:dyDescent="0.55000000000000004">
      <c r="A2931">
        <v>7.6079480927465441E+18</v>
      </c>
      <c r="B2931" t="s">
        <v>1196</v>
      </c>
      <c r="C2931" t="s">
        <v>13</v>
      </c>
      <c r="D2931">
        <v>423</v>
      </c>
      <c r="E2931" s="4">
        <f t="shared" si="90"/>
        <v>43952</v>
      </c>
      <c r="F2931">
        <f t="shared" si="91"/>
        <v>1077</v>
      </c>
    </row>
    <row r="2932" spans="1:6" x14ac:dyDescent="0.55000000000000004">
      <c r="A2932">
        <v>5.4221416760493773E+18</v>
      </c>
      <c r="B2932" t="s">
        <v>353</v>
      </c>
      <c r="C2932" t="s">
        <v>13</v>
      </c>
      <c r="D2932">
        <v>2038</v>
      </c>
      <c r="E2932" s="4">
        <f t="shared" si="90"/>
        <v>44455</v>
      </c>
      <c r="F2932">
        <f t="shared" si="91"/>
        <v>574</v>
      </c>
    </row>
    <row r="2933" spans="1:6" x14ac:dyDescent="0.55000000000000004">
      <c r="A2933">
        <v>1.128739452807603E+19</v>
      </c>
      <c r="B2933" t="s">
        <v>916</v>
      </c>
      <c r="C2933" t="s">
        <v>7</v>
      </c>
      <c r="D2933">
        <v>181</v>
      </c>
      <c r="E2933" s="4">
        <f t="shared" si="90"/>
        <v>44176</v>
      </c>
      <c r="F2933">
        <f t="shared" si="91"/>
        <v>853</v>
      </c>
    </row>
    <row r="2934" spans="1:6" x14ac:dyDescent="0.55000000000000004">
      <c r="A2934">
        <v>2.225462902853954E+18</v>
      </c>
      <c r="B2934" t="s">
        <v>557</v>
      </c>
      <c r="C2934" t="s">
        <v>46</v>
      </c>
      <c r="D2934">
        <v>4240</v>
      </c>
      <c r="E2934" s="4">
        <f t="shared" si="90"/>
        <v>44260</v>
      </c>
      <c r="F2934">
        <f t="shared" si="91"/>
        <v>769</v>
      </c>
    </row>
    <row r="2935" spans="1:6" x14ac:dyDescent="0.55000000000000004">
      <c r="A2935">
        <v>4.2265606458392428E+18</v>
      </c>
      <c r="B2935" t="s">
        <v>125</v>
      </c>
      <c r="C2935" t="s">
        <v>10</v>
      </c>
      <c r="D2935">
        <v>13395</v>
      </c>
      <c r="E2935" s="4">
        <f t="shared" si="90"/>
        <v>44316</v>
      </c>
      <c r="F2935">
        <f t="shared" si="91"/>
        <v>713</v>
      </c>
    </row>
    <row r="2936" spans="1:6" x14ac:dyDescent="0.55000000000000004">
      <c r="A2936">
        <v>8.5831141854623764E+18</v>
      </c>
      <c r="B2936" t="s">
        <v>267</v>
      </c>
      <c r="C2936" t="s">
        <v>13</v>
      </c>
      <c r="D2936">
        <v>1191</v>
      </c>
      <c r="E2936" s="4">
        <f t="shared" si="90"/>
        <v>44362</v>
      </c>
      <c r="F2936">
        <f t="shared" si="91"/>
        <v>667</v>
      </c>
    </row>
    <row r="2937" spans="1:6" x14ac:dyDescent="0.55000000000000004">
      <c r="A2937">
        <v>8.1026168591445023E+18</v>
      </c>
      <c r="B2937" t="s">
        <v>1099</v>
      </c>
      <c r="C2937" t="s">
        <v>13</v>
      </c>
      <c r="D2937">
        <v>2215</v>
      </c>
      <c r="E2937" s="4">
        <f t="shared" si="90"/>
        <v>44933</v>
      </c>
      <c r="F2937">
        <f t="shared" si="91"/>
        <v>96</v>
      </c>
    </row>
    <row r="2938" spans="1:6" x14ac:dyDescent="0.55000000000000004">
      <c r="A2938">
        <v>1.4375762660099E+19</v>
      </c>
      <c r="B2938" t="s">
        <v>12</v>
      </c>
      <c r="C2938" t="s">
        <v>10</v>
      </c>
      <c r="D2938">
        <v>2240</v>
      </c>
      <c r="E2938" s="4">
        <f t="shared" si="90"/>
        <v>45010</v>
      </c>
      <c r="F2938">
        <f t="shared" si="91"/>
        <v>19</v>
      </c>
    </row>
    <row r="2939" spans="1:6" x14ac:dyDescent="0.55000000000000004">
      <c r="A2939">
        <v>9.1256882912497848E+18</v>
      </c>
      <c r="B2939" t="s">
        <v>74</v>
      </c>
      <c r="C2939" t="s">
        <v>10</v>
      </c>
      <c r="D2939">
        <v>780</v>
      </c>
      <c r="E2939" s="4">
        <f t="shared" si="90"/>
        <v>44157</v>
      </c>
      <c r="F2939">
        <f t="shared" si="91"/>
        <v>872</v>
      </c>
    </row>
    <row r="2940" spans="1:6" x14ac:dyDescent="0.55000000000000004">
      <c r="A2940">
        <v>1.096945308280745E+18</v>
      </c>
      <c r="B2940" t="s">
        <v>993</v>
      </c>
      <c r="C2940" t="s">
        <v>10</v>
      </c>
      <c r="D2940">
        <v>4491</v>
      </c>
      <c r="E2940" s="4">
        <f t="shared" si="90"/>
        <v>44708</v>
      </c>
      <c r="F2940">
        <f t="shared" si="91"/>
        <v>321</v>
      </c>
    </row>
    <row r="2941" spans="1:6" x14ac:dyDescent="0.55000000000000004">
      <c r="A2941">
        <v>5.3973038049061745E+18</v>
      </c>
      <c r="B2941" t="s">
        <v>178</v>
      </c>
      <c r="C2941" t="s">
        <v>26</v>
      </c>
      <c r="D2941">
        <v>40698.68</v>
      </c>
      <c r="E2941" s="4">
        <f t="shared" si="90"/>
        <v>44984</v>
      </c>
      <c r="F2941">
        <f t="shared" si="91"/>
        <v>45</v>
      </c>
    </row>
    <row r="2942" spans="1:6" x14ac:dyDescent="0.55000000000000004">
      <c r="A2942">
        <v>1.2730106014305079E+19</v>
      </c>
      <c r="B2942" t="s">
        <v>410</v>
      </c>
      <c r="C2942" t="s">
        <v>13</v>
      </c>
      <c r="D2942">
        <v>6299</v>
      </c>
      <c r="E2942" s="4">
        <f t="shared" si="90"/>
        <v>44501</v>
      </c>
      <c r="F2942">
        <f t="shared" si="91"/>
        <v>528</v>
      </c>
    </row>
    <row r="2943" spans="1:6" x14ac:dyDescent="0.55000000000000004">
      <c r="A2943">
        <v>1.870446117223575E+18</v>
      </c>
      <c r="B2943" t="s">
        <v>99</v>
      </c>
      <c r="C2943" t="s">
        <v>10</v>
      </c>
      <c r="D2943">
        <v>579</v>
      </c>
      <c r="E2943" s="4">
        <f t="shared" si="90"/>
        <v>44764</v>
      </c>
      <c r="F2943">
        <f t="shared" si="91"/>
        <v>265</v>
      </c>
    </row>
    <row r="2944" spans="1:6" x14ac:dyDescent="0.55000000000000004">
      <c r="A2944">
        <v>1.1550104643117511E+19</v>
      </c>
      <c r="B2944" t="s">
        <v>301</v>
      </c>
      <c r="C2944" t="s">
        <v>13</v>
      </c>
      <c r="D2944">
        <v>946</v>
      </c>
      <c r="E2944" s="4">
        <f t="shared" si="90"/>
        <v>44734</v>
      </c>
      <c r="F2944">
        <f t="shared" si="91"/>
        <v>295</v>
      </c>
    </row>
    <row r="2945" spans="1:6" x14ac:dyDescent="0.55000000000000004">
      <c r="A2945">
        <v>3.8212681910665052E+18</v>
      </c>
      <c r="B2945" t="s">
        <v>1093</v>
      </c>
      <c r="C2945" t="s">
        <v>10</v>
      </c>
      <c r="D2945">
        <v>363</v>
      </c>
      <c r="E2945" s="4">
        <f t="shared" si="90"/>
        <v>44993</v>
      </c>
      <c r="F2945">
        <f t="shared" si="91"/>
        <v>36</v>
      </c>
    </row>
    <row r="2946" spans="1:6" x14ac:dyDescent="0.55000000000000004">
      <c r="A2946">
        <v>1.448136352667314E+19</v>
      </c>
      <c r="B2946" t="s">
        <v>335</v>
      </c>
      <c r="C2946" t="s">
        <v>13</v>
      </c>
      <c r="D2946">
        <v>1829</v>
      </c>
      <c r="E2946" s="4">
        <f t="shared" si="90"/>
        <v>44690</v>
      </c>
      <c r="F2946">
        <f t="shared" si="91"/>
        <v>339</v>
      </c>
    </row>
    <row r="2947" spans="1:6" x14ac:dyDescent="0.55000000000000004">
      <c r="A2947">
        <v>3.6716121384099502E+18</v>
      </c>
      <c r="B2947" t="s">
        <v>212</v>
      </c>
      <c r="C2947" t="s">
        <v>13</v>
      </c>
      <c r="D2947">
        <v>171</v>
      </c>
      <c r="E2947" s="4">
        <f t="shared" ref="E2947:E3001" si="92">DATEVALUE(B2947)</f>
        <v>43915</v>
      </c>
      <c r="F2947">
        <f t="shared" ref="F2947:F3001" si="93">$H$1-E2947</f>
        <v>1114</v>
      </c>
    </row>
    <row r="2948" spans="1:6" x14ac:dyDescent="0.55000000000000004">
      <c r="A2948">
        <v>1.153629071735875E+19</v>
      </c>
      <c r="B2948" t="s">
        <v>942</v>
      </c>
      <c r="C2948" t="s">
        <v>10</v>
      </c>
      <c r="D2948">
        <v>897</v>
      </c>
      <c r="E2948" s="4">
        <f t="shared" si="92"/>
        <v>44992</v>
      </c>
      <c r="F2948">
        <f t="shared" si="93"/>
        <v>37</v>
      </c>
    </row>
    <row r="2949" spans="1:6" x14ac:dyDescent="0.55000000000000004">
      <c r="A2949">
        <v>5.3973038049061745E+18</v>
      </c>
      <c r="B2949" t="s">
        <v>1197</v>
      </c>
      <c r="C2949" t="s">
        <v>7</v>
      </c>
      <c r="D2949">
        <v>347725.5</v>
      </c>
      <c r="E2949" s="4">
        <f t="shared" si="92"/>
        <v>43475</v>
      </c>
      <c r="F2949">
        <f t="shared" si="93"/>
        <v>1554</v>
      </c>
    </row>
    <row r="2950" spans="1:6" x14ac:dyDescent="0.55000000000000004">
      <c r="A2950">
        <v>4.7001543663819756E+18</v>
      </c>
      <c r="B2950" t="s">
        <v>302</v>
      </c>
      <c r="C2950" t="s">
        <v>13</v>
      </c>
      <c r="D2950">
        <v>2940</v>
      </c>
      <c r="E2950" s="4">
        <f t="shared" si="92"/>
        <v>44997</v>
      </c>
      <c r="F2950">
        <f t="shared" si="93"/>
        <v>32</v>
      </c>
    </row>
    <row r="2951" spans="1:6" x14ac:dyDescent="0.55000000000000004">
      <c r="A2951">
        <v>9.3519854972733747E+18</v>
      </c>
      <c r="B2951" t="s">
        <v>1198</v>
      </c>
      <c r="C2951" t="s">
        <v>7</v>
      </c>
      <c r="D2951">
        <v>235</v>
      </c>
      <c r="E2951" s="4">
        <f t="shared" si="92"/>
        <v>43798</v>
      </c>
      <c r="F2951">
        <f t="shared" si="93"/>
        <v>1231</v>
      </c>
    </row>
    <row r="2952" spans="1:6" x14ac:dyDescent="0.55000000000000004">
      <c r="A2952">
        <v>1.403560369874815E+19</v>
      </c>
      <c r="B2952" t="s">
        <v>1143</v>
      </c>
      <c r="C2952" t="s">
        <v>13</v>
      </c>
      <c r="D2952">
        <v>459</v>
      </c>
      <c r="E2952" s="4">
        <f t="shared" si="92"/>
        <v>44257</v>
      </c>
      <c r="F2952">
        <f t="shared" si="93"/>
        <v>772</v>
      </c>
    </row>
    <row r="2953" spans="1:6" x14ac:dyDescent="0.55000000000000004">
      <c r="A2953">
        <v>5.6599675409249679E+18</v>
      </c>
      <c r="B2953" t="s">
        <v>639</v>
      </c>
      <c r="C2953" t="s">
        <v>13</v>
      </c>
      <c r="D2953">
        <v>2577</v>
      </c>
      <c r="E2953" s="4">
        <f t="shared" si="92"/>
        <v>44494</v>
      </c>
      <c r="F2953">
        <f t="shared" si="93"/>
        <v>535</v>
      </c>
    </row>
    <row r="2954" spans="1:6" x14ac:dyDescent="0.55000000000000004">
      <c r="A2954">
        <v>1.154938793058756E+19</v>
      </c>
      <c r="B2954" t="s">
        <v>824</v>
      </c>
      <c r="C2954" t="s">
        <v>13</v>
      </c>
      <c r="D2954">
        <v>567</v>
      </c>
      <c r="E2954" s="4">
        <f t="shared" si="92"/>
        <v>44482</v>
      </c>
      <c r="F2954">
        <f t="shared" si="93"/>
        <v>547</v>
      </c>
    </row>
    <row r="2955" spans="1:6" x14ac:dyDescent="0.55000000000000004">
      <c r="A2955">
        <v>3.1686350128026348E+18</v>
      </c>
      <c r="B2955" t="s">
        <v>8</v>
      </c>
      <c r="C2955" t="s">
        <v>10</v>
      </c>
      <c r="D2955">
        <v>909</v>
      </c>
      <c r="E2955" s="4">
        <f t="shared" si="92"/>
        <v>44067</v>
      </c>
      <c r="F2955">
        <f t="shared" si="93"/>
        <v>962</v>
      </c>
    </row>
    <row r="2956" spans="1:6" x14ac:dyDescent="0.55000000000000004">
      <c r="A2956">
        <v>1.183332280575514E+19</v>
      </c>
      <c r="B2956" t="s">
        <v>1150</v>
      </c>
      <c r="C2956" t="s">
        <v>46</v>
      </c>
      <c r="D2956">
        <v>3627</v>
      </c>
      <c r="E2956" s="4">
        <f t="shared" si="92"/>
        <v>43776</v>
      </c>
      <c r="F2956">
        <f t="shared" si="93"/>
        <v>1253</v>
      </c>
    </row>
    <row r="2957" spans="1:6" x14ac:dyDescent="0.55000000000000004">
      <c r="A2957">
        <v>1.6398219760955021E+18</v>
      </c>
      <c r="B2957" t="s">
        <v>720</v>
      </c>
      <c r="C2957" t="s">
        <v>10</v>
      </c>
      <c r="D2957">
        <v>6150</v>
      </c>
      <c r="E2957" s="4">
        <f t="shared" si="92"/>
        <v>44471</v>
      </c>
      <c r="F2957">
        <f t="shared" si="93"/>
        <v>558</v>
      </c>
    </row>
    <row r="2958" spans="1:6" x14ac:dyDescent="0.55000000000000004">
      <c r="A2958">
        <v>8.4364873104592026E+18</v>
      </c>
      <c r="B2958" t="s">
        <v>1191</v>
      </c>
      <c r="C2958" t="s">
        <v>26</v>
      </c>
      <c r="D2958">
        <v>1090</v>
      </c>
      <c r="E2958" s="4">
        <f t="shared" si="92"/>
        <v>44956</v>
      </c>
      <c r="F2958">
        <f t="shared" si="93"/>
        <v>73</v>
      </c>
    </row>
    <row r="2959" spans="1:6" x14ac:dyDescent="0.55000000000000004">
      <c r="A2959">
        <v>1.670911701449976E+19</v>
      </c>
      <c r="B2959" t="s">
        <v>36</v>
      </c>
      <c r="C2959" t="s">
        <v>10</v>
      </c>
      <c r="D2959">
        <v>1290</v>
      </c>
      <c r="E2959" s="4">
        <f t="shared" si="92"/>
        <v>44808</v>
      </c>
      <c r="F2959">
        <f t="shared" si="93"/>
        <v>221</v>
      </c>
    </row>
    <row r="2960" spans="1:6" x14ac:dyDescent="0.55000000000000004">
      <c r="A2960">
        <v>1.602625952599124E+19</v>
      </c>
      <c r="B2960" t="s">
        <v>1199</v>
      </c>
      <c r="C2960" t="s">
        <v>5</v>
      </c>
      <c r="D2960">
        <v>561</v>
      </c>
      <c r="E2960" s="4">
        <f t="shared" si="92"/>
        <v>44018</v>
      </c>
      <c r="F2960">
        <f t="shared" si="93"/>
        <v>1011</v>
      </c>
    </row>
    <row r="2961" spans="1:6" x14ac:dyDescent="0.55000000000000004">
      <c r="A2961">
        <v>1.319782341275196E+19</v>
      </c>
      <c r="B2961" t="s">
        <v>518</v>
      </c>
      <c r="C2961" t="s">
        <v>10</v>
      </c>
      <c r="D2961">
        <v>816</v>
      </c>
      <c r="E2961" s="4">
        <f t="shared" si="92"/>
        <v>44801</v>
      </c>
      <c r="F2961">
        <f t="shared" si="93"/>
        <v>228</v>
      </c>
    </row>
    <row r="2962" spans="1:6" x14ac:dyDescent="0.55000000000000004">
      <c r="A2962">
        <v>1.2939000922525149E+19</v>
      </c>
      <c r="B2962" t="s">
        <v>982</v>
      </c>
      <c r="C2962" t="s">
        <v>10</v>
      </c>
      <c r="D2962">
        <v>138</v>
      </c>
      <c r="E2962" s="4">
        <f t="shared" si="92"/>
        <v>44094</v>
      </c>
      <c r="F2962">
        <f t="shared" si="93"/>
        <v>935</v>
      </c>
    </row>
    <row r="2963" spans="1:6" x14ac:dyDescent="0.55000000000000004">
      <c r="A2963">
        <v>5.5710040725666847E+18</v>
      </c>
      <c r="B2963" t="s">
        <v>1200</v>
      </c>
      <c r="C2963" t="s">
        <v>10</v>
      </c>
      <c r="D2963">
        <v>1884</v>
      </c>
      <c r="E2963" s="4">
        <f t="shared" si="92"/>
        <v>44189</v>
      </c>
      <c r="F2963">
        <f t="shared" si="93"/>
        <v>840</v>
      </c>
    </row>
    <row r="2964" spans="1:6" x14ac:dyDescent="0.55000000000000004">
      <c r="A2964">
        <v>5.3910319597590886E+18</v>
      </c>
      <c r="B2964" t="s">
        <v>608</v>
      </c>
      <c r="C2964" t="s">
        <v>10</v>
      </c>
      <c r="D2964">
        <v>1262</v>
      </c>
      <c r="E2964" s="4">
        <f t="shared" si="92"/>
        <v>44845</v>
      </c>
      <c r="F2964">
        <f t="shared" si="93"/>
        <v>184</v>
      </c>
    </row>
    <row r="2965" spans="1:6" x14ac:dyDescent="0.55000000000000004">
      <c r="A2965">
        <v>6.4691629409427087E+18</v>
      </c>
      <c r="B2965" t="s">
        <v>556</v>
      </c>
      <c r="C2965" t="s">
        <v>10</v>
      </c>
      <c r="D2965">
        <v>1490</v>
      </c>
      <c r="E2965" s="4">
        <f t="shared" si="92"/>
        <v>44317</v>
      </c>
      <c r="F2965">
        <f t="shared" si="93"/>
        <v>712</v>
      </c>
    </row>
    <row r="2966" spans="1:6" x14ac:dyDescent="0.55000000000000004">
      <c r="A2966">
        <v>1.170635260655601E+19</v>
      </c>
      <c r="B2966" t="s">
        <v>558</v>
      </c>
      <c r="C2966" t="s">
        <v>7</v>
      </c>
      <c r="D2966">
        <v>30</v>
      </c>
      <c r="E2966" s="4">
        <f t="shared" si="92"/>
        <v>44284</v>
      </c>
      <c r="F2966">
        <f t="shared" si="93"/>
        <v>745</v>
      </c>
    </row>
    <row r="2967" spans="1:6" x14ac:dyDescent="0.55000000000000004">
      <c r="A2967">
        <v>3.7571927821574461E+18</v>
      </c>
      <c r="B2967" t="s">
        <v>520</v>
      </c>
      <c r="C2967" t="s">
        <v>10</v>
      </c>
      <c r="D2967">
        <v>139</v>
      </c>
      <c r="E2967" s="4">
        <f t="shared" si="92"/>
        <v>44412</v>
      </c>
      <c r="F2967">
        <f t="shared" si="93"/>
        <v>617</v>
      </c>
    </row>
    <row r="2968" spans="1:6" x14ac:dyDescent="0.55000000000000004">
      <c r="A2968">
        <v>5.1460942534911273E+18</v>
      </c>
      <c r="B2968" t="s">
        <v>67</v>
      </c>
      <c r="C2968" t="s">
        <v>13</v>
      </c>
      <c r="D2968">
        <v>12669</v>
      </c>
      <c r="E2968" s="4">
        <f t="shared" si="92"/>
        <v>44987</v>
      </c>
      <c r="F2968">
        <f t="shared" si="93"/>
        <v>42</v>
      </c>
    </row>
    <row r="2969" spans="1:6" x14ac:dyDescent="0.55000000000000004">
      <c r="A2969">
        <v>4.9268211954818836E+18</v>
      </c>
      <c r="B2969" t="s">
        <v>466</v>
      </c>
      <c r="C2969" t="s">
        <v>10</v>
      </c>
      <c r="D2969">
        <v>585</v>
      </c>
      <c r="E2969" s="4">
        <f t="shared" si="92"/>
        <v>44624</v>
      </c>
      <c r="F2969">
        <f t="shared" si="93"/>
        <v>405</v>
      </c>
    </row>
    <row r="2970" spans="1:6" x14ac:dyDescent="0.55000000000000004">
      <c r="A2970">
        <v>6.8623891938470922E+18</v>
      </c>
      <c r="B2970" t="s">
        <v>578</v>
      </c>
      <c r="C2970" t="s">
        <v>10</v>
      </c>
      <c r="D2970">
        <v>6165</v>
      </c>
      <c r="E2970" s="4">
        <f t="shared" si="92"/>
        <v>44590</v>
      </c>
      <c r="F2970">
        <f t="shared" si="93"/>
        <v>439</v>
      </c>
    </row>
    <row r="2971" spans="1:6" x14ac:dyDescent="0.55000000000000004">
      <c r="A2971">
        <v>1.347478526802867E+19</v>
      </c>
      <c r="B2971" t="s">
        <v>964</v>
      </c>
      <c r="C2971" t="s">
        <v>10</v>
      </c>
      <c r="D2971">
        <v>1829</v>
      </c>
      <c r="E2971" s="4">
        <f t="shared" si="92"/>
        <v>44414</v>
      </c>
      <c r="F2971">
        <f t="shared" si="93"/>
        <v>615</v>
      </c>
    </row>
    <row r="2972" spans="1:6" x14ac:dyDescent="0.55000000000000004">
      <c r="A2972">
        <v>3.1980819334937871E+18</v>
      </c>
      <c r="B2972" t="s">
        <v>136</v>
      </c>
      <c r="C2972" t="s">
        <v>13</v>
      </c>
      <c r="D2972">
        <v>477</v>
      </c>
      <c r="E2972" s="4">
        <f t="shared" si="92"/>
        <v>44955</v>
      </c>
      <c r="F2972">
        <f t="shared" si="93"/>
        <v>74</v>
      </c>
    </row>
    <row r="2973" spans="1:6" x14ac:dyDescent="0.55000000000000004">
      <c r="A2973">
        <v>2.9446560957322291E+18</v>
      </c>
      <c r="B2973" t="s">
        <v>704</v>
      </c>
      <c r="C2973" t="s">
        <v>13</v>
      </c>
      <c r="D2973">
        <v>293</v>
      </c>
      <c r="E2973" s="4">
        <f t="shared" si="92"/>
        <v>43848</v>
      </c>
      <c r="F2973">
        <f t="shared" si="93"/>
        <v>1181</v>
      </c>
    </row>
    <row r="2974" spans="1:6" x14ac:dyDescent="0.55000000000000004">
      <c r="A2974">
        <v>7.8606803589434409E+18</v>
      </c>
      <c r="B2974" t="s">
        <v>700</v>
      </c>
      <c r="C2974" t="s">
        <v>5</v>
      </c>
      <c r="D2974">
        <v>1660</v>
      </c>
      <c r="E2974" s="4">
        <f t="shared" si="92"/>
        <v>44683</v>
      </c>
      <c r="F2974">
        <f t="shared" si="93"/>
        <v>346</v>
      </c>
    </row>
    <row r="2975" spans="1:6" x14ac:dyDescent="0.55000000000000004">
      <c r="A2975">
        <v>1.090260083347797E+19</v>
      </c>
      <c r="B2975" t="s">
        <v>1201</v>
      </c>
      <c r="C2975" t="s">
        <v>46</v>
      </c>
      <c r="D2975">
        <v>220</v>
      </c>
      <c r="E2975" s="4">
        <f t="shared" si="92"/>
        <v>43723</v>
      </c>
      <c r="F2975">
        <f t="shared" si="93"/>
        <v>1306</v>
      </c>
    </row>
    <row r="2976" spans="1:6" x14ac:dyDescent="0.55000000000000004">
      <c r="A2976">
        <v>1.7784724407515521E+19</v>
      </c>
      <c r="B2976" t="s">
        <v>478</v>
      </c>
      <c r="C2976" t="s">
        <v>13</v>
      </c>
      <c r="D2976">
        <v>1376</v>
      </c>
      <c r="E2976" s="4">
        <f t="shared" si="92"/>
        <v>44936</v>
      </c>
      <c r="F2976">
        <f t="shared" si="93"/>
        <v>93</v>
      </c>
    </row>
    <row r="2977" spans="1:6" x14ac:dyDescent="0.55000000000000004">
      <c r="A2977">
        <v>1.4126825949175851E+19</v>
      </c>
      <c r="B2977" t="s">
        <v>612</v>
      </c>
      <c r="C2977" t="s">
        <v>46</v>
      </c>
      <c r="D2977">
        <v>393</v>
      </c>
      <c r="E2977" s="4">
        <f t="shared" si="92"/>
        <v>44569</v>
      </c>
      <c r="F2977">
        <f t="shared" si="93"/>
        <v>460</v>
      </c>
    </row>
    <row r="2978" spans="1:6" x14ac:dyDescent="0.55000000000000004">
      <c r="A2978">
        <v>1.189424107996723E+19</v>
      </c>
      <c r="B2978" t="s">
        <v>1086</v>
      </c>
      <c r="C2978" t="s">
        <v>7</v>
      </c>
      <c r="D2978">
        <v>240</v>
      </c>
      <c r="E2978" s="4">
        <f t="shared" si="92"/>
        <v>44091</v>
      </c>
      <c r="F2978">
        <f t="shared" si="93"/>
        <v>938</v>
      </c>
    </row>
    <row r="2979" spans="1:6" x14ac:dyDescent="0.55000000000000004">
      <c r="A2979">
        <v>6.3615895712746906E+18</v>
      </c>
      <c r="B2979" t="s">
        <v>14</v>
      </c>
      <c r="C2979" t="s">
        <v>7</v>
      </c>
      <c r="D2979">
        <v>560</v>
      </c>
      <c r="E2979" s="4">
        <f t="shared" si="92"/>
        <v>44832</v>
      </c>
      <c r="F2979">
        <f t="shared" si="93"/>
        <v>197</v>
      </c>
    </row>
    <row r="2980" spans="1:6" x14ac:dyDescent="0.55000000000000004">
      <c r="A2980">
        <v>6.1484501004097894E+18</v>
      </c>
      <c r="B2980" t="s">
        <v>434</v>
      </c>
      <c r="C2980" t="s">
        <v>7</v>
      </c>
      <c r="D2980">
        <v>232</v>
      </c>
      <c r="E2980" s="4">
        <f t="shared" si="92"/>
        <v>44226</v>
      </c>
      <c r="F2980">
        <f t="shared" si="93"/>
        <v>803</v>
      </c>
    </row>
    <row r="2981" spans="1:6" x14ac:dyDescent="0.55000000000000004">
      <c r="A2981">
        <v>4.6557871521791642E+18</v>
      </c>
      <c r="B2981" t="s">
        <v>481</v>
      </c>
      <c r="C2981" t="s">
        <v>13</v>
      </c>
      <c r="D2981">
        <v>351</v>
      </c>
      <c r="E2981" s="4">
        <f t="shared" si="92"/>
        <v>44315</v>
      </c>
      <c r="F2981">
        <f t="shared" si="93"/>
        <v>714</v>
      </c>
    </row>
    <row r="2982" spans="1:6" x14ac:dyDescent="0.55000000000000004">
      <c r="A2982">
        <v>1.181448947375495E+19</v>
      </c>
      <c r="B2982" t="s">
        <v>928</v>
      </c>
      <c r="C2982" t="s">
        <v>10</v>
      </c>
      <c r="D2982">
        <v>5535</v>
      </c>
      <c r="E2982" s="4">
        <f t="shared" si="92"/>
        <v>43868</v>
      </c>
      <c r="F2982">
        <f t="shared" si="93"/>
        <v>1161</v>
      </c>
    </row>
    <row r="2983" spans="1:6" x14ac:dyDescent="0.55000000000000004">
      <c r="A2983">
        <v>1.347478526802867E+19</v>
      </c>
      <c r="B2983" t="s">
        <v>541</v>
      </c>
      <c r="C2983" t="s">
        <v>7</v>
      </c>
      <c r="D2983">
        <v>59</v>
      </c>
      <c r="E2983" s="4">
        <f t="shared" si="92"/>
        <v>44567</v>
      </c>
      <c r="F2983">
        <f t="shared" si="93"/>
        <v>462</v>
      </c>
    </row>
    <row r="2984" spans="1:6" x14ac:dyDescent="0.55000000000000004">
      <c r="A2984">
        <v>3.8673138421728932E+18</v>
      </c>
      <c r="B2984" t="s">
        <v>1202</v>
      </c>
      <c r="C2984" t="s">
        <v>10</v>
      </c>
      <c r="D2984">
        <v>3139</v>
      </c>
      <c r="E2984" s="4">
        <f t="shared" si="92"/>
        <v>44092</v>
      </c>
      <c r="F2984">
        <f t="shared" si="93"/>
        <v>937</v>
      </c>
    </row>
    <row r="2985" spans="1:6" x14ac:dyDescent="0.55000000000000004">
      <c r="A2985">
        <v>1.5017793853101789E+19</v>
      </c>
      <c r="B2985" t="s">
        <v>860</v>
      </c>
      <c r="C2985" t="s">
        <v>10</v>
      </c>
      <c r="D2985">
        <v>374</v>
      </c>
      <c r="E2985" s="4">
        <f t="shared" si="92"/>
        <v>43899</v>
      </c>
      <c r="F2985">
        <f t="shared" si="93"/>
        <v>1130</v>
      </c>
    </row>
    <row r="2986" spans="1:6" x14ac:dyDescent="0.55000000000000004">
      <c r="A2986">
        <v>1.63031221324014E+19</v>
      </c>
      <c r="B2986" t="s">
        <v>863</v>
      </c>
      <c r="C2986" t="s">
        <v>13</v>
      </c>
      <c r="D2986">
        <v>1640</v>
      </c>
      <c r="E2986" s="4">
        <f t="shared" si="92"/>
        <v>44881</v>
      </c>
      <c r="F2986">
        <f t="shared" si="93"/>
        <v>148</v>
      </c>
    </row>
    <row r="2987" spans="1:6" x14ac:dyDescent="0.55000000000000004">
      <c r="A2987">
        <v>5.2888979487340147E+17</v>
      </c>
      <c r="B2987" t="s">
        <v>386</v>
      </c>
      <c r="C2987" t="s">
        <v>7</v>
      </c>
      <c r="D2987">
        <v>374</v>
      </c>
      <c r="E2987" s="4">
        <f t="shared" si="92"/>
        <v>44329</v>
      </c>
      <c r="F2987">
        <f t="shared" si="93"/>
        <v>700</v>
      </c>
    </row>
    <row r="2988" spans="1:6" x14ac:dyDescent="0.55000000000000004">
      <c r="A2988">
        <v>8.5868986495551754E+18</v>
      </c>
      <c r="B2988" t="s">
        <v>874</v>
      </c>
      <c r="C2988" t="s">
        <v>10</v>
      </c>
      <c r="D2988">
        <v>1071</v>
      </c>
      <c r="E2988" s="4">
        <f t="shared" si="92"/>
        <v>44961</v>
      </c>
      <c r="F2988">
        <f t="shared" si="93"/>
        <v>68</v>
      </c>
    </row>
    <row r="2989" spans="1:6" x14ac:dyDescent="0.55000000000000004">
      <c r="A2989">
        <v>5.1490237090920947E+17</v>
      </c>
      <c r="B2989" t="s">
        <v>409</v>
      </c>
      <c r="C2989" t="s">
        <v>10</v>
      </c>
      <c r="D2989">
        <v>1065</v>
      </c>
      <c r="E2989" s="4">
        <f t="shared" si="92"/>
        <v>44489</v>
      </c>
      <c r="F2989">
        <f t="shared" si="93"/>
        <v>540</v>
      </c>
    </row>
    <row r="2990" spans="1:6" x14ac:dyDescent="0.55000000000000004">
      <c r="A2990">
        <v>1.218819727349224E+19</v>
      </c>
      <c r="B2990" t="s">
        <v>634</v>
      </c>
      <c r="C2990" t="s">
        <v>50</v>
      </c>
      <c r="D2990">
        <v>34</v>
      </c>
      <c r="E2990" s="4">
        <f t="shared" si="92"/>
        <v>44645</v>
      </c>
      <c r="F2990">
        <f t="shared" si="93"/>
        <v>384</v>
      </c>
    </row>
    <row r="2991" spans="1:6" x14ac:dyDescent="0.55000000000000004">
      <c r="A2991">
        <v>5.8340753107297587E+18</v>
      </c>
      <c r="B2991" t="s">
        <v>1203</v>
      </c>
      <c r="C2991" t="s">
        <v>13</v>
      </c>
      <c r="D2991">
        <v>4076</v>
      </c>
      <c r="E2991" s="4">
        <f t="shared" si="92"/>
        <v>44655</v>
      </c>
      <c r="F2991">
        <f t="shared" si="93"/>
        <v>374</v>
      </c>
    </row>
    <row r="2992" spans="1:6" x14ac:dyDescent="0.55000000000000004">
      <c r="A2992">
        <v>1.1360906724565379E+19</v>
      </c>
      <c r="B2992" t="s">
        <v>1204</v>
      </c>
      <c r="C2992" t="s">
        <v>13</v>
      </c>
      <c r="D2992">
        <v>600</v>
      </c>
      <c r="E2992" s="4">
        <f t="shared" si="92"/>
        <v>44725</v>
      </c>
      <c r="F2992">
        <f t="shared" si="93"/>
        <v>304</v>
      </c>
    </row>
    <row r="2993" spans="1:6" x14ac:dyDescent="0.55000000000000004">
      <c r="A2993">
        <v>8.7554948243829422E+18</v>
      </c>
      <c r="B2993" t="s">
        <v>107</v>
      </c>
      <c r="C2993" t="s">
        <v>50</v>
      </c>
      <c r="D2993">
        <v>28</v>
      </c>
      <c r="E2993" s="4">
        <f t="shared" si="92"/>
        <v>45019</v>
      </c>
      <c r="F2993">
        <f t="shared" si="93"/>
        <v>10</v>
      </c>
    </row>
    <row r="2994" spans="1:6" x14ac:dyDescent="0.55000000000000004">
      <c r="A2994">
        <v>1.1647961490567899E+19</v>
      </c>
      <c r="B2994" t="s">
        <v>484</v>
      </c>
      <c r="C2994" t="s">
        <v>10</v>
      </c>
      <c r="D2994">
        <v>645</v>
      </c>
      <c r="E2994" s="4">
        <f t="shared" si="92"/>
        <v>44326</v>
      </c>
      <c r="F2994">
        <f t="shared" si="93"/>
        <v>703</v>
      </c>
    </row>
    <row r="2995" spans="1:6" x14ac:dyDescent="0.55000000000000004">
      <c r="A2995">
        <v>3.113980125917739E+18</v>
      </c>
      <c r="B2995" t="s">
        <v>1048</v>
      </c>
      <c r="C2995" t="s">
        <v>10</v>
      </c>
      <c r="D2995">
        <v>195</v>
      </c>
      <c r="E2995" s="4">
        <f t="shared" si="92"/>
        <v>44364</v>
      </c>
      <c r="F2995">
        <f t="shared" si="93"/>
        <v>665</v>
      </c>
    </row>
    <row r="2996" spans="1:6" x14ac:dyDescent="0.55000000000000004">
      <c r="A2996">
        <v>1.133390963730451E+19</v>
      </c>
      <c r="B2996" t="s">
        <v>714</v>
      </c>
      <c r="C2996" t="s">
        <v>7</v>
      </c>
      <c r="D2996">
        <v>12760</v>
      </c>
      <c r="E2996" s="4">
        <f t="shared" si="92"/>
        <v>44935</v>
      </c>
      <c r="F2996">
        <f t="shared" si="93"/>
        <v>94</v>
      </c>
    </row>
    <row r="2997" spans="1:6" x14ac:dyDescent="0.55000000000000004">
      <c r="A2997">
        <v>3.1427461519250831E+18</v>
      </c>
      <c r="B2997" t="s">
        <v>282</v>
      </c>
      <c r="C2997" t="s">
        <v>46</v>
      </c>
      <c r="D2997">
        <v>519</v>
      </c>
      <c r="E2997" s="4">
        <f t="shared" si="92"/>
        <v>44557</v>
      </c>
      <c r="F2997">
        <f t="shared" si="93"/>
        <v>472</v>
      </c>
    </row>
    <row r="2998" spans="1:6" x14ac:dyDescent="0.55000000000000004">
      <c r="A2998">
        <v>7.7545241007708902E+17</v>
      </c>
      <c r="B2998" t="s">
        <v>1205</v>
      </c>
      <c r="C2998" t="s">
        <v>13</v>
      </c>
      <c r="D2998">
        <v>286</v>
      </c>
      <c r="E2998" s="4">
        <f t="shared" si="92"/>
        <v>44458</v>
      </c>
      <c r="F2998">
        <f t="shared" si="93"/>
        <v>571</v>
      </c>
    </row>
    <row r="2999" spans="1:6" x14ac:dyDescent="0.55000000000000004">
      <c r="A2999">
        <v>1.815082326075271E+19</v>
      </c>
      <c r="B2999" t="s">
        <v>459</v>
      </c>
      <c r="C2999" t="s">
        <v>10</v>
      </c>
      <c r="D2999">
        <v>278</v>
      </c>
      <c r="E2999" s="4">
        <f t="shared" si="92"/>
        <v>43876</v>
      </c>
      <c r="F2999">
        <f t="shared" si="93"/>
        <v>1153</v>
      </c>
    </row>
    <row r="3000" spans="1:6" x14ac:dyDescent="0.55000000000000004">
      <c r="A3000">
        <v>1.9199465908224901E+18</v>
      </c>
      <c r="B3000" t="s">
        <v>196</v>
      </c>
      <c r="C3000" t="s">
        <v>13</v>
      </c>
      <c r="D3000">
        <v>820</v>
      </c>
      <c r="E3000" s="4">
        <f t="shared" si="92"/>
        <v>44759</v>
      </c>
      <c r="F3000">
        <f t="shared" si="93"/>
        <v>270</v>
      </c>
    </row>
    <row r="3001" spans="1:6" x14ac:dyDescent="0.55000000000000004">
      <c r="A3001">
        <v>1.0924272414218809E+19</v>
      </c>
      <c r="B3001" t="s">
        <v>411</v>
      </c>
      <c r="C3001" t="s">
        <v>50</v>
      </c>
      <c r="D3001">
        <v>289</v>
      </c>
      <c r="E3001" s="4">
        <f t="shared" si="92"/>
        <v>44625</v>
      </c>
      <c r="F3001">
        <f t="shared" si="93"/>
        <v>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31B6-F5B4-4F00-9040-27FFAC599A0A}">
  <dimension ref="A3:D2120"/>
  <sheetViews>
    <sheetView topLeftCell="A2098" workbookViewId="0">
      <selection activeCell="A4" sqref="A4:D2119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8.26171875" customWidth="1"/>
  </cols>
  <sheetData>
    <row r="3" spans="1:4" x14ac:dyDescent="0.55000000000000004">
      <c r="A3" s="5" t="s">
        <v>1208</v>
      </c>
      <c r="B3" t="s">
        <v>1210</v>
      </c>
      <c r="C3" t="s">
        <v>1211</v>
      </c>
      <c r="D3" t="s">
        <v>1212</v>
      </c>
    </row>
    <row r="4" spans="1:4" x14ac:dyDescent="0.55000000000000004">
      <c r="A4" s="6">
        <v>2816901033034348</v>
      </c>
      <c r="B4">
        <v>979</v>
      </c>
      <c r="C4">
        <v>1</v>
      </c>
      <c r="D4">
        <v>260</v>
      </c>
    </row>
    <row r="5" spans="1:4" x14ac:dyDescent="0.55000000000000004">
      <c r="A5" s="6">
        <v>8764728508113736</v>
      </c>
      <c r="B5">
        <v>211</v>
      </c>
      <c r="C5">
        <v>1</v>
      </c>
      <c r="D5">
        <v>3821</v>
      </c>
    </row>
    <row r="6" spans="1:4" x14ac:dyDescent="0.55000000000000004">
      <c r="A6" s="6">
        <v>2.675483009273758E+16</v>
      </c>
      <c r="B6">
        <v>662</v>
      </c>
      <c r="C6">
        <v>1</v>
      </c>
      <c r="D6">
        <v>400</v>
      </c>
    </row>
    <row r="7" spans="1:4" x14ac:dyDescent="0.55000000000000004">
      <c r="A7" s="6">
        <v>4.159539491611084E+16</v>
      </c>
      <c r="B7">
        <v>497</v>
      </c>
      <c r="C7">
        <v>1</v>
      </c>
      <c r="D7">
        <v>525</v>
      </c>
    </row>
    <row r="8" spans="1:4" x14ac:dyDescent="0.55000000000000004">
      <c r="A8" s="6">
        <v>4.2908079193108336E+16</v>
      </c>
      <c r="B8">
        <v>649</v>
      </c>
      <c r="C8">
        <v>2</v>
      </c>
      <c r="D8">
        <v>1013</v>
      </c>
    </row>
    <row r="9" spans="1:4" x14ac:dyDescent="0.55000000000000004">
      <c r="A9" s="6">
        <v>4.3439807576502672E+16</v>
      </c>
      <c r="B9">
        <v>225</v>
      </c>
      <c r="C9">
        <v>1</v>
      </c>
      <c r="D9">
        <v>4120</v>
      </c>
    </row>
    <row r="10" spans="1:4" x14ac:dyDescent="0.55000000000000004">
      <c r="A10" s="6">
        <v>6.2331944931402336E+16</v>
      </c>
      <c r="B10">
        <v>39</v>
      </c>
      <c r="C10">
        <v>2</v>
      </c>
      <c r="D10">
        <v>313</v>
      </c>
    </row>
    <row r="11" spans="1:4" x14ac:dyDescent="0.55000000000000004">
      <c r="A11" s="6">
        <v>7.1926447705133344E+16</v>
      </c>
      <c r="B11">
        <v>885</v>
      </c>
      <c r="C11">
        <v>1</v>
      </c>
      <c r="D11">
        <v>590</v>
      </c>
    </row>
    <row r="12" spans="1:4" x14ac:dyDescent="0.55000000000000004">
      <c r="A12" s="6">
        <v>7.5960602852994256E+16</v>
      </c>
      <c r="B12">
        <v>27</v>
      </c>
      <c r="C12">
        <v>2</v>
      </c>
      <c r="D12">
        <v>1497</v>
      </c>
    </row>
    <row r="13" spans="1:4" x14ac:dyDescent="0.55000000000000004">
      <c r="A13" s="6">
        <v>7.658255809365472E+16</v>
      </c>
      <c r="B13">
        <v>831</v>
      </c>
      <c r="C13">
        <v>1</v>
      </c>
      <c r="D13">
        <v>526</v>
      </c>
    </row>
    <row r="14" spans="1:4" x14ac:dyDescent="0.55000000000000004">
      <c r="A14" s="6">
        <v>7.7522488485274096E+16</v>
      </c>
      <c r="B14">
        <v>377</v>
      </c>
      <c r="C14">
        <v>2</v>
      </c>
      <c r="D14">
        <v>888</v>
      </c>
    </row>
    <row r="15" spans="1:4" x14ac:dyDescent="0.55000000000000004">
      <c r="A15" s="6">
        <v>1.0133316379391859E+17</v>
      </c>
      <c r="B15">
        <v>516</v>
      </c>
      <c r="C15">
        <v>1</v>
      </c>
      <c r="D15">
        <v>6996</v>
      </c>
    </row>
    <row r="16" spans="1:4" x14ac:dyDescent="0.55000000000000004">
      <c r="A16" s="6">
        <v>1.050880082467677E+17</v>
      </c>
      <c r="B16">
        <v>1088</v>
      </c>
      <c r="C16">
        <v>1</v>
      </c>
      <c r="D16">
        <v>3880</v>
      </c>
    </row>
    <row r="17" spans="1:4" x14ac:dyDescent="0.55000000000000004">
      <c r="A17" s="6">
        <v>1.125281831084453E+17</v>
      </c>
      <c r="B17">
        <v>942</v>
      </c>
      <c r="C17">
        <v>1</v>
      </c>
      <c r="D17">
        <v>109</v>
      </c>
    </row>
    <row r="18" spans="1:4" x14ac:dyDescent="0.55000000000000004">
      <c r="A18" s="6">
        <v>1.179509387340972E+17</v>
      </c>
      <c r="B18">
        <v>337</v>
      </c>
      <c r="C18">
        <v>1</v>
      </c>
      <c r="D18">
        <v>1550</v>
      </c>
    </row>
    <row r="19" spans="1:4" x14ac:dyDescent="0.55000000000000004">
      <c r="A19" s="6">
        <v>1.205505894706743E+17</v>
      </c>
      <c r="B19">
        <v>325</v>
      </c>
      <c r="C19">
        <v>1</v>
      </c>
      <c r="D19">
        <v>659</v>
      </c>
    </row>
    <row r="20" spans="1:4" x14ac:dyDescent="0.55000000000000004">
      <c r="A20" s="6">
        <v>1.262782042322577E+17</v>
      </c>
      <c r="B20">
        <v>43</v>
      </c>
      <c r="C20">
        <v>1</v>
      </c>
      <c r="D20">
        <v>2153</v>
      </c>
    </row>
    <row r="21" spans="1:4" x14ac:dyDescent="0.55000000000000004">
      <c r="A21" s="6">
        <v>1.508520758869896E+17</v>
      </c>
      <c r="B21">
        <v>175</v>
      </c>
      <c r="C21">
        <v>1</v>
      </c>
      <c r="D21">
        <v>0</v>
      </c>
    </row>
    <row r="22" spans="1:4" x14ac:dyDescent="0.55000000000000004">
      <c r="A22" s="6">
        <v>1.5129134836081629E+17</v>
      </c>
      <c r="B22">
        <v>1215</v>
      </c>
      <c r="C22">
        <v>1</v>
      </c>
      <c r="D22">
        <v>340</v>
      </c>
    </row>
    <row r="23" spans="1:4" x14ac:dyDescent="0.55000000000000004">
      <c r="A23" s="6">
        <v>1.6006104658813891E+17</v>
      </c>
      <c r="B23">
        <v>53</v>
      </c>
      <c r="C23">
        <v>1</v>
      </c>
      <c r="D23">
        <v>1750</v>
      </c>
    </row>
    <row r="24" spans="1:4" x14ac:dyDescent="0.55000000000000004">
      <c r="A24" s="6">
        <v>1.7892811772394758E+17</v>
      </c>
      <c r="B24">
        <v>126</v>
      </c>
      <c r="C24">
        <v>2</v>
      </c>
      <c r="D24">
        <v>934</v>
      </c>
    </row>
    <row r="25" spans="1:4" x14ac:dyDescent="0.55000000000000004">
      <c r="A25" s="6">
        <v>1.8435006646178829E+17</v>
      </c>
      <c r="B25">
        <v>236</v>
      </c>
      <c r="C25">
        <v>1</v>
      </c>
      <c r="D25">
        <v>2556</v>
      </c>
    </row>
    <row r="26" spans="1:4" x14ac:dyDescent="0.55000000000000004">
      <c r="A26" s="6">
        <v>1.844682043730959E+17</v>
      </c>
      <c r="B26">
        <v>1200</v>
      </c>
      <c r="C26">
        <v>1</v>
      </c>
      <c r="D26">
        <v>229</v>
      </c>
    </row>
    <row r="27" spans="1:4" x14ac:dyDescent="0.55000000000000004">
      <c r="A27" s="6">
        <v>1.991966278736863E+17</v>
      </c>
      <c r="B27">
        <v>166</v>
      </c>
      <c r="C27">
        <v>1</v>
      </c>
      <c r="D27">
        <v>1057</v>
      </c>
    </row>
    <row r="28" spans="1:4" x14ac:dyDescent="0.55000000000000004">
      <c r="A28" s="6">
        <v>2.0274978980772051E+17</v>
      </c>
      <c r="B28">
        <v>200</v>
      </c>
      <c r="C28">
        <v>1</v>
      </c>
      <c r="D28">
        <v>564</v>
      </c>
    </row>
    <row r="29" spans="1:4" x14ac:dyDescent="0.55000000000000004">
      <c r="A29" s="6">
        <v>2.0614502803442918E+17</v>
      </c>
      <c r="B29">
        <v>173</v>
      </c>
      <c r="C29">
        <v>1</v>
      </c>
      <c r="D29">
        <v>595</v>
      </c>
    </row>
    <row r="30" spans="1:4" x14ac:dyDescent="0.55000000000000004">
      <c r="A30" s="6">
        <v>2.1153047796426621E+17</v>
      </c>
      <c r="B30">
        <v>464</v>
      </c>
      <c r="C30">
        <v>1</v>
      </c>
      <c r="D30">
        <v>1828</v>
      </c>
    </row>
    <row r="31" spans="1:4" x14ac:dyDescent="0.55000000000000004">
      <c r="A31" s="6">
        <v>2.170703312628712E+17</v>
      </c>
      <c r="B31">
        <v>71</v>
      </c>
      <c r="C31">
        <v>1</v>
      </c>
      <c r="D31">
        <v>4845</v>
      </c>
    </row>
    <row r="32" spans="1:4" x14ac:dyDescent="0.55000000000000004">
      <c r="A32" s="6">
        <v>2.2735627226089562E+17</v>
      </c>
      <c r="B32">
        <v>1217</v>
      </c>
      <c r="C32">
        <v>1</v>
      </c>
      <c r="D32">
        <v>455</v>
      </c>
    </row>
    <row r="33" spans="1:4" x14ac:dyDescent="0.55000000000000004">
      <c r="A33" s="6">
        <v>2.510202513728401E+17</v>
      </c>
      <c r="B33">
        <v>48</v>
      </c>
      <c r="C33">
        <v>2</v>
      </c>
      <c r="D33">
        <v>1948</v>
      </c>
    </row>
    <row r="34" spans="1:4" x14ac:dyDescent="0.55000000000000004">
      <c r="A34" s="6">
        <v>2.5539692136129722E+17</v>
      </c>
      <c r="B34">
        <v>344</v>
      </c>
      <c r="C34">
        <v>3</v>
      </c>
      <c r="D34">
        <v>4810</v>
      </c>
    </row>
    <row r="35" spans="1:4" x14ac:dyDescent="0.55000000000000004">
      <c r="A35" s="6">
        <v>2.558736456745999E+17</v>
      </c>
      <c r="B35">
        <v>414</v>
      </c>
      <c r="C35">
        <v>2</v>
      </c>
      <c r="D35">
        <v>2429</v>
      </c>
    </row>
    <row r="36" spans="1:4" x14ac:dyDescent="0.55000000000000004">
      <c r="A36" s="6">
        <v>2.6284022932710202E+17</v>
      </c>
      <c r="B36">
        <v>510</v>
      </c>
      <c r="C36">
        <v>2</v>
      </c>
      <c r="D36">
        <v>524</v>
      </c>
    </row>
    <row r="37" spans="1:4" x14ac:dyDescent="0.55000000000000004">
      <c r="A37" s="6">
        <v>2.6730237118069891E+17</v>
      </c>
      <c r="B37">
        <v>21</v>
      </c>
      <c r="C37">
        <v>2</v>
      </c>
      <c r="D37">
        <v>1269</v>
      </c>
    </row>
    <row r="38" spans="1:4" x14ac:dyDescent="0.55000000000000004">
      <c r="A38" s="6">
        <v>2.7912441794673299E+17</v>
      </c>
      <c r="B38">
        <v>265</v>
      </c>
      <c r="C38">
        <v>1</v>
      </c>
      <c r="D38">
        <v>1550</v>
      </c>
    </row>
    <row r="39" spans="1:4" x14ac:dyDescent="0.55000000000000004">
      <c r="A39" s="6">
        <v>3.0216912176067718E+17</v>
      </c>
      <c r="B39">
        <v>45</v>
      </c>
      <c r="C39">
        <v>1</v>
      </c>
      <c r="D39">
        <v>152</v>
      </c>
    </row>
    <row r="40" spans="1:4" x14ac:dyDescent="0.55000000000000004">
      <c r="A40" s="6">
        <v>3.0310206824360947E+17</v>
      </c>
      <c r="B40">
        <v>263</v>
      </c>
      <c r="C40">
        <v>3</v>
      </c>
      <c r="D40">
        <v>16528</v>
      </c>
    </row>
    <row r="41" spans="1:4" x14ac:dyDescent="0.55000000000000004">
      <c r="A41" s="6">
        <v>3.1122270540513478E+17</v>
      </c>
      <c r="B41">
        <v>48</v>
      </c>
      <c r="C41">
        <v>1</v>
      </c>
      <c r="D41">
        <v>534</v>
      </c>
    </row>
    <row r="42" spans="1:4" x14ac:dyDescent="0.55000000000000004">
      <c r="A42" s="6">
        <v>3.3239069988387597E+17</v>
      </c>
      <c r="B42">
        <v>675</v>
      </c>
      <c r="C42">
        <v>2</v>
      </c>
      <c r="D42">
        <v>7667</v>
      </c>
    </row>
    <row r="43" spans="1:4" x14ac:dyDescent="0.55000000000000004">
      <c r="A43" s="6">
        <v>3.3761717883426061E+17</v>
      </c>
      <c r="B43">
        <v>1132</v>
      </c>
      <c r="C43">
        <v>1</v>
      </c>
      <c r="D43">
        <v>285</v>
      </c>
    </row>
    <row r="44" spans="1:4" x14ac:dyDescent="0.55000000000000004">
      <c r="A44" s="6">
        <v>3.496079894106553E+17</v>
      </c>
      <c r="B44">
        <v>829</v>
      </c>
      <c r="C44">
        <v>1</v>
      </c>
      <c r="D44">
        <v>918</v>
      </c>
    </row>
    <row r="45" spans="1:4" x14ac:dyDescent="0.55000000000000004">
      <c r="A45" s="6">
        <v>3.599136762635753E+17</v>
      </c>
      <c r="B45">
        <v>363</v>
      </c>
      <c r="C45">
        <v>1</v>
      </c>
      <c r="D45">
        <v>3760</v>
      </c>
    </row>
    <row r="46" spans="1:4" x14ac:dyDescent="0.55000000000000004">
      <c r="A46" s="6">
        <v>3.6529955794416147E+17</v>
      </c>
      <c r="B46">
        <v>469</v>
      </c>
      <c r="C46">
        <v>1</v>
      </c>
      <c r="D46">
        <v>1708</v>
      </c>
    </row>
    <row r="47" spans="1:4" x14ac:dyDescent="0.55000000000000004">
      <c r="A47" s="6">
        <v>3.7695374929120262E+17</v>
      </c>
      <c r="B47">
        <v>1094</v>
      </c>
      <c r="C47">
        <v>1</v>
      </c>
      <c r="D47">
        <v>1526</v>
      </c>
    </row>
    <row r="48" spans="1:4" x14ac:dyDescent="0.55000000000000004">
      <c r="A48" s="6">
        <v>4.0056088428659872E+17</v>
      </c>
      <c r="B48">
        <v>144</v>
      </c>
      <c r="C48">
        <v>1</v>
      </c>
      <c r="D48">
        <v>196</v>
      </c>
    </row>
    <row r="49" spans="1:4" x14ac:dyDescent="0.55000000000000004">
      <c r="A49" s="6">
        <v>4.0567490631498502E+17</v>
      </c>
      <c r="B49">
        <v>907</v>
      </c>
      <c r="C49">
        <v>1</v>
      </c>
      <c r="D49">
        <v>258</v>
      </c>
    </row>
    <row r="50" spans="1:4" x14ac:dyDescent="0.55000000000000004">
      <c r="A50" s="6">
        <v>4.2128249009435482E+17</v>
      </c>
      <c r="B50">
        <v>39</v>
      </c>
      <c r="C50">
        <v>1</v>
      </c>
      <c r="D50">
        <v>2086</v>
      </c>
    </row>
    <row r="51" spans="1:4" x14ac:dyDescent="0.55000000000000004">
      <c r="A51" s="6">
        <v>4.2232134497167789E+17</v>
      </c>
      <c r="B51">
        <v>729</v>
      </c>
      <c r="C51">
        <v>2</v>
      </c>
      <c r="D51">
        <v>2499</v>
      </c>
    </row>
    <row r="52" spans="1:4" x14ac:dyDescent="0.55000000000000004">
      <c r="A52" s="6">
        <v>4.2674102297674528E+17</v>
      </c>
      <c r="B52">
        <v>112</v>
      </c>
      <c r="C52">
        <v>2</v>
      </c>
      <c r="D52">
        <v>497</v>
      </c>
    </row>
    <row r="53" spans="1:4" x14ac:dyDescent="0.55000000000000004">
      <c r="A53" s="6">
        <v>4.3485892790521062E+17</v>
      </c>
      <c r="B53">
        <v>718</v>
      </c>
      <c r="C53">
        <v>1</v>
      </c>
      <c r="D53">
        <v>1224</v>
      </c>
    </row>
    <row r="54" spans="1:4" x14ac:dyDescent="0.55000000000000004">
      <c r="A54" s="6">
        <v>4.6013205350899379E+17</v>
      </c>
      <c r="B54">
        <v>116</v>
      </c>
      <c r="C54">
        <v>1</v>
      </c>
      <c r="D54">
        <v>1890</v>
      </c>
    </row>
    <row r="55" spans="1:4" x14ac:dyDescent="0.55000000000000004">
      <c r="A55" s="6">
        <v>4.7412492185996429E+17</v>
      </c>
      <c r="B55">
        <v>240</v>
      </c>
      <c r="C55">
        <v>4</v>
      </c>
      <c r="D55">
        <v>11830</v>
      </c>
    </row>
    <row r="56" spans="1:4" x14ac:dyDescent="0.55000000000000004">
      <c r="A56" s="6">
        <v>4.8461358195959821E+17</v>
      </c>
      <c r="B56">
        <v>124</v>
      </c>
      <c r="C56">
        <v>2</v>
      </c>
      <c r="D56">
        <v>35480</v>
      </c>
    </row>
    <row r="57" spans="1:4" x14ac:dyDescent="0.55000000000000004">
      <c r="A57" s="6">
        <v>4.9488081381740602E+17</v>
      </c>
      <c r="B57">
        <v>269</v>
      </c>
      <c r="C57">
        <v>1</v>
      </c>
      <c r="D57">
        <v>215</v>
      </c>
    </row>
    <row r="58" spans="1:4" x14ac:dyDescent="0.55000000000000004">
      <c r="A58" s="6">
        <v>5.0554200549703558E+17</v>
      </c>
      <c r="B58">
        <v>119</v>
      </c>
      <c r="C58">
        <v>1</v>
      </c>
      <c r="D58">
        <v>3270</v>
      </c>
    </row>
    <row r="59" spans="1:4" x14ac:dyDescent="0.55000000000000004">
      <c r="A59" s="6">
        <v>5.101889176606089E+17</v>
      </c>
      <c r="B59">
        <v>216</v>
      </c>
      <c r="C59">
        <v>2</v>
      </c>
      <c r="D59">
        <v>3866</v>
      </c>
    </row>
    <row r="60" spans="1:4" x14ac:dyDescent="0.55000000000000004">
      <c r="A60" s="6">
        <v>5.1490237090920947E+17</v>
      </c>
      <c r="B60">
        <v>540</v>
      </c>
      <c r="C60">
        <v>3</v>
      </c>
      <c r="D60">
        <v>6386</v>
      </c>
    </row>
    <row r="61" spans="1:4" x14ac:dyDescent="0.55000000000000004">
      <c r="A61" s="6">
        <v>5.2033099489170362E+17</v>
      </c>
      <c r="B61">
        <v>110</v>
      </c>
      <c r="C61">
        <v>1</v>
      </c>
      <c r="D61">
        <v>4136</v>
      </c>
    </row>
    <row r="62" spans="1:4" x14ac:dyDescent="0.55000000000000004">
      <c r="A62" s="6">
        <v>5.2409836785042022E+17</v>
      </c>
      <c r="B62">
        <v>75</v>
      </c>
      <c r="C62">
        <v>1</v>
      </c>
      <c r="D62">
        <v>13965</v>
      </c>
    </row>
    <row r="63" spans="1:4" x14ac:dyDescent="0.55000000000000004">
      <c r="A63" s="6">
        <v>5.2888979487340147E+17</v>
      </c>
      <c r="B63">
        <v>220</v>
      </c>
      <c r="C63">
        <v>2</v>
      </c>
      <c r="D63">
        <v>3489</v>
      </c>
    </row>
    <row r="64" spans="1:4" x14ac:dyDescent="0.55000000000000004">
      <c r="A64" s="6">
        <v>5.4414353538628083E+17</v>
      </c>
      <c r="B64">
        <v>230</v>
      </c>
      <c r="C64">
        <v>1</v>
      </c>
      <c r="D64">
        <v>11873</v>
      </c>
    </row>
    <row r="65" spans="1:4" x14ac:dyDescent="0.55000000000000004">
      <c r="A65" s="6">
        <v>5.718961874495673E+17</v>
      </c>
      <c r="B65">
        <v>7</v>
      </c>
      <c r="C65">
        <v>3</v>
      </c>
      <c r="D65">
        <v>2466</v>
      </c>
    </row>
    <row r="66" spans="1:4" x14ac:dyDescent="0.55000000000000004">
      <c r="A66" s="6">
        <v>5.7242372799877747E+17</v>
      </c>
      <c r="B66">
        <v>281</v>
      </c>
      <c r="C66">
        <v>1</v>
      </c>
      <c r="D66">
        <v>3175</v>
      </c>
    </row>
    <row r="67" spans="1:4" x14ac:dyDescent="0.55000000000000004">
      <c r="A67" s="6">
        <v>5.7520093369095059E+17</v>
      </c>
      <c r="B67">
        <v>366</v>
      </c>
      <c r="C67">
        <v>1</v>
      </c>
      <c r="D67">
        <v>504</v>
      </c>
    </row>
    <row r="68" spans="1:4" x14ac:dyDescent="0.55000000000000004">
      <c r="A68" s="6">
        <v>5.8332898819975539E+17</v>
      </c>
      <c r="B68">
        <v>34</v>
      </c>
      <c r="C68">
        <v>1</v>
      </c>
      <c r="D68">
        <v>217</v>
      </c>
    </row>
    <row r="69" spans="1:4" x14ac:dyDescent="0.55000000000000004">
      <c r="A69" s="6">
        <v>5.8347292509330957E+17</v>
      </c>
      <c r="B69">
        <v>728</v>
      </c>
      <c r="C69">
        <v>1</v>
      </c>
      <c r="D69">
        <v>1524</v>
      </c>
    </row>
    <row r="70" spans="1:4" x14ac:dyDescent="0.55000000000000004">
      <c r="A70" s="6">
        <v>5.9528414625950733E+17</v>
      </c>
      <c r="B70">
        <v>595</v>
      </c>
      <c r="C70">
        <v>1</v>
      </c>
      <c r="D70">
        <v>2250</v>
      </c>
    </row>
    <row r="71" spans="1:4" x14ac:dyDescent="0.55000000000000004">
      <c r="A71" s="6">
        <v>6.4384708484770816E+17</v>
      </c>
      <c r="B71">
        <v>415</v>
      </c>
      <c r="C71">
        <v>2</v>
      </c>
      <c r="D71">
        <v>1727</v>
      </c>
    </row>
    <row r="72" spans="1:4" x14ac:dyDescent="0.55000000000000004">
      <c r="A72" s="6">
        <v>6.5042221589072218E+17</v>
      </c>
      <c r="B72">
        <v>437</v>
      </c>
      <c r="C72">
        <v>1</v>
      </c>
      <c r="D72">
        <v>1304</v>
      </c>
    </row>
    <row r="73" spans="1:4" x14ac:dyDescent="0.55000000000000004">
      <c r="A73" s="6">
        <v>6.5094737371796442E+17</v>
      </c>
      <c r="B73">
        <v>1128</v>
      </c>
      <c r="C73">
        <v>1</v>
      </c>
      <c r="D73">
        <v>199</v>
      </c>
    </row>
    <row r="74" spans="1:4" x14ac:dyDescent="0.55000000000000004">
      <c r="A74" s="6">
        <v>6.5503717846688806E+17</v>
      </c>
      <c r="B74">
        <v>768</v>
      </c>
      <c r="C74">
        <v>1</v>
      </c>
      <c r="D74">
        <v>249</v>
      </c>
    </row>
    <row r="75" spans="1:4" x14ac:dyDescent="0.55000000000000004">
      <c r="A75" s="6">
        <v>6.6437018081170381E+17</v>
      </c>
      <c r="B75">
        <v>534</v>
      </c>
      <c r="C75">
        <v>3</v>
      </c>
      <c r="D75">
        <v>5435</v>
      </c>
    </row>
    <row r="76" spans="1:4" x14ac:dyDescent="0.55000000000000004">
      <c r="A76" s="6">
        <v>6.7143940165693606E+17</v>
      </c>
      <c r="B76">
        <v>601</v>
      </c>
      <c r="C76">
        <v>1</v>
      </c>
      <c r="D76">
        <v>2054</v>
      </c>
    </row>
    <row r="77" spans="1:4" x14ac:dyDescent="0.55000000000000004">
      <c r="A77" s="6">
        <v>6.9147518516432422E+17</v>
      </c>
      <c r="B77">
        <v>58</v>
      </c>
      <c r="C77">
        <v>3</v>
      </c>
      <c r="D77">
        <v>7695</v>
      </c>
    </row>
    <row r="78" spans="1:4" x14ac:dyDescent="0.55000000000000004">
      <c r="A78" s="6">
        <v>6.9217811551564902E+17</v>
      </c>
      <c r="B78">
        <v>960</v>
      </c>
      <c r="C78">
        <v>1</v>
      </c>
      <c r="D78">
        <v>208</v>
      </c>
    </row>
    <row r="79" spans="1:4" x14ac:dyDescent="0.55000000000000004">
      <c r="A79" s="6">
        <v>7.0215235198250227E+17</v>
      </c>
      <c r="B79">
        <v>383</v>
      </c>
      <c r="C79">
        <v>1</v>
      </c>
      <c r="D79">
        <v>2594</v>
      </c>
    </row>
    <row r="80" spans="1:4" x14ac:dyDescent="0.55000000000000004">
      <c r="A80" s="6">
        <v>7.0551409579902822E+17</v>
      </c>
      <c r="B80">
        <v>174</v>
      </c>
      <c r="C80">
        <v>1</v>
      </c>
      <c r="D80">
        <v>989</v>
      </c>
    </row>
    <row r="81" spans="1:4" x14ac:dyDescent="0.55000000000000004">
      <c r="A81" s="6">
        <v>7.1131906820418394E+17</v>
      </c>
      <c r="B81">
        <v>289</v>
      </c>
      <c r="C81">
        <v>2</v>
      </c>
      <c r="D81">
        <v>9370</v>
      </c>
    </row>
    <row r="82" spans="1:4" x14ac:dyDescent="0.55000000000000004">
      <c r="A82" s="6">
        <v>7.4680932947525184E+17</v>
      </c>
      <c r="B82">
        <v>84</v>
      </c>
      <c r="C82">
        <v>2</v>
      </c>
      <c r="D82">
        <v>2617</v>
      </c>
    </row>
    <row r="83" spans="1:4" x14ac:dyDescent="0.55000000000000004">
      <c r="A83" s="6">
        <v>7.7097380129693888E+17</v>
      </c>
      <c r="B83">
        <v>408</v>
      </c>
      <c r="C83">
        <v>1</v>
      </c>
      <c r="D83">
        <v>5112</v>
      </c>
    </row>
    <row r="84" spans="1:4" x14ac:dyDescent="0.55000000000000004">
      <c r="A84" s="6">
        <v>7.7222975608200474E+17</v>
      </c>
      <c r="B84">
        <v>1124</v>
      </c>
      <c r="C84">
        <v>1</v>
      </c>
      <c r="D84">
        <v>89</v>
      </c>
    </row>
    <row r="85" spans="1:4" x14ac:dyDescent="0.55000000000000004">
      <c r="A85" s="6">
        <v>7.7311230077990822E+17</v>
      </c>
      <c r="B85">
        <v>249</v>
      </c>
      <c r="C85">
        <v>3</v>
      </c>
      <c r="D85">
        <v>4900</v>
      </c>
    </row>
    <row r="86" spans="1:4" x14ac:dyDescent="0.55000000000000004">
      <c r="A86" s="6">
        <v>7.7545241007708902E+17</v>
      </c>
      <c r="B86">
        <v>298</v>
      </c>
      <c r="C86">
        <v>3</v>
      </c>
      <c r="D86">
        <v>827</v>
      </c>
    </row>
    <row r="87" spans="1:4" x14ac:dyDescent="0.55000000000000004">
      <c r="A87" s="6">
        <v>7.8213919786076019E+17</v>
      </c>
      <c r="B87">
        <v>210</v>
      </c>
      <c r="C87">
        <v>1</v>
      </c>
      <c r="D87">
        <v>296</v>
      </c>
    </row>
    <row r="88" spans="1:4" x14ac:dyDescent="0.55000000000000004">
      <c r="A88" s="6">
        <v>7.8620508395246733E+17</v>
      </c>
      <c r="B88">
        <v>1281</v>
      </c>
      <c r="C88">
        <v>2</v>
      </c>
      <c r="D88">
        <v>13233</v>
      </c>
    </row>
    <row r="89" spans="1:4" x14ac:dyDescent="0.55000000000000004">
      <c r="A89" s="6">
        <v>8.0436897055711142E+17</v>
      </c>
      <c r="B89">
        <v>158</v>
      </c>
      <c r="C89">
        <v>2</v>
      </c>
      <c r="D89">
        <v>852</v>
      </c>
    </row>
    <row r="90" spans="1:4" x14ac:dyDescent="0.55000000000000004">
      <c r="A90" s="6">
        <v>8.0907281256138419E+17</v>
      </c>
      <c r="B90">
        <v>593</v>
      </c>
      <c r="C90">
        <v>1</v>
      </c>
      <c r="D90">
        <v>9542</v>
      </c>
    </row>
    <row r="91" spans="1:4" x14ac:dyDescent="0.55000000000000004">
      <c r="A91" s="6">
        <v>8.2096220943901811E+17</v>
      </c>
      <c r="B91">
        <v>523</v>
      </c>
      <c r="C91">
        <v>1</v>
      </c>
      <c r="D91">
        <v>10530</v>
      </c>
    </row>
    <row r="92" spans="1:4" x14ac:dyDescent="0.55000000000000004">
      <c r="A92" s="6">
        <v>8.466503340618112E+17</v>
      </c>
      <c r="B92">
        <v>748</v>
      </c>
      <c r="C92">
        <v>2</v>
      </c>
      <c r="D92">
        <v>1005</v>
      </c>
    </row>
    <row r="93" spans="1:4" x14ac:dyDescent="0.55000000000000004">
      <c r="A93" s="6">
        <v>8.5783702206405376E+17</v>
      </c>
      <c r="B93">
        <v>1219</v>
      </c>
      <c r="C93">
        <v>2</v>
      </c>
      <c r="D93">
        <v>598</v>
      </c>
    </row>
    <row r="94" spans="1:4" x14ac:dyDescent="0.55000000000000004">
      <c r="A94" s="6">
        <v>8.8108714399872422E+17</v>
      </c>
      <c r="B94">
        <v>1190</v>
      </c>
      <c r="C94">
        <v>1</v>
      </c>
      <c r="D94">
        <v>195</v>
      </c>
    </row>
    <row r="95" spans="1:4" x14ac:dyDescent="0.55000000000000004">
      <c r="A95" s="6">
        <v>8.8511970587505523E+17</v>
      </c>
      <c r="B95">
        <v>935</v>
      </c>
      <c r="C95">
        <v>1</v>
      </c>
      <c r="D95">
        <v>4122</v>
      </c>
    </row>
    <row r="96" spans="1:4" x14ac:dyDescent="0.55000000000000004">
      <c r="A96" s="6">
        <v>8.8780906955512128E+17</v>
      </c>
      <c r="B96">
        <v>379</v>
      </c>
      <c r="C96">
        <v>1</v>
      </c>
      <c r="D96">
        <v>1122</v>
      </c>
    </row>
    <row r="97" spans="1:4" x14ac:dyDescent="0.55000000000000004">
      <c r="A97" s="6">
        <v>8.9076997654689088E+17</v>
      </c>
      <c r="B97">
        <v>299</v>
      </c>
      <c r="C97">
        <v>2</v>
      </c>
      <c r="D97">
        <v>6540</v>
      </c>
    </row>
    <row r="98" spans="1:4" x14ac:dyDescent="0.55000000000000004">
      <c r="A98" s="6">
        <v>8.9188782512294784E+17</v>
      </c>
      <c r="B98">
        <v>216</v>
      </c>
      <c r="C98">
        <v>3</v>
      </c>
      <c r="D98">
        <v>779</v>
      </c>
    </row>
    <row r="99" spans="1:4" x14ac:dyDescent="0.55000000000000004">
      <c r="A99" s="6">
        <v>8.9323290244367526E+17</v>
      </c>
      <c r="B99">
        <v>404</v>
      </c>
      <c r="C99">
        <v>3</v>
      </c>
      <c r="D99">
        <v>2296</v>
      </c>
    </row>
    <row r="100" spans="1:4" x14ac:dyDescent="0.55000000000000004">
      <c r="A100" s="6">
        <v>9.0032645547577498E+17</v>
      </c>
      <c r="B100">
        <v>56</v>
      </c>
      <c r="C100">
        <v>2</v>
      </c>
      <c r="D100">
        <v>796</v>
      </c>
    </row>
    <row r="101" spans="1:4" x14ac:dyDescent="0.55000000000000004">
      <c r="A101" s="6">
        <v>9.4126919788709043E+17</v>
      </c>
      <c r="B101">
        <v>1130</v>
      </c>
      <c r="C101">
        <v>1</v>
      </c>
      <c r="D101">
        <v>234</v>
      </c>
    </row>
    <row r="102" spans="1:4" x14ac:dyDescent="0.55000000000000004">
      <c r="A102" s="6">
        <v>9.5319592315029478E+17</v>
      </c>
      <c r="B102">
        <v>66</v>
      </c>
      <c r="C102">
        <v>3</v>
      </c>
      <c r="D102">
        <v>5817</v>
      </c>
    </row>
    <row r="103" spans="1:4" x14ac:dyDescent="0.55000000000000004">
      <c r="A103" s="6">
        <v>9.6473097955478285E+17</v>
      </c>
      <c r="B103">
        <v>119</v>
      </c>
      <c r="C103">
        <v>2</v>
      </c>
      <c r="D103">
        <v>683</v>
      </c>
    </row>
    <row r="104" spans="1:4" x14ac:dyDescent="0.55000000000000004">
      <c r="A104" s="6">
        <v>9.6724537078458496E+17</v>
      </c>
      <c r="B104">
        <v>97</v>
      </c>
      <c r="C104">
        <v>3</v>
      </c>
      <c r="D104">
        <v>3952</v>
      </c>
    </row>
    <row r="105" spans="1:4" x14ac:dyDescent="0.55000000000000004">
      <c r="A105" s="6">
        <v>9.7907267103041267E+17</v>
      </c>
      <c r="B105">
        <v>106</v>
      </c>
      <c r="C105">
        <v>2</v>
      </c>
      <c r="D105">
        <v>2186</v>
      </c>
    </row>
    <row r="106" spans="1:4" x14ac:dyDescent="0.55000000000000004">
      <c r="A106" s="6">
        <v>9.8270771362328934E+17</v>
      </c>
      <c r="B106">
        <v>405</v>
      </c>
      <c r="C106">
        <v>1</v>
      </c>
      <c r="D106">
        <v>495</v>
      </c>
    </row>
    <row r="107" spans="1:4" x14ac:dyDescent="0.55000000000000004">
      <c r="A107" s="6">
        <v>9.8353873328945715E+17</v>
      </c>
      <c r="B107">
        <v>1433</v>
      </c>
      <c r="C107">
        <v>1</v>
      </c>
      <c r="D107">
        <v>597</v>
      </c>
    </row>
    <row r="108" spans="1:4" x14ac:dyDescent="0.55000000000000004">
      <c r="A108" s="6">
        <v>9.9997063924467917E+17</v>
      </c>
      <c r="B108">
        <v>587</v>
      </c>
      <c r="C108">
        <v>3</v>
      </c>
      <c r="D108">
        <v>2695</v>
      </c>
    </row>
    <row r="109" spans="1:4" x14ac:dyDescent="0.55000000000000004">
      <c r="A109" s="6">
        <v>1.000332499578177E+18</v>
      </c>
      <c r="B109">
        <v>961</v>
      </c>
      <c r="C109">
        <v>1</v>
      </c>
      <c r="D109">
        <v>1382</v>
      </c>
    </row>
    <row r="110" spans="1:4" x14ac:dyDescent="0.55000000000000004">
      <c r="A110" s="6">
        <v>1.005152142697114E+18</v>
      </c>
      <c r="B110">
        <v>85</v>
      </c>
      <c r="C110">
        <v>1</v>
      </c>
      <c r="D110">
        <v>2241</v>
      </c>
    </row>
    <row r="111" spans="1:4" x14ac:dyDescent="0.55000000000000004">
      <c r="A111" s="6">
        <v>1.01315417837344E+18</v>
      </c>
      <c r="B111">
        <v>721</v>
      </c>
      <c r="C111">
        <v>1</v>
      </c>
      <c r="D111">
        <v>5856</v>
      </c>
    </row>
    <row r="112" spans="1:4" x14ac:dyDescent="0.55000000000000004">
      <c r="A112" s="6">
        <v>1.023189554626777E+18</v>
      </c>
      <c r="B112">
        <v>1446</v>
      </c>
      <c r="C112">
        <v>1</v>
      </c>
      <c r="D112">
        <v>13341</v>
      </c>
    </row>
    <row r="113" spans="1:4" x14ac:dyDescent="0.55000000000000004">
      <c r="A113" s="6">
        <v>1.046303413898793E+18</v>
      </c>
      <c r="B113">
        <v>333</v>
      </c>
      <c r="C113">
        <v>1</v>
      </c>
      <c r="D113">
        <v>40953</v>
      </c>
    </row>
    <row r="114" spans="1:4" x14ac:dyDescent="0.55000000000000004">
      <c r="A114" s="6">
        <v>1.048674536434862E+18</v>
      </c>
      <c r="B114">
        <v>309</v>
      </c>
      <c r="C114">
        <v>1</v>
      </c>
      <c r="D114">
        <v>1141</v>
      </c>
    </row>
    <row r="115" spans="1:4" x14ac:dyDescent="0.55000000000000004">
      <c r="A115" s="6">
        <v>1.0510261592622371E+18</v>
      </c>
      <c r="B115">
        <v>510</v>
      </c>
      <c r="C115">
        <v>2</v>
      </c>
      <c r="D115">
        <v>2402</v>
      </c>
    </row>
    <row r="116" spans="1:4" x14ac:dyDescent="0.55000000000000004">
      <c r="A116" s="6">
        <v>1.0786140050935439E+18</v>
      </c>
      <c r="B116">
        <v>386</v>
      </c>
      <c r="C116">
        <v>1</v>
      </c>
      <c r="D116">
        <v>580</v>
      </c>
    </row>
    <row r="117" spans="1:4" x14ac:dyDescent="0.55000000000000004">
      <c r="A117" s="6">
        <v>1.089144262980412E+18</v>
      </c>
      <c r="B117">
        <v>361</v>
      </c>
      <c r="C117">
        <v>1</v>
      </c>
      <c r="D117">
        <v>478</v>
      </c>
    </row>
    <row r="118" spans="1:4" x14ac:dyDescent="0.55000000000000004">
      <c r="A118" s="6">
        <v>1.096945308280745E+18</v>
      </c>
      <c r="B118">
        <v>321</v>
      </c>
      <c r="C118">
        <v>1</v>
      </c>
      <c r="D118">
        <v>4491</v>
      </c>
    </row>
    <row r="119" spans="1:4" x14ac:dyDescent="0.55000000000000004">
      <c r="A119" s="6">
        <v>1.100379652071211E+18</v>
      </c>
      <c r="B119">
        <v>509</v>
      </c>
      <c r="C119">
        <v>1</v>
      </c>
      <c r="D119">
        <v>3890</v>
      </c>
    </row>
    <row r="120" spans="1:4" x14ac:dyDescent="0.55000000000000004">
      <c r="A120" s="6">
        <v>1.119270324334366E+18</v>
      </c>
      <c r="B120">
        <v>880</v>
      </c>
      <c r="C120">
        <v>1</v>
      </c>
      <c r="D120">
        <v>408</v>
      </c>
    </row>
    <row r="121" spans="1:4" x14ac:dyDescent="0.55000000000000004">
      <c r="A121" s="6">
        <v>1.122980992366614E+18</v>
      </c>
      <c r="B121">
        <v>478</v>
      </c>
      <c r="C121">
        <v>1</v>
      </c>
      <c r="D121">
        <v>1930</v>
      </c>
    </row>
    <row r="122" spans="1:4" x14ac:dyDescent="0.55000000000000004">
      <c r="A122" s="6">
        <v>1.13681671892592E+18</v>
      </c>
      <c r="B122">
        <v>942</v>
      </c>
      <c r="C122">
        <v>1</v>
      </c>
      <c r="D122">
        <v>58</v>
      </c>
    </row>
    <row r="123" spans="1:4" x14ac:dyDescent="0.55000000000000004">
      <c r="A123" s="6">
        <v>1.152853398103018E+18</v>
      </c>
      <c r="B123">
        <v>745</v>
      </c>
      <c r="C123">
        <v>1</v>
      </c>
      <c r="D123">
        <v>1698</v>
      </c>
    </row>
    <row r="124" spans="1:4" x14ac:dyDescent="0.55000000000000004">
      <c r="A124" s="6">
        <v>1.160880881456226E+18</v>
      </c>
      <c r="B124">
        <v>78</v>
      </c>
      <c r="C124">
        <v>1</v>
      </c>
      <c r="D124">
        <v>5080</v>
      </c>
    </row>
    <row r="125" spans="1:4" x14ac:dyDescent="0.55000000000000004">
      <c r="A125" s="6">
        <v>1.162597696295221E+18</v>
      </c>
      <c r="B125">
        <v>180</v>
      </c>
      <c r="C125">
        <v>2</v>
      </c>
      <c r="D125">
        <v>2163</v>
      </c>
    </row>
    <row r="126" spans="1:4" x14ac:dyDescent="0.55000000000000004">
      <c r="A126" s="6">
        <v>1.170482534092361E+18</v>
      </c>
      <c r="B126">
        <v>933</v>
      </c>
      <c r="C126">
        <v>1</v>
      </c>
      <c r="D126">
        <v>109</v>
      </c>
    </row>
    <row r="127" spans="1:4" x14ac:dyDescent="0.55000000000000004">
      <c r="A127" s="6">
        <v>1.1721901524167759E+18</v>
      </c>
      <c r="B127">
        <v>207</v>
      </c>
      <c r="C127">
        <v>1</v>
      </c>
      <c r="D127">
        <v>2550</v>
      </c>
    </row>
    <row r="128" spans="1:4" x14ac:dyDescent="0.55000000000000004">
      <c r="A128" s="6">
        <v>1.1774399960171579E+18</v>
      </c>
      <c r="B128">
        <v>219</v>
      </c>
      <c r="C128">
        <v>3</v>
      </c>
      <c r="D128">
        <v>7981</v>
      </c>
    </row>
    <row r="129" spans="1:4" x14ac:dyDescent="0.55000000000000004">
      <c r="A129" s="6">
        <v>1.189350777522923E+18</v>
      </c>
      <c r="B129">
        <v>1023</v>
      </c>
      <c r="C129">
        <v>1</v>
      </c>
      <c r="D129">
        <v>199</v>
      </c>
    </row>
    <row r="130" spans="1:4" x14ac:dyDescent="0.55000000000000004">
      <c r="A130" s="6">
        <v>1.196782103337771E+18</v>
      </c>
      <c r="B130">
        <v>397</v>
      </c>
      <c r="C130">
        <v>2</v>
      </c>
      <c r="D130">
        <v>1611</v>
      </c>
    </row>
    <row r="131" spans="1:4" x14ac:dyDescent="0.55000000000000004">
      <c r="A131" s="6">
        <v>1.2095133762377641E+18</v>
      </c>
      <c r="B131">
        <v>817</v>
      </c>
      <c r="C131">
        <v>1</v>
      </c>
      <c r="D131">
        <v>51</v>
      </c>
    </row>
    <row r="132" spans="1:4" x14ac:dyDescent="0.55000000000000004">
      <c r="A132" s="6">
        <v>1.2121490274912891E+18</v>
      </c>
      <c r="B132">
        <v>108</v>
      </c>
      <c r="C132">
        <v>1</v>
      </c>
      <c r="D132">
        <v>5982</v>
      </c>
    </row>
    <row r="133" spans="1:4" x14ac:dyDescent="0.55000000000000004">
      <c r="A133" s="6">
        <v>1.218487979043211E+18</v>
      </c>
      <c r="B133">
        <v>52</v>
      </c>
      <c r="C133">
        <v>1</v>
      </c>
      <c r="D133">
        <v>754</v>
      </c>
    </row>
    <row r="134" spans="1:4" x14ac:dyDescent="0.55000000000000004">
      <c r="A134" s="6">
        <v>1.2239227043159931E+18</v>
      </c>
      <c r="B134">
        <v>106</v>
      </c>
      <c r="C134">
        <v>1</v>
      </c>
      <c r="D134">
        <v>1479</v>
      </c>
    </row>
    <row r="135" spans="1:4" x14ac:dyDescent="0.55000000000000004">
      <c r="A135" s="6">
        <v>1.243022858022132E+18</v>
      </c>
      <c r="B135">
        <v>686</v>
      </c>
      <c r="C135">
        <v>1</v>
      </c>
      <c r="D135">
        <v>8541</v>
      </c>
    </row>
    <row r="136" spans="1:4" x14ac:dyDescent="0.55000000000000004">
      <c r="A136" s="6">
        <v>1.264290519837441E+18</v>
      </c>
      <c r="B136">
        <v>154</v>
      </c>
      <c r="C136">
        <v>1</v>
      </c>
      <c r="D136">
        <v>390</v>
      </c>
    </row>
    <row r="137" spans="1:4" x14ac:dyDescent="0.55000000000000004">
      <c r="A137" s="6">
        <v>1.284150528335927E+18</v>
      </c>
      <c r="B137">
        <v>503</v>
      </c>
      <c r="C137">
        <v>2</v>
      </c>
      <c r="D137">
        <v>2869</v>
      </c>
    </row>
    <row r="138" spans="1:4" x14ac:dyDescent="0.55000000000000004">
      <c r="A138" s="6">
        <v>1.2984463081915011E+18</v>
      </c>
      <c r="B138">
        <v>237</v>
      </c>
      <c r="C138">
        <v>1</v>
      </c>
      <c r="D138">
        <v>621</v>
      </c>
    </row>
    <row r="139" spans="1:4" x14ac:dyDescent="0.55000000000000004">
      <c r="A139" s="6">
        <v>1.3005240302932129E+18</v>
      </c>
      <c r="B139">
        <v>765</v>
      </c>
      <c r="C139">
        <v>1</v>
      </c>
      <c r="D139">
        <v>567</v>
      </c>
    </row>
    <row r="140" spans="1:4" x14ac:dyDescent="0.55000000000000004">
      <c r="A140" s="6">
        <v>1.3007881861818691E+18</v>
      </c>
      <c r="B140">
        <v>452</v>
      </c>
      <c r="C140">
        <v>1</v>
      </c>
      <c r="D140">
        <v>1937</v>
      </c>
    </row>
    <row r="141" spans="1:4" x14ac:dyDescent="0.55000000000000004">
      <c r="A141" s="6">
        <v>1.3063865385494589E+18</v>
      </c>
      <c r="B141">
        <v>196</v>
      </c>
      <c r="C141">
        <v>2</v>
      </c>
      <c r="D141">
        <v>3559</v>
      </c>
    </row>
    <row r="142" spans="1:4" x14ac:dyDescent="0.55000000000000004">
      <c r="A142" s="6">
        <v>1.3087525420781629E+18</v>
      </c>
      <c r="B142">
        <v>10</v>
      </c>
      <c r="C142">
        <v>1</v>
      </c>
      <c r="D142">
        <v>1481</v>
      </c>
    </row>
    <row r="143" spans="1:4" x14ac:dyDescent="0.55000000000000004">
      <c r="A143" s="6">
        <v>1.3250399522734999E+18</v>
      </c>
      <c r="B143">
        <v>289</v>
      </c>
      <c r="C143">
        <v>1</v>
      </c>
      <c r="D143">
        <v>950</v>
      </c>
    </row>
    <row r="144" spans="1:4" x14ac:dyDescent="0.55000000000000004">
      <c r="A144" s="6">
        <v>1.330946700836863E+18</v>
      </c>
      <c r="B144">
        <v>377</v>
      </c>
      <c r="C144">
        <v>1</v>
      </c>
      <c r="D144">
        <v>2628</v>
      </c>
    </row>
    <row r="145" spans="1:4" x14ac:dyDescent="0.55000000000000004">
      <c r="A145" s="6">
        <v>1.3397155537099141E+18</v>
      </c>
      <c r="B145">
        <v>993</v>
      </c>
      <c r="C145">
        <v>2</v>
      </c>
      <c r="D145">
        <v>790</v>
      </c>
    </row>
    <row r="146" spans="1:4" x14ac:dyDescent="0.55000000000000004">
      <c r="A146" s="6">
        <v>1.342000908502272E+18</v>
      </c>
      <c r="B146">
        <v>994</v>
      </c>
      <c r="C146">
        <v>1</v>
      </c>
      <c r="D146">
        <v>1174</v>
      </c>
    </row>
    <row r="147" spans="1:4" x14ac:dyDescent="0.55000000000000004">
      <c r="A147" s="6">
        <v>1.3482468725153029E+18</v>
      </c>
      <c r="B147">
        <v>354</v>
      </c>
      <c r="C147">
        <v>1</v>
      </c>
      <c r="D147">
        <v>4892</v>
      </c>
    </row>
    <row r="148" spans="1:4" x14ac:dyDescent="0.55000000000000004">
      <c r="A148" s="6">
        <v>1.363244259854325E+18</v>
      </c>
      <c r="B148">
        <v>1114</v>
      </c>
      <c r="C148">
        <v>1</v>
      </c>
      <c r="D148">
        <v>612</v>
      </c>
    </row>
    <row r="149" spans="1:4" x14ac:dyDescent="0.55000000000000004">
      <c r="A149" s="6">
        <v>1.3715123392936371E+18</v>
      </c>
      <c r="B149">
        <v>834</v>
      </c>
      <c r="C149">
        <v>1</v>
      </c>
      <c r="D149">
        <v>1497</v>
      </c>
    </row>
    <row r="150" spans="1:4" x14ac:dyDescent="0.55000000000000004">
      <c r="A150" s="6">
        <v>1.3754657606156081E+18</v>
      </c>
      <c r="B150">
        <v>347</v>
      </c>
      <c r="C150">
        <v>2</v>
      </c>
      <c r="D150">
        <v>413</v>
      </c>
    </row>
    <row r="151" spans="1:4" x14ac:dyDescent="0.55000000000000004">
      <c r="A151" s="6">
        <v>1.3784045878134651E+18</v>
      </c>
      <c r="B151">
        <v>26</v>
      </c>
      <c r="C151">
        <v>2</v>
      </c>
      <c r="D151">
        <v>1736</v>
      </c>
    </row>
    <row r="152" spans="1:4" x14ac:dyDescent="0.55000000000000004">
      <c r="A152" s="6">
        <v>1.3849874418398641E+18</v>
      </c>
      <c r="B152">
        <v>604</v>
      </c>
      <c r="C152">
        <v>2</v>
      </c>
      <c r="D152">
        <v>1988</v>
      </c>
    </row>
    <row r="153" spans="1:4" x14ac:dyDescent="0.55000000000000004">
      <c r="A153" s="6">
        <v>1.39215048584352E+18</v>
      </c>
      <c r="B153">
        <v>520</v>
      </c>
      <c r="C153">
        <v>1</v>
      </c>
      <c r="D153">
        <v>193</v>
      </c>
    </row>
    <row r="154" spans="1:4" x14ac:dyDescent="0.55000000000000004">
      <c r="A154" s="6">
        <v>1.4020845570534651E+18</v>
      </c>
      <c r="B154">
        <v>1415</v>
      </c>
      <c r="C154">
        <v>1</v>
      </c>
      <c r="D154">
        <v>8760</v>
      </c>
    </row>
    <row r="155" spans="1:4" x14ac:dyDescent="0.55000000000000004">
      <c r="A155" s="6">
        <v>1.4167725370541911E+18</v>
      </c>
      <c r="B155">
        <v>1006</v>
      </c>
      <c r="C155">
        <v>1</v>
      </c>
      <c r="D155">
        <v>283</v>
      </c>
    </row>
    <row r="156" spans="1:4" x14ac:dyDescent="0.55000000000000004">
      <c r="A156" s="6">
        <v>1.4366874983721559E+18</v>
      </c>
      <c r="B156">
        <v>917</v>
      </c>
      <c r="C156">
        <v>1</v>
      </c>
      <c r="D156">
        <v>621</v>
      </c>
    </row>
    <row r="157" spans="1:4" x14ac:dyDescent="0.55000000000000004">
      <c r="A157" s="6">
        <v>1.4427428116042281E+18</v>
      </c>
      <c r="B157">
        <v>182</v>
      </c>
      <c r="C157">
        <v>1</v>
      </c>
      <c r="D157">
        <v>2218</v>
      </c>
    </row>
    <row r="158" spans="1:4" x14ac:dyDescent="0.55000000000000004">
      <c r="A158" s="6">
        <v>1.464810874174613E+18</v>
      </c>
      <c r="B158">
        <v>174</v>
      </c>
      <c r="C158">
        <v>2</v>
      </c>
      <c r="D158">
        <v>161</v>
      </c>
    </row>
    <row r="159" spans="1:4" x14ac:dyDescent="0.55000000000000004">
      <c r="A159" s="6">
        <v>1.4691213133281549E+18</v>
      </c>
      <c r="B159">
        <v>492</v>
      </c>
      <c r="C159">
        <v>1</v>
      </c>
      <c r="D159">
        <v>3260</v>
      </c>
    </row>
    <row r="160" spans="1:4" x14ac:dyDescent="0.55000000000000004">
      <c r="A160" s="6">
        <v>1.482147953417866E+18</v>
      </c>
      <c r="B160">
        <v>1014</v>
      </c>
      <c r="C160">
        <v>1</v>
      </c>
      <c r="D160">
        <v>1617</v>
      </c>
    </row>
    <row r="161" spans="1:4" x14ac:dyDescent="0.55000000000000004">
      <c r="A161" s="6">
        <v>1.482565375584491E+18</v>
      </c>
      <c r="B161">
        <v>311</v>
      </c>
      <c r="C161">
        <v>1</v>
      </c>
      <c r="D161">
        <v>398</v>
      </c>
    </row>
    <row r="162" spans="1:4" x14ac:dyDescent="0.55000000000000004">
      <c r="A162" s="6">
        <v>1.5094994883823071E+18</v>
      </c>
      <c r="B162">
        <v>952</v>
      </c>
      <c r="C162">
        <v>1</v>
      </c>
      <c r="D162">
        <v>687</v>
      </c>
    </row>
    <row r="163" spans="1:4" x14ac:dyDescent="0.55000000000000004">
      <c r="A163" s="6">
        <v>1.51815318591329E+18</v>
      </c>
      <c r="B163">
        <v>114</v>
      </c>
      <c r="C163">
        <v>1</v>
      </c>
      <c r="D163">
        <v>969</v>
      </c>
    </row>
    <row r="164" spans="1:4" x14ac:dyDescent="0.55000000000000004">
      <c r="A164" s="6">
        <v>1.522193412101396E+18</v>
      </c>
      <c r="B164">
        <v>734</v>
      </c>
      <c r="C164">
        <v>1</v>
      </c>
      <c r="D164">
        <v>910</v>
      </c>
    </row>
    <row r="165" spans="1:4" x14ac:dyDescent="0.55000000000000004">
      <c r="A165" s="6">
        <v>1.549160635335436E+18</v>
      </c>
      <c r="B165">
        <v>1238</v>
      </c>
      <c r="C165">
        <v>1</v>
      </c>
      <c r="D165">
        <v>84</v>
      </c>
    </row>
    <row r="166" spans="1:4" x14ac:dyDescent="0.55000000000000004">
      <c r="A166" s="6">
        <v>1.557734816688022E+18</v>
      </c>
      <c r="B166">
        <v>27</v>
      </c>
      <c r="C166">
        <v>1</v>
      </c>
      <c r="D166">
        <v>2939</v>
      </c>
    </row>
    <row r="167" spans="1:4" x14ac:dyDescent="0.55000000000000004">
      <c r="A167" s="6">
        <v>1.569594972860074E+18</v>
      </c>
      <c r="B167">
        <v>450</v>
      </c>
      <c r="C167">
        <v>1</v>
      </c>
      <c r="D167">
        <v>87</v>
      </c>
    </row>
    <row r="168" spans="1:4" x14ac:dyDescent="0.55000000000000004">
      <c r="A168" s="6">
        <v>1.5776470081554911E+18</v>
      </c>
      <c r="B168">
        <v>586</v>
      </c>
      <c r="C168">
        <v>1</v>
      </c>
      <c r="D168">
        <v>670</v>
      </c>
    </row>
    <row r="169" spans="1:4" x14ac:dyDescent="0.55000000000000004">
      <c r="A169" s="6">
        <v>1.5840800185098491E+18</v>
      </c>
      <c r="B169">
        <v>25</v>
      </c>
      <c r="C169">
        <v>1</v>
      </c>
      <c r="D169">
        <v>1388</v>
      </c>
    </row>
    <row r="170" spans="1:4" x14ac:dyDescent="0.55000000000000004">
      <c r="A170" s="6">
        <v>1.5844455560597929E+18</v>
      </c>
      <c r="B170">
        <v>853</v>
      </c>
      <c r="C170">
        <v>1</v>
      </c>
      <c r="D170">
        <v>847</v>
      </c>
    </row>
    <row r="171" spans="1:4" x14ac:dyDescent="0.55000000000000004">
      <c r="A171" s="6">
        <v>1.5868202505216691E+18</v>
      </c>
      <c r="B171">
        <v>398</v>
      </c>
      <c r="C171">
        <v>1</v>
      </c>
      <c r="D171">
        <v>335</v>
      </c>
    </row>
    <row r="172" spans="1:4" x14ac:dyDescent="0.55000000000000004">
      <c r="A172" s="6">
        <v>1.5935314464390359E+18</v>
      </c>
      <c r="B172">
        <v>617</v>
      </c>
      <c r="C172">
        <v>2</v>
      </c>
      <c r="D172">
        <v>7040</v>
      </c>
    </row>
    <row r="173" spans="1:4" x14ac:dyDescent="0.55000000000000004">
      <c r="A173" s="6">
        <v>1.608732702164681E+18</v>
      </c>
      <c r="B173">
        <v>471</v>
      </c>
      <c r="C173">
        <v>1</v>
      </c>
      <c r="D173">
        <v>179</v>
      </c>
    </row>
    <row r="174" spans="1:4" x14ac:dyDescent="0.55000000000000004">
      <c r="A174" s="6">
        <v>1.6172746630619489E+18</v>
      </c>
      <c r="B174">
        <v>162</v>
      </c>
      <c r="C174">
        <v>1</v>
      </c>
      <c r="D174">
        <v>380</v>
      </c>
    </row>
    <row r="175" spans="1:4" x14ac:dyDescent="0.55000000000000004">
      <c r="A175" s="6">
        <v>1.629324704820073E+18</v>
      </c>
      <c r="B175">
        <v>180</v>
      </c>
      <c r="C175">
        <v>2</v>
      </c>
      <c r="D175">
        <v>7956</v>
      </c>
    </row>
    <row r="176" spans="1:4" x14ac:dyDescent="0.55000000000000004">
      <c r="A176" s="6">
        <v>1.6398219760955021E+18</v>
      </c>
      <c r="B176">
        <v>558</v>
      </c>
      <c r="C176">
        <v>1</v>
      </c>
      <c r="D176">
        <v>6150</v>
      </c>
    </row>
    <row r="177" spans="1:4" x14ac:dyDescent="0.55000000000000004">
      <c r="A177" s="6">
        <v>1.6502892064455491E+18</v>
      </c>
      <c r="B177">
        <v>93</v>
      </c>
      <c r="C177">
        <v>2</v>
      </c>
      <c r="D177">
        <v>278</v>
      </c>
    </row>
    <row r="178" spans="1:4" x14ac:dyDescent="0.55000000000000004">
      <c r="A178" s="6">
        <v>1.667516599105642E+18</v>
      </c>
      <c r="B178">
        <v>158</v>
      </c>
      <c r="C178">
        <v>1</v>
      </c>
      <c r="D178">
        <v>1189</v>
      </c>
    </row>
    <row r="179" spans="1:4" x14ac:dyDescent="0.55000000000000004">
      <c r="A179" s="6">
        <v>1.674723087147988E+18</v>
      </c>
      <c r="B179">
        <v>41</v>
      </c>
      <c r="C179">
        <v>1</v>
      </c>
      <c r="D179">
        <v>2261</v>
      </c>
    </row>
    <row r="180" spans="1:4" x14ac:dyDescent="0.55000000000000004">
      <c r="A180" s="6">
        <v>1.677129202633119E+18</v>
      </c>
      <c r="B180">
        <v>539</v>
      </c>
      <c r="C180">
        <v>1</v>
      </c>
      <c r="D180">
        <v>2619</v>
      </c>
    </row>
    <row r="181" spans="1:4" x14ac:dyDescent="0.55000000000000004">
      <c r="A181" s="6">
        <v>1.6817203905142431E+18</v>
      </c>
      <c r="B181">
        <v>6</v>
      </c>
      <c r="C181">
        <v>1</v>
      </c>
      <c r="D181">
        <v>2731</v>
      </c>
    </row>
    <row r="182" spans="1:4" x14ac:dyDescent="0.55000000000000004">
      <c r="A182" s="6">
        <v>1.6859691985107551E+18</v>
      </c>
      <c r="B182">
        <v>572</v>
      </c>
      <c r="C182">
        <v>1</v>
      </c>
      <c r="D182">
        <v>1650</v>
      </c>
    </row>
    <row r="183" spans="1:4" x14ac:dyDescent="0.55000000000000004">
      <c r="A183" s="6">
        <v>1.695130641619191E+18</v>
      </c>
      <c r="B183">
        <v>0</v>
      </c>
      <c r="C183">
        <v>3</v>
      </c>
      <c r="D183">
        <v>9745</v>
      </c>
    </row>
    <row r="184" spans="1:4" x14ac:dyDescent="0.55000000000000004">
      <c r="A184" s="6">
        <v>1.7016907167677581E+18</v>
      </c>
      <c r="B184">
        <v>411</v>
      </c>
      <c r="C184">
        <v>2</v>
      </c>
      <c r="D184">
        <v>2966</v>
      </c>
    </row>
    <row r="185" spans="1:4" x14ac:dyDescent="0.55000000000000004">
      <c r="A185" s="6">
        <v>1.7106753465062531E+18</v>
      </c>
      <c r="B185">
        <v>69</v>
      </c>
      <c r="C185">
        <v>2</v>
      </c>
      <c r="D185">
        <v>16234</v>
      </c>
    </row>
    <row r="186" spans="1:4" x14ac:dyDescent="0.55000000000000004">
      <c r="A186" s="6">
        <v>1.711290526394442E+18</v>
      </c>
      <c r="B186">
        <v>320</v>
      </c>
      <c r="C186">
        <v>1</v>
      </c>
      <c r="D186">
        <v>218</v>
      </c>
    </row>
    <row r="187" spans="1:4" x14ac:dyDescent="0.55000000000000004">
      <c r="A187" s="6">
        <v>1.7157356656938309E+18</v>
      </c>
      <c r="B187">
        <v>1311</v>
      </c>
      <c r="C187">
        <v>1</v>
      </c>
      <c r="D187">
        <v>4046</v>
      </c>
    </row>
    <row r="188" spans="1:4" x14ac:dyDescent="0.55000000000000004">
      <c r="A188" s="6">
        <v>1.7194383882598541E+18</v>
      </c>
      <c r="B188">
        <v>252</v>
      </c>
      <c r="C188">
        <v>1</v>
      </c>
      <c r="D188">
        <v>10020</v>
      </c>
    </row>
    <row r="189" spans="1:4" x14ac:dyDescent="0.55000000000000004">
      <c r="A189" s="6">
        <v>1.723492846644417E+18</v>
      </c>
      <c r="B189">
        <v>449</v>
      </c>
      <c r="C189">
        <v>1</v>
      </c>
      <c r="D189">
        <v>169</v>
      </c>
    </row>
    <row r="190" spans="1:4" x14ac:dyDescent="0.55000000000000004">
      <c r="A190" s="6">
        <v>1.729483180093397E+18</v>
      </c>
      <c r="B190">
        <v>798</v>
      </c>
      <c r="C190">
        <v>2</v>
      </c>
      <c r="D190">
        <v>1719</v>
      </c>
    </row>
    <row r="191" spans="1:4" x14ac:dyDescent="0.55000000000000004">
      <c r="A191" s="6">
        <v>1.745068178098175E+18</v>
      </c>
      <c r="B191">
        <v>685</v>
      </c>
      <c r="C191">
        <v>2</v>
      </c>
      <c r="D191">
        <v>1416</v>
      </c>
    </row>
    <row r="192" spans="1:4" x14ac:dyDescent="0.55000000000000004">
      <c r="A192" s="6">
        <v>1.7515581725118851E+18</v>
      </c>
      <c r="B192">
        <v>444</v>
      </c>
      <c r="C192">
        <v>1</v>
      </c>
      <c r="D192">
        <v>459</v>
      </c>
    </row>
    <row r="193" spans="1:4" x14ac:dyDescent="0.55000000000000004">
      <c r="A193" s="6">
        <v>1.776693575630839E+18</v>
      </c>
      <c r="B193">
        <v>214</v>
      </c>
      <c r="C193">
        <v>1</v>
      </c>
      <c r="D193">
        <v>229</v>
      </c>
    </row>
    <row r="194" spans="1:4" x14ac:dyDescent="0.55000000000000004">
      <c r="A194" s="6">
        <v>1.7913055859585129E+18</v>
      </c>
      <c r="B194">
        <v>28</v>
      </c>
      <c r="C194">
        <v>2</v>
      </c>
      <c r="D194">
        <v>844</v>
      </c>
    </row>
    <row r="195" spans="1:4" x14ac:dyDescent="0.55000000000000004">
      <c r="A195" s="6">
        <v>1.8099632184957949E+18</v>
      </c>
      <c r="B195">
        <v>613</v>
      </c>
      <c r="C195">
        <v>1</v>
      </c>
      <c r="D195">
        <v>1758</v>
      </c>
    </row>
    <row r="196" spans="1:4" x14ac:dyDescent="0.55000000000000004">
      <c r="A196" s="6">
        <v>1.821993513028534E+18</v>
      </c>
      <c r="B196">
        <v>209</v>
      </c>
      <c r="C196">
        <v>2</v>
      </c>
      <c r="D196">
        <v>428</v>
      </c>
    </row>
    <row r="197" spans="1:4" x14ac:dyDescent="0.55000000000000004">
      <c r="A197" s="6">
        <v>1.824466406295605E+18</v>
      </c>
      <c r="B197">
        <v>112</v>
      </c>
      <c r="C197">
        <v>1</v>
      </c>
      <c r="D197">
        <v>1213</v>
      </c>
    </row>
    <row r="198" spans="1:4" x14ac:dyDescent="0.55000000000000004">
      <c r="A198" s="6">
        <v>1.8255241922951529E+18</v>
      </c>
      <c r="B198">
        <v>129</v>
      </c>
      <c r="C198">
        <v>1</v>
      </c>
      <c r="D198">
        <v>297</v>
      </c>
    </row>
    <row r="199" spans="1:4" x14ac:dyDescent="0.55000000000000004">
      <c r="A199" s="6">
        <v>1.82828637426995E+18</v>
      </c>
      <c r="B199">
        <v>287</v>
      </c>
      <c r="C199">
        <v>1</v>
      </c>
      <c r="D199">
        <v>421</v>
      </c>
    </row>
    <row r="200" spans="1:4" x14ac:dyDescent="0.55000000000000004">
      <c r="A200" s="6">
        <v>1.8323586710948401E+18</v>
      </c>
      <c r="B200">
        <v>713</v>
      </c>
      <c r="C200">
        <v>2</v>
      </c>
      <c r="D200">
        <v>12924</v>
      </c>
    </row>
    <row r="201" spans="1:4" x14ac:dyDescent="0.55000000000000004">
      <c r="A201" s="6">
        <v>1.854419958740415E+18</v>
      </c>
      <c r="B201">
        <v>383</v>
      </c>
      <c r="C201">
        <v>1</v>
      </c>
      <c r="D201">
        <v>2376</v>
      </c>
    </row>
    <row r="202" spans="1:4" x14ac:dyDescent="0.55000000000000004">
      <c r="A202" s="6">
        <v>1.866418006074549E+18</v>
      </c>
      <c r="B202">
        <v>176</v>
      </c>
      <c r="C202">
        <v>1</v>
      </c>
      <c r="D202">
        <v>90</v>
      </c>
    </row>
    <row r="203" spans="1:4" x14ac:dyDescent="0.55000000000000004">
      <c r="A203" s="6">
        <v>1.870446117223575E+18</v>
      </c>
      <c r="B203">
        <v>265</v>
      </c>
      <c r="C203">
        <v>1</v>
      </c>
      <c r="D203">
        <v>579</v>
      </c>
    </row>
    <row r="204" spans="1:4" x14ac:dyDescent="0.55000000000000004">
      <c r="A204" s="6">
        <v>1.9144916142497669E+18</v>
      </c>
      <c r="B204">
        <v>222</v>
      </c>
      <c r="C204">
        <v>1</v>
      </c>
      <c r="D204">
        <v>644</v>
      </c>
    </row>
    <row r="205" spans="1:4" x14ac:dyDescent="0.55000000000000004">
      <c r="A205" s="6">
        <v>1.9146529279689521E+18</v>
      </c>
      <c r="B205">
        <v>1272</v>
      </c>
      <c r="C205">
        <v>1</v>
      </c>
      <c r="D205">
        <v>270</v>
      </c>
    </row>
    <row r="206" spans="1:4" x14ac:dyDescent="0.55000000000000004">
      <c r="A206" s="6">
        <v>1.9199465908224901E+18</v>
      </c>
      <c r="B206">
        <v>38</v>
      </c>
      <c r="C206">
        <v>2</v>
      </c>
      <c r="D206">
        <v>3010</v>
      </c>
    </row>
    <row r="207" spans="1:4" x14ac:dyDescent="0.55000000000000004">
      <c r="A207" s="6">
        <v>1.928598308475934E+18</v>
      </c>
      <c r="B207">
        <v>588</v>
      </c>
      <c r="C207">
        <v>1</v>
      </c>
      <c r="D207">
        <v>387</v>
      </c>
    </row>
    <row r="208" spans="1:4" x14ac:dyDescent="0.55000000000000004">
      <c r="A208" s="6">
        <v>1.933930612224873E+18</v>
      </c>
      <c r="B208">
        <v>271</v>
      </c>
      <c r="C208">
        <v>1</v>
      </c>
      <c r="D208">
        <v>598</v>
      </c>
    </row>
    <row r="209" spans="1:4" x14ac:dyDescent="0.55000000000000004">
      <c r="A209" s="6">
        <v>1.9526037705138371E+18</v>
      </c>
      <c r="B209">
        <v>327</v>
      </c>
      <c r="C209">
        <v>2</v>
      </c>
      <c r="D209">
        <v>12739</v>
      </c>
    </row>
    <row r="210" spans="1:4" x14ac:dyDescent="0.55000000000000004">
      <c r="A210" s="6">
        <v>1.952823904576703E+18</v>
      </c>
      <c r="B210">
        <v>226</v>
      </c>
      <c r="C210">
        <v>1</v>
      </c>
      <c r="D210">
        <v>6450</v>
      </c>
    </row>
    <row r="211" spans="1:4" x14ac:dyDescent="0.55000000000000004">
      <c r="A211" s="6">
        <v>1.9730730410505751E+18</v>
      </c>
      <c r="B211">
        <v>1182</v>
      </c>
      <c r="C211">
        <v>2</v>
      </c>
      <c r="D211">
        <v>5090</v>
      </c>
    </row>
    <row r="212" spans="1:4" x14ac:dyDescent="0.55000000000000004">
      <c r="A212" s="6">
        <v>1.9748762811356109E+18</v>
      </c>
      <c r="B212">
        <v>39</v>
      </c>
      <c r="C212">
        <v>1</v>
      </c>
      <c r="D212">
        <v>179</v>
      </c>
    </row>
    <row r="213" spans="1:4" x14ac:dyDescent="0.55000000000000004">
      <c r="A213" s="6">
        <v>1.9768590323039109E+18</v>
      </c>
      <c r="B213">
        <v>1242</v>
      </c>
      <c r="C213">
        <v>1</v>
      </c>
      <c r="D213">
        <v>450</v>
      </c>
    </row>
    <row r="214" spans="1:4" x14ac:dyDescent="0.55000000000000004">
      <c r="A214" s="6">
        <v>1.986980350882558E+18</v>
      </c>
      <c r="B214">
        <v>164</v>
      </c>
      <c r="C214">
        <v>1</v>
      </c>
      <c r="D214">
        <v>1333</v>
      </c>
    </row>
    <row r="215" spans="1:4" x14ac:dyDescent="0.55000000000000004">
      <c r="A215" s="6">
        <v>1.996183669249889E+18</v>
      </c>
      <c r="B215">
        <v>498</v>
      </c>
      <c r="C215">
        <v>1</v>
      </c>
      <c r="D215">
        <v>4565</v>
      </c>
    </row>
    <row r="216" spans="1:4" x14ac:dyDescent="0.55000000000000004">
      <c r="A216" s="6">
        <v>1.9971065681587571E+18</v>
      </c>
      <c r="B216">
        <v>306</v>
      </c>
      <c r="C216">
        <v>1</v>
      </c>
      <c r="D216">
        <v>3087</v>
      </c>
    </row>
    <row r="217" spans="1:4" x14ac:dyDescent="0.55000000000000004">
      <c r="A217" s="6">
        <v>2.0004746253358771E+18</v>
      </c>
      <c r="B217">
        <v>803</v>
      </c>
      <c r="C217">
        <v>2</v>
      </c>
      <c r="D217">
        <v>419</v>
      </c>
    </row>
    <row r="218" spans="1:4" x14ac:dyDescent="0.55000000000000004">
      <c r="A218" s="6">
        <v>2.000810273900578E+18</v>
      </c>
      <c r="B218">
        <v>700</v>
      </c>
      <c r="C218">
        <v>1</v>
      </c>
      <c r="D218">
        <v>1060</v>
      </c>
    </row>
    <row r="219" spans="1:4" x14ac:dyDescent="0.55000000000000004">
      <c r="A219" s="6">
        <v>2.005586247580137E+18</v>
      </c>
      <c r="B219">
        <v>34</v>
      </c>
      <c r="C219">
        <v>1</v>
      </c>
      <c r="D219">
        <v>597</v>
      </c>
    </row>
    <row r="220" spans="1:4" x14ac:dyDescent="0.55000000000000004">
      <c r="A220" s="6">
        <v>2.0142520458862761E+18</v>
      </c>
      <c r="B220">
        <v>138</v>
      </c>
      <c r="C220">
        <v>3</v>
      </c>
      <c r="D220">
        <v>6131</v>
      </c>
    </row>
    <row r="221" spans="1:4" x14ac:dyDescent="0.55000000000000004">
      <c r="A221" s="6">
        <v>2.0325579625381089E+18</v>
      </c>
      <c r="B221">
        <v>320</v>
      </c>
      <c r="C221">
        <v>2</v>
      </c>
      <c r="D221">
        <v>429</v>
      </c>
    </row>
    <row r="222" spans="1:4" x14ac:dyDescent="0.55000000000000004">
      <c r="A222" s="6">
        <v>2.0396979990972869E+18</v>
      </c>
      <c r="B222">
        <v>283</v>
      </c>
      <c r="C222">
        <v>1</v>
      </c>
      <c r="D222">
        <v>199</v>
      </c>
    </row>
    <row r="223" spans="1:4" x14ac:dyDescent="0.55000000000000004">
      <c r="A223" s="6">
        <v>2.04599369723842E+18</v>
      </c>
      <c r="B223">
        <v>1168</v>
      </c>
      <c r="C223">
        <v>1</v>
      </c>
      <c r="D223">
        <v>900</v>
      </c>
    </row>
    <row r="224" spans="1:4" x14ac:dyDescent="0.55000000000000004">
      <c r="A224" s="6">
        <v>2.055053471575446E+18</v>
      </c>
      <c r="B224">
        <v>605</v>
      </c>
      <c r="C224">
        <v>1</v>
      </c>
      <c r="D224">
        <v>318</v>
      </c>
    </row>
    <row r="225" spans="1:4" x14ac:dyDescent="0.55000000000000004">
      <c r="A225" s="6">
        <v>2.0645718430713331E+18</v>
      </c>
      <c r="B225">
        <v>661</v>
      </c>
      <c r="C225">
        <v>1</v>
      </c>
      <c r="D225">
        <v>158</v>
      </c>
    </row>
    <row r="226" spans="1:4" x14ac:dyDescent="0.55000000000000004">
      <c r="A226" s="6">
        <v>2.065848256183628E+18</v>
      </c>
      <c r="B226">
        <v>534</v>
      </c>
      <c r="C226">
        <v>1</v>
      </c>
      <c r="D226">
        <v>114</v>
      </c>
    </row>
    <row r="227" spans="1:4" x14ac:dyDescent="0.55000000000000004">
      <c r="A227" s="6">
        <v>2.0667225567736151E+18</v>
      </c>
      <c r="B227">
        <v>687</v>
      </c>
      <c r="C227">
        <v>2</v>
      </c>
      <c r="D227">
        <v>4049</v>
      </c>
    </row>
    <row r="228" spans="1:4" x14ac:dyDescent="0.55000000000000004">
      <c r="A228" s="6">
        <v>2.0701901843732301E+18</v>
      </c>
      <c r="B228">
        <v>222</v>
      </c>
      <c r="C228">
        <v>1</v>
      </c>
      <c r="D228">
        <v>1297</v>
      </c>
    </row>
    <row r="229" spans="1:4" x14ac:dyDescent="0.55000000000000004">
      <c r="A229" s="6">
        <v>2.0771841791762591E+18</v>
      </c>
      <c r="B229">
        <v>133</v>
      </c>
      <c r="C229">
        <v>1</v>
      </c>
      <c r="D229">
        <v>690</v>
      </c>
    </row>
    <row r="230" spans="1:4" x14ac:dyDescent="0.55000000000000004">
      <c r="A230" s="6">
        <v>2.08047286874141E+18</v>
      </c>
      <c r="B230">
        <v>897</v>
      </c>
      <c r="C230">
        <v>1</v>
      </c>
      <c r="D230">
        <v>103</v>
      </c>
    </row>
    <row r="231" spans="1:4" x14ac:dyDescent="0.55000000000000004">
      <c r="A231" s="6">
        <v>2.0872429199737951E+18</v>
      </c>
      <c r="B231">
        <v>1080</v>
      </c>
      <c r="C231">
        <v>1</v>
      </c>
      <c r="D231">
        <v>70</v>
      </c>
    </row>
    <row r="232" spans="1:4" x14ac:dyDescent="0.55000000000000004">
      <c r="A232" s="6">
        <v>2.1009748977262459E+18</v>
      </c>
      <c r="B232">
        <v>400</v>
      </c>
      <c r="C232">
        <v>1</v>
      </c>
      <c r="D232">
        <v>11324</v>
      </c>
    </row>
    <row r="233" spans="1:4" x14ac:dyDescent="0.55000000000000004">
      <c r="A233" s="6">
        <v>2.1015068619281229E+18</v>
      </c>
      <c r="B233">
        <v>291</v>
      </c>
      <c r="C233">
        <v>1</v>
      </c>
      <c r="D233">
        <v>8099</v>
      </c>
    </row>
    <row r="234" spans="1:4" x14ac:dyDescent="0.55000000000000004">
      <c r="A234" s="6">
        <v>2.117945752343458E+18</v>
      </c>
      <c r="B234">
        <v>8</v>
      </c>
      <c r="C234">
        <v>1</v>
      </c>
      <c r="D234">
        <v>2408</v>
      </c>
    </row>
    <row r="235" spans="1:4" x14ac:dyDescent="0.55000000000000004">
      <c r="A235" s="6">
        <v>2.14024521168753E+18</v>
      </c>
      <c r="B235">
        <v>598</v>
      </c>
      <c r="C235">
        <v>1</v>
      </c>
      <c r="D235">
        <v>355</v>
      </c>
    </row>
    <row r="236" spans="1:4" x14ac:dyDescent="0.55000000000000004">
      <c r="A236" s="6">
        <v>2.1445875065722711E+18</v>
      </c>
      <c r="B236">
        <v>210</v>
      </c>
      <c r="C236">
        <v>3</v>
      </c>
      <c r="D236">
        <v>37716</v>
      </c>
    </row>
    <row r="237" spans="1:4" x14ac:dyDescent="0.55000000000000004">
      <c r="A237" s="6">
        <v>2.1656688335916831E+18</v>
      </c>
      <c r="B237">
        <v>313</v>
      </c>
      <c r="C237">
        <v>1</v>
      </c>
      <c r="D237">
        <v>604</v>
      </c>
    </row>
    <row r="238" spans="1:4" x14ac:dyDescent="0.55000000000000004">
      <c r="A238" s="6">
        <v>2.1735131626376141E+18</v>
      </c>
      <c r="B238">
        <v>1152</v>
      </c>
      <c r="C238">
        <v>1</v>
      </c>
      <c r="D238">
        <v>126</v>
      </c>
    </row>
    <row r="239" spans="1:4" x14ac:dyDescent="0.55000000000000004">
      <c r="A239" s="6">
        <v>2.174249501936778E+18</v>
      </c>
      <c r="B239">
        <v>36</v>
      </c>
      <c r="C239">
        <v>1</v>
      </c>
      <c r="D239">
        <v>5802</v>
      </c>
    </row>
    <row r="240" spans="1:4" x14ac:dyDescent="0.55000000000000004">
      <c r="A240" s="6">
        <v>2.186524740627071E+18</v>
      </c>
      <c r="B240">
        <v>611</v>
      </c>
      <c r="C240">
        <v>1</v>
      </c>
      <c r="D240">
        <v>1377</v>
      </c>
    </row>
    <row r="241" spans="1:4" x14ac:dyDescent="0.55000000000000004">
      <c r="A241" s="6">
        <v>2.187960119635755E+18</v>
      </c>
      <c r="B241">
        <v>406</v>
      </c>
      <c r="C241">
        <v>1</v>
      </c>
      <c r="D241">
        <v>1143</v>
      </c>
    </row>
    <row r="242" spans="1:4" x14ac:dyDescent="0.55000000000000004">
      <c r="A242" s="6">
        <v>2.2082843403097999E+18</v>
      </c>
      <c r="B242">
        <v>111</v>
      </c>
      <c r="C242">
        <v>2</v>
      </c>
      <c r="D242">
        <v>2348</v>
      </c>
    </row>
    <row r="243" spans="1:4" x14ac:dyDescent="0.55000000000000004">
      <c r="A243" s="6">
        <v>2.208368745871883E+18</v>
      </c>
      <c r="B243">
        <v>605</v>
      </c>
      <c r="C243">
        <v>2</v>
      </c>
      <c r="D243">
        <v>1434</v>
      </c>
    </row>
    <row r="244" spans="1:4" x14ac:dyDescent="0.55000000000000004">
      <c r="A244" s="6">
        <v>2.2161208201684759E+18</v>
      </c>
      <c r="B244">
        <v>833</v>
      </c>
      <c r="C244">
        <v>1</v>
      </c>
      <c r="D244">
        <v>112</v>
      </c>
    </row>
    <row r="245" spans="1:4" x14ac:dyDescent="0.55000000000000004">
      <c r="A245" s="6">
        <v>2.2216710197921889E+18</v>
      </c>
      <c r="B245">
        <v>177</v>
      </c>
      <c r="C245">
        <v>1</v>
      </c>
      <c r="D245">
        <v>6240</v>
      </c>
    </row>
    <row r="246" spans="1:4" x14ac:dyDescent="0.55000000000000004">
      <c r="A246" s="6">
        <v>2.2219326285600251E+18</v>
      </c>
      <c r="B246">
        <v>4</v>
      </c>
      <c r="C246">
        <v>2</v>
      </c>
      <c r="D246">
        <v>1216</v>
      </c>
    </row>
    <row r="247" spans="1:4" x14ac:dyDescent="0.55000000000000004">
      <c r="A247" s="6">
        <v>2.225462902853954E+18</v>
      </c>
      <c r="B247">
        <v>769</v>
      </c>
      <c r="C247">
        <v>2</v>
      </c>
      <c r="D247">
        <v>9337</v>
      </c>
    </row>
    <row r="248" spans="1:4" x14ac:dyDescent="0.55000000000000004">
      <c r="A248" s="6">
        <v>2.2296974027298849E+18</v>
      </c>
      <c r="B248">
        <v>198</v>
      </c>
      <c r="C248">
        <v>1</v>
      </c>
      <c r="D248">
        <v>3535</v>
      </c>
    </row>
    <row r="249" spans="1:4" x14ac:dyDescent="0.55000000000000004">
      <c r="A249" s="6">
        <v>2.2411033549047949E+18</v>
      </c>
      <c r="B249">
        <v>1202</v>
      </c>
      <c r="C249">
        <v>1</v>
      </c>
      <c r="D249">
        <v>2604</v>
      </c>
    </row>
    <row r="250" spans="1:4" x14ac:dyDescent="0.55000000000000004">
      <c r="A250" s="6">
        <v>2.2472947791115561E+18</v>
      </c>
      <c r="B250">
        <v>1158</v>
      </c>
      <c r="C250">
        <v>1</v>
      </c>
      <c r="D250">
        <v>270</v>
      </c>
    </row>
    <row r="251" spans="1:4" x14ac:dyDescent="0.55000000000000004">
      <c r="A251" s="6">
        <v>2.250597738026262E+18</v>
      </c>
      <c r="B251">
        <v>63</v>
      </c>
      <c r="C251">
        <v>1</v>
      </c>
      <c r="D251">
        <v>106</v>
      </c>
    </row>
    <row r="252" spans="1:4" x14ac:dyDescent="0.55000000000000004">
      <c r="A252" s="6">
        <v>2.2533622592515241E+18</v>
      </c>
      <c r="B252">
        <v>533</v>
      </c>
      <c r="C252">
        <v>1</v>
      </c>
      <c r="D252">
        <v>89</v>
      </c>
    </row>
    <row r="253" spans="1:4" x14ac:dyDescent="0.55000000000000004">
      <c r="A253" s="6">
        <v>2.2534652662718369E+18</v>
      </c>
      <c r="B253">
        <v>757</v>
      </c>
      <c r="C253">
        <v>1</v>
      </c>
      <c r="D253">
        <v>96</v>
      </c>
    </row>
    <row r="254" spans="1:4" x14ac:dyDescent="0.55000000000000004">
      <c r="A254" s="6">
        <v>2.267788166417271E+18</v>
      </c>
      <c r="B254">
        <v>411</v>
      </c>
      <c r="C254">
        <v>1</v>
      </c>
      <c r="D254">
        <v>1336</v>
      </c>
    </row>
    <row r="255" spans="1:4" x14ac:dyDescent="0.55000000000000004">
      <c r="A255" s="6">
        <v>2.2861909734112389E+18</v>
      </c>
      <c r="B255">
        <v>152</v>
      </c>
      <c r="C255">
        <v>2</v>
      </c>
      <c r="D255">
        <v>9534</v>
      </c>
    </row>
    <row r="256" spans="1:4" x14ac:dyDescent="0.55000000000000004">
      <c r="A256" s="6">
        <v>2.3249921401549619E+18</v>
      </c>
      <c r="B256">
        <v>453</v>
      </c>
      <c r="C256">
        <v>1</v>
      </c>
      <c r="D256">
        <v>445</v>
      </c>
    </row>
    <row r="257" spans="1:4" x14ac:dyDescent="0.55000000000000004">
      <c r="A257" s="6">
        <v>2.3287859527018061E+18</v>
      </c>
      <c r="B257">
        <v>61</v>
      </c>
      <c r="C257">
        <v>1</v>
      </c>
      <c r="D257">
        <v>964</v>
      </c>
    </row>
    <row r="258" spans="1:4" x14ac:dyDescent="0.55000000000000004">
      <c r="A258" s="6">
        <v>2.3383858770138522E+18</v>
      </c>
      <c r="B258">
        <v>1078</v>
      </c>
      <c r="C258">
        <v>1</v>
      </c>
      <c r="D258">
        <v>943</v>
      </c>
    </row>
    <row r="259" spans="1:4" x14ac:dyDescent="0.55000000000000004">
      <c r="A259" s="6">
        <v>2.344110911434175E+18</v>
      </c>
      <c r="B259">
        <v>95</v>
      </c>
      <c r="C259">
        <v>2</v>
      </c>
      <c r="D259">
        <v>21145</v>
      </c>
    </row>
    <row r="260" spans="1:4" x14ac:dyDescent="0.55000000000000004">
      <c r="A260" s="6">
        <v>2.3506228402336369E+18</v>
      </c>
      <c r="B260">
        <v>469</v>
      </c>
      <c r="C260">
        <v>1</v>
      </c>
      <c r="D260">
        <v>2658</v>
      </c>
    </row>
    <row r="261" spans="1:4" x14ac:dyDescent="0.55000000000000004">
      <c r="A261" s="6">
        <v>2.350766272328E+18</v>
      </c>
      <c r="B261">
        <v>167</v>
      </c>
      <c r="C261">
        <v>1</v>
      </c>
      <c r="D261">
        <v>97</v>
      </c>
    </row>
    <row r="262" spans="1:4" x14ac:dyDescent="0.55000000000000004">
      <c r="A262" s="6">
        <v>2.3568634158670162E+18</v>
      </c>
      <c r="B262">
        <v>773</v>
      </c>
      <c r="C262">
        <v>1</v>
      </c>
      <c r="D262">
        <v>1930</v>
      </c>
    </row>
    <row r="263" spans="1:4" x14ac:dyDescent="0.55000000000000004">
      <c r="A263" s="6">
        <v>2.35868579751746E+18</v>
      </c>
      <c r="B263">
        <v>1266</v>
      </c>
      <c r="C263">
        <v>1</v>
      </c>
      <c r="D263">
        <v>375</v>
      </c>
    </row>
    <row r="264" spans="1:4" x14ac:dyDescent="0.55000000000000004">
      <c r="A264" s="6">
        <v>2.3691286549144228E+18</v>
      </c>
      <c r="B264">
        <v>53</v>
      </c>
      <c r="C264">
        <v>1</v>
      </c>
      <c r="D264">
        <v>1554</v>
      </c>
    </row>
    <row r="265" spans="1:4" x14ac:dyDescent="0.55000000000000004">
      <c r="A265" s="6">
        <v>2.3773168916203341E+18</v>
      </c>
      <c r="B265">
        <v>252</v>
      </c>
      <c r="C265">
        <v>1</v>
      </c>
      <c r="D265">
        <v>6297</v>
      </c>
    </row>
    <row r="266" spans="1:4" x14ac:dyDescent="0.55000000000000004">
      <c r="A266" s="6">
        <v>2.392089550787735E+18</v>
      </c>
      <c r="B266">
        <v>349</v>
      </c>
      <c r="C266">
        <v>1</v>
      </c>
      <c r="D266">
        <v>916</v>
      </c>
    </row>
    <row r="267" spans="1:4" x14ac:dyDescent="0.55000000000000004">
      <c r="A267" s="6">
        <v>2.3946474641006162E+18</v>
      </c>
      <c r="B267">
        <v>920</v>
      </c>
      <c r="C267">
        <v>2</v>
      </c>
      <c r="D267">
        <v>848</v>
      </c>
    </row>
    <row r="268" spans="1:4" x14ac:dyDescent="0.55000000000000004">
      <c r="A268" s="6">
        <v>2.4027411443830999E+18</v>
      </c>
      <c r="B268">
        <v>742</v>
      </c>
      <c r="C268">
        <v>2</v>
      </c>
      <c r="D268">
        <v>2098</v>
      </c>
    </row>
    <row r="269" spans="1:4" x14ac:dyDescent="0.55000000000000004">
      <c r="A269" s="6">
        <v>2.4494809714764979E+18</v>
      </c>
      <c r="B269">
        <v>479</v>
      </c>
      <c r="C269">
        <v>1</v>
      </c>
      <c r="D269">
        <v>3734</v>
      </c>
    </row>
    <row r="270" spans="1:4" x14ac:dyDescent="0.55000000000000004">
      <c r="A270" s="6">
        <v>2.4867096858662651E+18</v>
      </c>
      <c r="B270">
        <v>463</v>
      </c>
      <c r="C270">
        <v>1</v>
      </c>
      <c r="D270">
        <v>2886</v>
      </c>
    </row>
    <row r="271" spans="1:4" x14ac:dyDescent="0.55000000000000004">
      <c r="A271" s="6">
        <v>2.4900764070208317E+18</v>
      </c>
      <c r="B271">
        <v>256</v>
      </c>
      <c r="C271">
        <v>2</v>
      </c>
      <c r="D271">
        <v>685</v>
      </c>
    </row>
    <row r="272" spans="1:4" x14ac:dyDescent="0.55000000000000004">
      <c r="A272" s="6">
        <v>2.4913460905217208E+18</v>
      </c>
      <c r="B272">
        <v>7</v>
      </c>
      <c r="C272">
        <v>1</v>
      </c>
      <c r="D272">
        <v>376</v>
      </c>
    </row>
    <row r="273" spans="1:4" x14ac:dyDescent="0.55000000000000004">
      <c r="A273" s="6">
        <v>2.4955275502023101E+18</v>
      </c>
      <c r="B273">
        <v>412</v>
      </c>
      <c r="C273">
        <v>2</v>
      </c>
      <c r="D273">
        <v>8410</v>
      </c>
    </row>
    <row r="274" spans="1:4" x14ac:dyDescent="0.55000000000000004">
      <c r="A274" s="6">
        <v>2.4981247657363702E+18</v>
      </c>
      <c r="B274">
        <v>27</v>
      </c>
      <c r="C274">
        <v>1</v>
      </c>
      <c r="D274">
        <v>127</v>
      </c>
    </row>
    <row r="275" spans="1:4" x14ac:dyDescent="0.55000000000000004">
      <c r="A275" s="6">
        <v>2.5108968822276541E+18</v>
      </c>
      <c r="B275">
        <v>203</v>
      </c>
      <c r="C275">
        <v>1</v>
      </c>
      <c r="D275">
        <v>1536</v>
      </c>
    </row>
    <row r="276" spans="1:4" x14ac:dyDescent="0.55000000000000004">
      <c r="A276" s="6">
        <v>2.5146266350727972E+18</v>
      </c>
      <c r="B276">
        <v>399</v>
      </c>
      <c r="C276">
        <v>3</v>
      </c>
      <c r="D276">
        <v>2653</v>
      </c>
    </row>
    <row r="277" spans="1:4" x14ac:dyDescent="0.55000000000000004">
      <c r="A277" s="6">
        <v>2.5383376278167301E+18</v>
      </c>
      <c r="B277">
        <v>733</v>
      </c>
      <c r="C277">
        <v>1</v>
      </c>
      <c r="D277">
        <v>1320</v>
      </c>
    </row>
    <row r="278" spans="1:4" x14ac:dyDescent="0.55000000000000004">
      <c r="A278" s="6">
        <v>2.5412988130793498E+18</v>
      </c>
      <c r="B278">
        <v>25</v>
      </c>
      <c r="C278">
        <v>1</v>
      </c>
      <c r="D278">
        <v>4909</v>
      </c>
    </row>
    <row r="279" spans="1:4" x14ac:dyDescent="0.55000000000000004">
      <c r="A279" s="6">
        <v>2.5423728986190152E+18</v>
      </c>
      <c r="B279">
        <v>180</v>
      </c>
      <c r="C279">
        <v>1</v>
      </c>
      <c r="D279">
        <v>13</v>
      </c>
    </row>
    <row r="280" spans="1:4" x14ac:dyDescent="0.55000000000000004">
      <c r="A280" s="6">
        <v>2.5432399269405757E+18</v>
      </c>
      <c r="B280">
        <v>1016</v>
      </c>
      <c r="C280">
        <v>1</v>
      </c>
      <c r="D280">
        <v>317</v>
      </c>
    </row>
    <row r="281" spans="1:4" x14ac:dyDescent="0.55000000000000004">
      <c r="A281" s="6">
        <v>2.545330524848702E+18</v>
      </c>
      <c r="B281">
        <v>320</v>
      </c>
      <c r="C281">
        <v>1</v>
      </c>
      <c r="D281">
        <v>1480</v>
      </c>
    </row>
    <row r="282" spans="1:4" x14ac:dyDescent="0.55000000000000004">
      <c r="A282" s="6">
        <v>2.5502594470247168E+18</v>
      </c>
      <c r="B282">
        <v>780</v>
      </c>
      <c r="C282">
        <v>1</v>
      </c>
      <c r="D282">
        <v>690</v>
      </c>
    </row>
    <row r="283" spans="1:4" x14ac:dyDescent="0.55000000000000004">
      <c r="A283" s="6">
        <v>2.558484207246827E+18</v>
      </c>
      <c r="B283">
        <v>619</v>
      </c>
      <c r="C283">
        <v>1</v>
      </c>
      <c r="D283">
        <v>1160</v>
      </c>
    </row>
    <row r="284" spans="1:4" x14ac:dyDescent="0.55000000000000004">
      <c r="A284" s="6">
        <v>2.5593155119467418E+18</v>
      </c>
      <c r="B284">
        <v>224</v>
      </c>
      <c r="C284">
        <v>1</v>
      </c>
      <c r="D284">
        <v>2752</v>
      </c>
    </row>
    <row r="285" spans="1:4" x14ac:dyDescent="0.55000000000000004">
      <c r="A285" s="6">
        <v>2.5609919502683709E+18</v>
      </c>
      <c r="B285">
        <v>1057</v>
      </c>
      <c r="C285">
        <v>3</v>
      </c>
      <c r="D285">
        <v>942</v>
      </c>
    </row>
    <row r="286" spans="1:4" x14ac:dyDescent="0.55000000000000004">
      <c r="A286" s="6">
        <v>2.564259622408022E+18</v>
      </c>
      <c r="B286">
        <v>163</v>
      </c>
      <c r="C286">
        <v>3</v>
      </c>
      <c r="D286">
        <v>20319</v>
      </c>
    </row>
    <row r="287" spans="1:4" x14ac:dyDescent="0.55000000000000004">
      <c r="A287" s="6">
        <v>2.5732596732259671E+18</v>
      </c>
      <c r="B287">
        <v>372</v>
      </c>
      <c r="C287">
        <v>1</v>
      </c>
      <c r="D287">
        <v>1304</v>
      </c>
    </row>
    <row r="288" spans="1:4" x14ac:dyDescent="0.55000000000000004">
      <c r="A288" s="6">
        <v>2.5752748189004631E+18</v>
      </c>
      <c r="B288">
        <v>78</v>
      </c>
      <c r="C288">
        <v>2</v>
      </c>
      <c r="D288">
        <v>2350</v>
      </c>
    </row>
    <row r="289" spans="1:4" x14ac:dyDescent="0.55000000000000004">
      <c r="A289" s="6">
        <v>2.5753164287762079E+18</v>
      </c>
      <c r="B289">
        <v>517</v>
      </c>
      <c r="C289">
        <v>3</v>
      </c>
      <c r="D289">
        <v>6435</v>
      </c>
    </row>
    <row r="290" spans="1:4" x14ac:dyDescent="0.55000000000000004">
      <c r="A290" s="6">
        <v>2.5758306272859781E+18</v>
      </c>
      <c r="B290">
        <v>46</v>
      </c>
      <c r="C290">
        <v>2</v>
      </c>
      <c r="D290">
        <v>712</v>
      </c>
    </row>
    <row r="291" spans="1:4" x14ac:dyDescent="0.55000000000000004">
      <c r="A291" s="6">
        <v>2.5776502472543529E+18</v>
      </c>
      <c r="B291">
        <v>669</v>
      </c>
      <c r="C291">
        <v>1</v>
      </c>
      <c r="D291">
        <v>7629</v>
      </c>
    </row>
    <row r="292" spans="1:4" x14ac:dyDescent="0.55000000000000004">
      <c r="A292" s="6">
        <v>2.6030239575829929E+18</v>
      </c>
      <c r="B292">
        <v>984</v>
      </c>
      <c r="C292">
        <v>1</v>
      </c>
      <c r="D292">
        <v>2361</v>
      </c>
    </row>
    <row r="293" spans="1:4" x14ac:dyDescent="0.55000000000000004">
      <c r="A293" s="6">
        <v>2.6197504961558559E+18</v>
      </c>
      <c r="B293">
        <v>419</v>
      </c>
      <c r="C293">
        <v>2</v>
      </c>
      <c r="D293">
        <v>1129</v>
      </c>
    </row>
    <row r="294" spans="1:4" x14ac:dyDescent="0.55000000000000004">
      <c r="A294" s="6">
        <v>2.6197657737649992E+18</v>
      </c>
      <c r="B294">
        <v>51</v>
      </c>
      <c r="C294">
        <v>2</v>
      </c>
      <c r="D294">
        <v>11236</v>
      </c>
    </row>
    <row r="295" spans="1:4" x14ac:dyDescent="0.55000000000000004">
      <c r="A295" s="6">
        <v>2.62748593945662E+18</v>
      </c>
      <c r="B295">
        <v>369</v>
      </c>
      <c r="C295">
        <v>1</v>
      </c>
      <c r="D295">
        <v>1014</v>
      </c>
    </row>
    <row r="296" spans="1:4" x14ac:dyDescent="0.55000000000000004">
      <c r="A296" s="6">
        <v>2.6449074443805271E+18</v>
      </c>
      <c r="B296">
        <v>523</v>
      </c>
      <c r="C296">
        <v>1</v>
      </c>
      <c r="D296">
        <v>290</v>
      </c>
    </row>
    <row r="297" spans="1:4" x14ac:dyDescent="0.55000000000000004">
      <c r="A297" s="6">
        <v>2.6558718654448399E+18</v>
      </c>
      <c r="B297">
        <v>1134</v>
      </c>
      <c r="C297">
        <v>1</v>
      </c>
      <c r="D297">
        <v>950</v>
      </c>
    </row>
    <row r="298" spans="1:4" x14ac:dyDescent="0.55000000000000004">
      <c r="A298" s="6">
        <v>2.663254991129406E+18</v>
      </c>
      <c r="B298">
        <v>527</v>
      </c>
      <c r="C298">
        <v>1</v>
      </c>
      <c r="D298">
        <v>18228</v>
      </c>
    </row>
    <row r="299" spans="1:4" x14ac:dyDescent="0.55000000000000004">
      <c r="A299" s="6">
        <v>2.66430046480576E+18</v>
      </c>
      <c r="B299">
        <v>181</v>
      </c>
      <c r="C299">
        <v>1</v>
      </c>
      <c r="D299">
        <v>2056</v>
      </c>
    </row>
    <row r="300" spans="1:4" x14ac:dyDescent="0.55000000000000004">
      <c r="A300" s="6">
        <v>2.6685497503073772E+18</v>
      </c>
      <c r="B300">
        <v>564</v>
      </c>
      <c r="C300">
        <v>1</v>
      </c>
      <c r="D300">
        <v>4218</v>
      </c>
    </row>
    <row r="301" spans="1:4" x14ac:dyDescent="0.55000000000000004">
      <c r="A301" s="6">
        <v>2.6721041171314299E+18</v>
      </c>
      <c r="B301">
        <v>477</v>
      </c>
      <c r="C301">
        <v>1</v>
      </c>
      <c r="D301">
        <v>1240</v>
      </c>
    </row>
    <row r="302" spans="1:4" x14ac:dyDescent="0.55000000000000004">
      <c r="A302" s="6">
        <v>2.6757948269741338E+18</v>
      </c>
      <c r="B302">
        <v>1268</v>
      </c>
      <c r="C302">
        <v>1</v>
      </c>
      <c r="D302">
        <v>154</v>
      </c>
    </row>
    <row r="303" spans="1:4" x14ac:dyDescent="0.55000000000000004">
      <c r="A303" s="6">
        <v>2.6856549616065859E+18</v>
      </c>
      <c r="B303">
        <v>117</v>
      </c>
      <c r="C303">
        <v>1</v>
      </c>
      <c r="D303">
        <v>2122</v>
      </c>
    </row>
    <row r="304" spans="1:4" x14ac:dyDescent="0.55000000000000004">
      <c r="A304" s="6">
        <v>2.6861049038826102E+18</v>
      </c>
      <c r="B304">
        <v>727</v>
      </c>
      <c r="C304">
        <v>1</v>
      </c>
      <c r="D304">
        <v>894</v>
      </c>
    </row>
    <row r="305" spans="1:4" x14ac:dyDescent="0.55000000000000004">
      <c r="A305" s="6">
        <v>2.6866862189319229E+18</v>
      </c>
      <c r="B305">
        <v>27</v>
      </c>
      <c r="C305">
        <v>1</v>
      </c>
      <c r="D305">
        <v>220</v>
      </c>
    </row>
    <row r="306" spans="1:4" x14ac:dyDescent="0.55000000000000004">
      <c r="A306" s="6">
        <v>2.7343455953754409E+18</v>
      </c>
      <c r="B306">
        <v>585</v>
      </c>
      <c r="C306">
        <v>1</v>
      </c>
      <c r="D306">
        <v>49</v>
      </c>
    </row>
    <row r="307" spans="1:4" x14ac:dyDescent="0.55000000000000004">
      <c r="A307" s="6">
        <v>2.7658005217164191E+18</v>
      </c>
      <c r="B307">
        <v>406</v>
      </c>
      <c r="C307">
        <v>2</v>
      </c>
      <c r="D307">
        <v>3811</v>
      </c>
    </row>
    <row r="308" spans="1:4" x14ac:dyDescent="0.55000000000000004">
      <c r="A308" s="6">
        <v>2.7738114444906752E+18</v>
      </c>
      <c r="B308">
        <v>221</v>
      </c>
      <c r="C308">
        <v>1</v>
      </c>
      <c r="D308">
        <v>969</v>
      </c>
    </row>
    <row r="309" spans="1:4" x14ac:dyDescent="0.55000000000000004">
      <c r="A309" s="6">
        <v>2.7772083311998751E+18</v>
      </c>
      <c r="B309">
        <v>360</v>
      </c>
      <c r="C309">
        <v>1</v>
      </c>
      <c r="D309">
        <v>622</v>
      </c>
    </row>
    <row r="310" spans="1:4" x14ac:dyDescent="0.55000000000000004">
      <c r="A310" s="6">
        <v>2.8029851890586148E+18</v>
      </c>
      <c r="B310">
        <v>896</v>
      </c>
      <c r="C310">
        <v>1</v>
      </c>
      <c r="D310">
        <v>807</v>
      </c>
    </row>
    <row r="311" spans="1:4" x14ac:dyDescent="0.55000000000000004">
      <c r="A311" s="6">
        <v>2.8202571640566118E+18</v>
      </c>
      <c r="B311">
        <v>614</v>
      </c>
      <c r="C311">
        <v>1</v>
      </c>
      <c r="D311">
        <v>846</v>
      </c>
    </row>
    <row r="312" spans="1:4" x14ac:dyDescent="0.55000000000000004">
      <c r="A312" s="6">
        <v>2.842375249748479E+18</v>
      </c>
      <c r="B312">
        <v>130</v>
      </c>
      <c r="C312">
        <v>1</v>
      </c>
      <c r="D312">
        <v>592</v>
      </c>
    </row>
    <row r="313" spans="1:4" x14ac:dyDescent="0.55000000000000004">
      <c r="A313" s="6">
        <v>2.845766777001474E+18</v>
      </c>
      <c r="B313">
        <v>1251</v>
      </c>
      <c r="C313">
        <v>1</v>
      </c>
      <c r="D313">
        <v>2847</v>
      </c>
    </row>
    <row r="314" spans="1:4" x14ac:dyDescent="0.55000000000000004">
      <c r="A314" s="6">
        <v>2.848642907880043E+18</v>
      </c>
      <c r="B314">
        <v>106</v>
      </c>
      <c r="C314">
        <v>1</v>
      </c>
      <c r="D314">
        <v>2191</v>
      </c>
    </row>
    <row r="315" spans="1:4" x14ac:dyDescent="0.55000000000000004">
      <c r="A315" s="6">
        <v>2.8520025775292242E+18</v>
      </c>
      <c r="B315">
        <v>138</v>
      </c>
      <c r="C315">
        <v>2</v>
      </c>
      <c r="D315">
        <v>1025</v>
      </c>
    </row>
    <row r="316" spans="1:4" x14ac:dyDescent="0.55000000000000004">
      <c r="A316" s="6">
        <v>2.85584285525694E+18</v>
      </c>
      <c r="B316">
        <v>721</v>
      </c>
      <c r="C316">
        <v>1</v>
      </c>
      <c r="D316">
        <v>2622</v>
      </c>
    </row>
    <row r="317" spans="1:4" x14ac:dyDescent="0.55000000000000004">
      <c r="A317" s="6">
        <v>2.8651927368076319E+18</v>
      </c>
      <c r="B317">
        <v>16</v>
      </c>
      <c r="C317">
        <v>2</v>
      </c>
      <c r="D317">
        <v>8927</v>
      </c>
    </row>
    <row r="318" spans="1:4" x14ac:dyDescent="0.55000000000000004">
      <c r="A318" s="6">
        <v>2.8791522318330199E+18</v>
      </c>
      <c r="B318">
        <v>152</v>
      </c>
      <c r="C318">
        <v>2</v>
      </c>
      <c r="D318">
        <v>1270</v>
      </c>
    </row>
    <row r="319" spans="1:4" x14ac:dyDescent="0.55000000000000004">
      <c r="A319" s="6">
        <v>2.8870954126147809E+18</v>
      </c>
      <c r="B319">
        <v>1168</v>
      </c>
      <c r="C319">
        <v>1</v>
      </c>
      <c r="D319">
        <v>241</v>
      </c>
    </row>
    <row r="320" spans="1:4" x14ac:dyDescent="0.55000000000000004">
      <c r="A320" s="6">
        <v>2.8875629570672712E+18</v>
      </c>
      <c r="B320">
        <v>430</v>
      </c>
      <c r="C320">
        <v>1</v>
      </c>
      <c r="D320">
        <v>754</v>
      </c>
    </row>
    <row r="321" spans="1:4" x14ac:dyDescent="0.55000000000000004">
      <c r="A321" s="6">
        <v>2.8877773766432451E+18</v>
      </c>
      <c r="B321">
        <v>341</v>
      </c>
      <c r="C321">
        <v>2</v>
      </c>
      <c r="D321">
        <v>689</v>
      </c>
    </row>
    <row r="322" spans="1:4" x14ac:dyDescent="0.55000000000000004">
      <c r="A322" s="6">
        <v>2.9129142691757379E+18</v>
      </c>
      <c r="B322">
        <v>1114</v>
      </c>
      <c r="C322">
        <v>1</v>
      </c>
      <c r="D322">
        <v>14193</v>
      </c>
    </row>
    <row r="323" spans="1:4" x14ac:dyDescent="0.55000000000000004">
      <c r="A323" s="6">
        <v>2.9446560957322291E+18</v>
      </c>
      <c r="B323">
        <v>933</v>
      </c>
      <c r="C323">
        <v>2</v>
      </c>
      <c r="D323">
        <v>362</v>
      </c>
    </row>
    <row r="324" spans="1:4" x14ac:dyDescent="0.55000000000000004">
      <c r="A324" s="6">
        <v>2.9736787866978289E+18</v>
      </c>
      <c r="B324">
        <v>719</v>
      </c>
      <c r="C324">
        <v>1</v>
      </c>
      <c r="D324">
        <v>2634</v>
      </c>
    </row>
    <row r="325" spans="1:4" x14ac:dyDescent="0.55000000000000004">
      <c r="A325" s="6">
        <v>2.9797603071166321E+18</v>
      </c>
      <c r="B325">
        <v>714</v>
      </c>
      <c r="C325">
        <v>1</v>
      </c>
      <c r="D325">
        <v>105</v>
      </c>
    </row>
    <row r="326" spans="1:4" x14ac:dyDescent="0.55000000000000004">
      <c r="A326" s="6">
        <v>2.9901190696250619E+18</v>
      </c>
      <c r="B326">
        <v>59</v>
      </c>
      <c r="C326">
        <v>1</v>
      </c>
      <c r="D326">
        <v>2691</v>
      </c>
    </row>
    <row r="327" spans="1:4" x14ac:dyDescent="0.55000000000000004">
      <c r="A327" s="6">
        <v>2.9959445171180252E+18</v>
      </c>
      <c r="B327">
        <v>446</v>
      </c>
      <c r="C327">
        <v>2</v>
      </c>
      <c r="D327">
        <v>670</v>
      </c>
    </row>
    <row r="328" spans="1:4" x14ac:dyDescent="0.55000000000000004">
      <c r="A328" s="6">
        <v>3.0045239399906529E+18</v>
      </c>
      <c r="B328">
        <v>1126</v>
      </c>
      <c r="C328">
        <v>1</v>
      </c>
      <c r="D328">
        <v>177</v>
      </c>
    </row>
    <row r="329" spans="1:4" x14ac:dyDescent="0.55000000000000004">
      <c r="A329" s="6">
        <v>3.0219644670991872E+18</v>
      </c>
      <c r="B329">
        <v>124</v>
      </c>
      <c r="C329">
        <v>1</v>
      </c>
      <c r="D329">
        <v>1470</v>
      </c>
    </row>
    <row r="330" spans="1:4" x14ac:dyDescent="0.55000000000000004">
      <c r="A330" s="6">
        <v>3.0220258818479959E+18</v>
      </c>
      <c r="B330">
        <v>112</v>
      </c>
      <c r="C330">
        <v>1</v>
      </c>
      <c r="D330">
        <v>6012</v>
      </c>
    </row>
    <row r="331" spans="1:4" x14ac:dyDescent="0.55000000000000004">
      <c r="A331" s="6">
        <v>3.02857581497137E+18</v>
      </c>
      <c r="B331">
        <v>482</v>
      </c>
      <c r="C331">
        <v>1</v>
      </c>
      <c r="D331">
        <v>1000</v>
      </c>
    </row>
    <row r="332" spans="1:4" x14ac:dyDescent="0.55000000000000004">
      <c r="A332" s="6">
        <v>3.03090006843757E+18</v>
      </c>
      <c r="B332">
        <v>1301</v>
      </c>
      <c r="C332">
        <v>1</v>
      </c>
      <c r="D332">
        <v>481</v>
      </c>
    </row>
    <row r="333" spans="1:4" x14ac:dyDescent="0.55000000000000004">
      <c r="A333" s="6">
        <v>3.0362242245227602E+18</v>
      </c>
      <c r="B333">
        <v>140</v>
      </c>
      <c r="C333">
        <v>1</v>
      </c>
      <c r="D333">
        <v>300</v>
      </c>
    </row>
    <row r="334" spans="1:4" x14ac:dyDescent="0.55000000000000004">
      <c r="A334" s="6">
        <v>3.0395197140953411E+18</v>
      </c>
      <c r="B334">
        <v>428</v>
      </c>
      <c r="C334">
        <v>1</v>
      </c>
      <c r="D334">
        <v>1917</v>
      </c>
    </row>
    <row r="335" spans="1:4" x14ac:dyDescent="0.55000000000000004">
      <c r="A335" s="6">
        <v>3.0412224008892979E+18</v>
      </c>
      <c r="B335">
        <v>1274</v>
      </c>
      <c r="C335">
        <v>1</v>
      </c>
      <c r="D335">
        <v>132</v>
      </c>
    </row>
    <row r="336" spans="1:4" x14ac:dyDescent="0.55000000000000004">
      <c r="A336" s="6">
        <v>3.0469260425050271E+18</v>
      </c>
      <c r="B336">
        <v>417</v>
      </c>
      <c r="C336">
        <v>1</v>
      </c>
      <c r="D336">
        <v>4284</v>
      </c>
    </row>
    <row r="337" spans="1:4" x14ac:dyDescent="0.55000000000000004">
      <c r="A337" s="6">
        <v>3.0502653338408781E+18</v>
      </c>
      <c r="B337">
        <v>475</v>
      </c>
      <c r="C337">
        <v>2</v>
      </c>
      <c r="D337">
        <v>9680</v>
      </c>
    </row>
    <row r="338" spans="1:4" x14ac:dyDescent="0.55000000000000004">
      <c r="A338" s="6">
        <v>3.0577265044639652E+18</v>
      </c>
      <c r="B338">
        <v>537</v>
      </c>
      <c r="C338">
        <v>1</v>
      </c>
      <c r="D338">
        <v>654</v>
      </c>
    </row>
    <row r="339" spans="1:4" x14ac:dyDescent="0.55000000000000004">
      <c r="A339" s="6">
        <v>3.0587753631777741E+18</v>
      </c>
      <c r="B339">
        <v>631</v>
      </c>
      <c r="C339">
        <v>1</v>
      </c>
      <c r="D339">
        <v>690</v>
      </c>
    </row>
    <row r="340" spans="1:4" x14ac:dyDescent="0.55000000000000004">
      <c r="A340" s="6">
        <v>3.0632376063521802E+18</v>
      </c>
      <c r="B340">
        <v>105</v>
      </c>
      <c r="C340">
        <v>1</v>
      </c>
      <c r="D340">
        <v>1068</v>
      </c>
    </row>
    <row r="341" spans="1:4" x14ac:dyDescent="0.55000000000000004">
      <c r="A341" s="6">
        <v>3.0682120085675418E+18</v>
      </c>
      <c r="B341">
        <v>477</v>
      </c>
      <c r="C341">
        <v>2</v>
      </c>
      <c r="D341">
        <v>1269</v>
      </c>
    </row>
    <row r="342" spans="1:4" x14ac:dyDescent="0.55000000000000004">
      <c r="A342" s="6">
        <v>3.0717687172480732E+18</v>
      </c>
      <c r="B342">
        <v>432</v>
      </c>
      <c r="C342">
        <v>1</v>
      </c>
      <c r="D342">
        <v>1800</v>
      </c>
    </row>
    <row r="343" spans="1:4" x14ac:dyDescent="0.55000000000000004">
      <c r="A343" s="6">
        <v>3.0757907403433108E+18</v>
      </c>
      <c r="B343">
        <v>117</v>
      </c>
      <c r="C343">
        <v>1</v>
      </c>
      <c r="D343">
        <v>496</v>
      </c>
    </row>
    <row r="344" spans="1:4" x14ac:dyDescent="0.55000000000000004">
      <c r="A344" s="6">
        <v>3.1044372114244818E+18</v>
      </c>
      <c r="B344">
        <v>812</v>
      </c>
      <c r="C344">
        <v>1</v>
      </c>
      <c r="D344">
        <v>6550</v>
      </c>
    </row>
    <row r="345" spans="1:4" x14ac:dyDescent="0.55000000000000004">
      <c r="A345" s="6">
        <v>3.1102893808012759E+18</v>
      </c>
      <c r="B345">
        <v>271</v>
      </c>
      <c r="C345">
        <v>1</v>
      </c>
      <c r="D345">
        <v>2490</v>
      </c>
    </row>
    <row r="346" spans="1:4" x14ac:dyDescent="0.55000000000000004">
      <c r="A346" s="6">
        <v>3.113980125917739E+18</v>
      </c>
      <c r="B346">
        <v>665</v>
      </c>
      <c r="C346">
        <v>2</v>
      </c>
      <c r="D346">
        <v>1734</v>
      </c>
    </row>
    <row r="347" spans="1:4" x14ac:dyDescent="0.55000000000000004">
      <c r="A347" s="6">
        <v>3.1248014644552192E+18</v>
      </c>
      <c r="B347">
        <v>347</v>
      </c>
      <c r="C347">
        <v>1</v>
      </c>
      <c r="D347">
        <v>113</v>
      </c>
    </row>
    <row r="348" spans="1:4" x14ac:dyDescent="0.55000000000000004">
      <c r="A348" s="6">
        <v>3.1371779394058742E+18</v>
      </c>
      <c r="B348">
        <v>336</v>
      </c>
      <c r="C348">
        <v>1</v>
      </c>
      <c r="D348">
        <v>572</v>
      </c>
    </row>
    <row r="349" spans="1:4" x14ac:dyDescent="0.55000000000000004">
      <c r="A349" s="6">
        <v>3.1427461519250831E+18</v>
      </c>
      <c r="B349">
        <v>472</v>
      </c>
      <c r="C349">
        <v>1</v>
      </c>
      <c r="D349">
        <v>519</v>
      </c>
    </row>
    <row r="350" spans="1:4" x14ac:dyDescent="0.55000000000000004">
      <c r="A350" s="6">
        <v>3.1432583679414472E+18</v>
      </c>
      <c r="B350">
        <v>219</v>
      </c>
      <c r="C350">
        <v>2</v>
      </c>
      <c r="D350">
        <v>768</v>
      </c>
    </row>
    <row r="351" spans="1:4" x14ac:dyDescent="0.55000000000000004">
      <c r="A351" s="6">
        <v>3.1471119326611548E+18</v>
      </c>
      <c r="B351">
        <v>620</v>
      </c>
      <c r="C351">
        <v>1</v>
      </c>
      <c r="D351">
        <v>11033</v>
      </c>
    </row>
    <row r="352" spans="1:4" x14ac:dyDescent="0.55000000000000004">
      <c r="A352" s="6">
        <v>3.148239023525054E+18</v>
      </c>
      <c r="B352">
        <v>16</v>
      </c>
      <c r="C352">
        <v>1</v>
      </c>
      <c r="D352">
        <v>2697</v>
      </c>
    </row>
    <row r="353" spans="1:4" x14ac:dyDescent="0.55000000000000004">
      <c r="A353" s="6">
        <v>3.1686350128026348E+18</v>
      </c>
      <c r="B353">
        <v>962</v>
      </c>
      <c r="C353">
        <v>1</v>
      </c>
      <c r="D353">
        <v>909</v>
      </c>
    </row>
    <row r="354" spans="1:4" x14ac:dyDescent="0.55000000000000004">
      <c r="A354" s="6">
        <v>3.178430187051071E+18</v>
      </c>
      <c r="B354">
        <v>263</v>
      </c>
      <c r="C354">
        <v>1</v>
      </c>
      <c r="D354">
        <v>570</v>
      </c>
    </row>
    <row r="355" spans="1:4" x14ac:dyDescent="0.55000000000000004">
      <c r="A355" s="6">
        <v>3.1814770390967332E+18</v>
      </c>
      <c r="B355">
        <v>421</v>
      </c>
      <c r="C355">
        <v>1</v>
      </c>
      <c r="D355">
        <v>890</v>
      </c>
    </row>
    <row r="356" spans="1:4" x14ac:dyDescent="0.55000000000000004">
      <c r="A356" s="6">
        <v>3.1915338919570048E+18</v>
      </c>
      <c r="B356">
        <v>807</v>
      </c>
      <c r="C356">
        <v>1</v>
      </c>
      <c r="D356">
        <v>1178</v>
      </c>
    </row>
    <row r="357" spans="1:4" x14ac:dyDescent="0.55000000000000004">
      <c r="A357" s="6">
        <v>3.1980819334937871E+18</v>
      </c>
      <c r="B357">
        <v>74</v>
      </c>
      <c r="C357">
        <v>1</v>
      </c>
      <c r="D357">
        <v>477</v>
      </c>
    </row>
    <row r="358" spans="1:4" x14ac:dyDescent="0.55000000000000004">
      <c r="A358" s="6">
        <v>3.1994363334983782E+18</v>
      </c>
      <c r="B358">
        <v>31</v>
      </c>
      <c r="C358">
        <v>1</v>
      </c>
      <c r="D358">
        <v>8220</v>
      </c>
    </row>
    <row r="359" spans="1:4" x14ac:dyDescent="0.55000000000000004">
      <c r="A359" s="6">
        <v>3.2028183476818959E+18</v>
      </c>
      <c r="B359">
        <v>148</v>
      </c>
      <c r="C359">
        <v>2</v>
      </c>
      <c r="D359">
        <v>1999</v>
      </c>
    </row>
    <row r="360" spans="1:4" x14ac:dyDescent="0.55000000000000004">
      <c r="A360" s="6">
        <v>3.2040072584547528E+18</v>
      </c>
      <c r="B360">
        <v>358</v>
      </c>
      <c r="C360">
        <v>1</v>
      </c>
      <c r="D360">
        <v>220</v>
      </c>
    </row>
    <row r="361" spans="1:4" x14ac:dyDescent="0.55000000000000004">
      <c r="A361" s="6">
        <v>3.2151136791418732E+18</v>
      </c>
      <c r="B361">
        <v>1204</v>
      </c>
      <c r="C361">
        <v>1</v>
      </c>
      <c r="D361">
        <v>457</v>
      </c>
    </row>
    <row r="362" spans="1:4" x14ac:dyDescent="0.55000000000000004">
      <c r="A362" s="6">
        <v>3.2447675441447608E+18</v>
      </c>
      <c r="B362">
        <v>367</v>
      </c>
      <c r="C362">
        <v>2</v>
      </c>
      <c r="D362">
        <v>10603</v>
      </c>
    </row>
    <row r="363" spans="1:4" x14ac:dyDescent="0.55000000000000004">
      <c r="A363" s="6">
        <v>3.2454530566074941E+18</v>
      </c>
      <c r="B363">
        <v>424</v>
      </c>
      <c r="C363">
        <v>1</v>
      </c>
      <c r="D363">
        <v>5370</v>
      </c>
    </row>
    <row r="364" spans="1:4" x14ac:dyDescent="0.55000000000000004">
      <c r="A364" s="6">
        <v>3.2482827640987121E+18</v>
      </c>
      <c r="B364">
        <v>480</v>
      </c>
      <c r="C364">
        <v>1</v>
      </c>
      <c r="D364">
        <v>4971</v>
      </c>
    </row>
    <row r="365" spans="1:4" x14ac:dyDescent="0.55000000000000004">
      <c r="A365" s="6">
        <v>3.2544412848118932E+18</v>
      </c>
      <c r="B365">
        <v>196</v>
      </c>
      <c r="C365">
        <v>1</v>
      </c>
      <c r="D365">
        <v>1538</v>
      </c>
    </row>
    <row r="366" spans="1:4" x14ac:dyDescent="0.55000000000000004">
      <c r="A366" s="6">
        <v>3.2594632490669732E+18</v>
      </c>
      <c r="B366">
        <v>141</v>
      </c>
      <c r="C366">
        <v>2</v>
      </c>
      <c r="D366">
        <v>1488</v>
      </c>
    </row>
    <row r="367" spans="1:4" x14ac:dyDescent="0.55000000000000004">
      <c r="A367" s="6">
        <v>3.2625381701961421E+18</v>
      </c>
      <c r="B367">
        <v>45</v>
      </c>
      <c r="C367">
        <v>1</v>
      </c>
      <c r="D367">
        <v>1666</v>
      </c>
    </row>
    <row r="368" spans="1:4" x14ac:dyDescent="0.55000000000000004">
      <c r="A368" s="6">
        <v>3.263288518696343E+18</v>
      </c>
      <c r="B368">
        <v>402</v>
      </c>
      <c r="C368">
        <v>4</v>
      </c>
      <c r="D368">
        <v>12846</v>
      </c>
    </row>
    <row r="369" spans="1:4" x14ac:dyDescent="0.55000000000000004">
      <c r="A369" s="6">
        <v>3.2743342909548442E+18</v>
      </c>
      <c r="B369">
        <v>295</v>
      </c>
      <c r="C369">
        <v>1</v>
      </c>
      <c r="D369">
        <v>72</v>
      </c>
    </row>
    <row r="370" spans="1:4" x14ac:dyDescent="0.55000000000000004">
      <c r="A370" s="6">
        <v>3.283349759280599E+18</v>
      </c>
      <c r="B370">
        <v>760</v>
      </c>
      <c r="C370">
        <v>2</v>
      </c>
      <c r="D370">
        <v>1822</v>
      </c>
    </row>
    <row r="371" spans="1:4" x14ac:dyDescent="0.55000000000000004">
      <c r="A371" s="6">
        <v>3.2861226853835218E+18</v>
      </c>
      <c r="B371">
        <v>708</v>
      </c>
      <c r="C371">
        <v>1</v>
      </c>
      <c r="D371">
        <v>31</v>
      </c>
    </row>
    <row r="372" spans="1:4" x14ac:dyDescent="0.55000000000000004">
      <c r="A372" s="6">
        <v>3.2887384232777748E+18</v>
      </c>
      <c r="B372">
        <v>623</v>
      </c>
      <c r="C372">
        <v>2</v>
      </c>
      <c r="D372">
        <v>11261</v>
      </c>
    </row>
    <row r="373" spans="1:4" x14ac:dyDescent="0.55000000000000004">
      <c r="A373" s="6">
        <v>3.291601169534828E+18</v>
      </c>
      <c r="B373">
        <v>948</v>
      </c>
      <c r="C373">
        <v>1</v>
      </c>
      <c r="D373">
        <v>3666</v>
      </c>
    </row>
    <row r="374" spans="1:4" x14ac:dyDescent="0.55000000000000004">
      <c r="A374" s="6">
        <v>3.3061567698177551E+18</v>
      </c>
      <c r="B374">
        <v>1035</v>
      </c>
      <c r="C374">
        <v>2</v>
      </c>
      <c r="D374">
        <v>9485</v>
      </c>
    </row>
    <row r="375" spans="1:4" x14ac:dyDescent="0.55000000000000004">
      <c r="A375" s="6">
        <v>3.3153944179223782E+18</v>
      </c>
      <c r="B375">
        <v>554</v>
      </c>
      <c r="C375">
        <v>1</v>
      </c>
      <c r="D375">
        <v>2607</v>
      </c>
    </row>
    <row r="376" spans="1:4" x14ac:dyDescent="0.55000000000000004">
      <c r="A376" s="6">
        <v>3.3162710235033569E+18</v>
      </c>
      <c r="B376">
        <v>827</v>
      </c>
      <c r="C376">
        <v>1</v>
      </c>
      <c r="D376">
        <v>1859</v>
      </c>
    </row>
    <row r="377" spans="1:4" x14ac:dyDescent="0.55000000000000004">
      <c r="A377" s="6">
        <v>3.3189942654190188E+18</v>
      </c>
      <c r="B377">
        <v>63</v>
      </c>
      <c r="C377">
        <v>1</v>
      </c>
      <c r="D377">
        <v>257</v>
      </c>
    </row>
    <row r="378" spans="1:4" x14ac:dyDescent="0.55000000000000004">
      <c r="A378" s="6">
        <v>3.3311643714163379E+18</v>
      </c>
      <c r="B378">
        <v>412</v>
      </c>
      <c r="C378">
        <v>1</v>
      </c>
      <c r="D378">
        <v>3290</v>
      </c>
    </row>
    <row r="379" spans="1:4" x14ac:dyDescent="0.55000000000000004">
      <c r="A379" s="6">
        <v>3.3312355588157609E+18</v>
      </c>
      <c r="B379">
        <v>1043</v>
      </c>
      <c r="C379">
        <v>1</v>
      </c>
      <c r="D379">
        <v>108</v>
      </c>
    </row>
    <row r="380" spans="1:4" x14ac:dyDescent="0.55000000000000004">
      <c r="A380" s="6">
        <v>3.3357923261150618E+18</v>
      </c>
      <c r="B380">
        <v>331</v>
      </c>
      <c r="C380">
        <v>1</v>
      </c>
      <c r="D380">
        <v>378</v>
      </c>
    </row>
    <row r="381" spans="1:4" x14ac:dyDescent="0.55000000000000004">
      <c r="A381" s="6">
        <v>3.3396038889079619E+18</v>
      </c>
      <c r="B381">
        <v>1265</v>
      </c>
      <c r="C381">
        <v>1</v>
      </c>
      <c r="D381">
        <v>186</v>
      </c>
    </row>
    <row r="382" spans="1:4" x14ac:dyDescent="0.55000000000000004">
      <c r="A382" s="6">
        <v>3.350444082874046E+18</v>
      </c>
      <c r="B382">
        <v>562</v>
      </c>
      <c r="C382">
        <v>1</v>
      </c>
      <c r="D382">
        <v>339</v>
      </c>
    </row>
    <row r="383" spans="1:4" x14ac:dyDescent="0.55000000000000004">
      <c r="A383" s="6">
        <v>3.3563322919753088E+18</v>
      </c>
      <c r="B383">
        <v>419</v>
      </c>
      <c r="C383">
        <v>1</v>
      </c>
      <c r="D383">
        <v>110</v>
      </c>
    </row>
    <row r="384" spans="1:4" x14ac:dyDescent="0.55000000000000004">
      <c r="A384" s="6">
        <v>3.3612971625853112E+18</v>
      </c>
      <c r="B384">
        <v>557</v>
      </c>
      <c r="C384">
        <v>1</v>
      </c>
      <c r="D384">
        <v>903</v>
      </c>
    </row>
    <row r="385" spans="1:4" x14ac:dyDescent="0.55000000000000004">
      <c r="A385" s="6">
        <v>3.3758106690651448E+18</v>
      </c>
      <c r="B385">
        <v>105</v>
      </c>
      <c r="C385">
        <v>1</v>
      </c>
      <c r="D385">
        <v>230</v>
      </c>
    </row>
    <row r="386" spans="1:4" x14ac:dyDescent="0.55000000000000004">
      <c r="A386" s="6">
        <v>3.389320589001964E+18</v>
      </c>
      <c r="B386">
        <v>467</v>
      </c>
      <c r="C386">
        <v>1</v>
      </c>
      <c r="D386">
        <v>299</v>
      </c>
    </row>
    <row r="387" spans="1:4" x14ac:dyDescent="0.55000000000000004">
      <c r="A387" s="6">
        <v>3.3897601747129359E+18</v>
      </c>
      <c r="B387">
        <v>114</v>
      </c>
      <c r="C387">
        <v>1</v>
      </c>
      <c r="D387">
        <v>390</v>
      </c>
    </row>
    <row r="388" spans="1:4" x14ac:dyDescent="0.55000000000000004">
      <c r="A388" s="6">
        <v>3.3916304403181389E+18</v>
      </c>
      <c r="B388">
        <v>480</v>
      </c>
      <c r="C388">
        <v>2</v>
      </c>
      <c r="D388">
        <v>205</v>
      </c>
    </row>
    <row r="389" spans="1:4" x14ac:dyDescent="0.55000000000000004">
      <c r="A389" s="6">
        <v>3.4031196728040279E+18</v>
      </c>
      <c r="B389">
        <v>234</v>
      </c>
      <c r="C389">
        <v>2</v>
      </c>
      <c r="D389">
        <v>7875</v>
      </c>
    </row>
    <row r="390" spans="1:4" x14ac:dyDescent="0.55000000000000004">
      <c r="A390" s="6">
        <v>3.4405352088394808E+18</v>
      </c>
      <c r="B390">
        <v>379</v>
      </c>
      <c r="C390">
        <v>1</v>
      </c>
      <c r="D390">
        <v>2779</v>
      </c>
    </row>
    <row r="391" spans="1:4" x14ac:dyDescent="0.55000000000000004">
      <c r="A391" s="6">
        <v>3.4691662447143552E+18</v>
      </c>
      <c r="B391">
        <v>148</v>
      </c>
      <c r="C391">
        <v>1</v>
      </c>
      <c r="D391">
        <v>1448</v>
      </c>
    </row>
    <row r="392" spans="1:4" x14ac:dyDescent="0.55000000000000004">
      <c r="A392" s="6">
        <v>3.4752083850087532E+18</v>
      </c>
      <c r="B392">
        <v>1020</v>
      </c>
      <c r="C392">
        <v>2</v>
      </c>
      <c r="D392">
        <v>1075</v>
      </c>
    </row>
    <row r="393" spans="1:4" x14ac:dyDescent="0.55000000000000004">
      <c r="A393" s="6">
        <v>3.480663857075008E+18</v>
      </c>
      <c r="B393">
        <v>264</v>
      </c>
      <c r="C393">
        <v>1</v>
      </c>
      <c r="D393">
        <v>5091</v>
      </c>
    </row>
    <row r="394" spans="1:4" x14ac:dyDescent="0.55000000000000004">
      <c r="A394" s="6">
        <v>3.4990096452295839E+18</v>
      </c>
      <c r="B394">
        <v>343</v>
      </c>
      <c r="C394">
        <v>3</v>
      </c>
      <c r="D394">
        <v>858</v>
      </c>
    </row>
    <row r="395" spans="1:4" x14ac:dyDescent="0.55000000000000004">
      <c r="A395" s="6">
        <v>3.501801518888918E+18</v>
      </c>
      <c r="B395">
        <v>288</v>
      </c>
      <c r="C395">
        <v>1</v>
      </c>
      <c r="D395">
        <v>929</v>
      </c>
    </row>
    <row r="396" spans="1:4" x14ac:dyDescent="0.55000000000000004">
      <c r="A396" s="6">
        <v>3.5050138743736602E+18</v>
      </c>
      <c r="B396">
        <v>139</v>
      </c>
      <c r="C396">
        <v>1</v>
      </c>
      <c r="D396">
        <v>445</v>
      </c>
    </row>
    <row r="397" spans="1:4" x14ac:dyDescent="0.55000000000000004">
      <c r="A397" s="6">
        <v>3.5051572052441559E+18</v>
      </c>
      <c r="B397">
        <v>692</v>
      </c>
      <c r="C397">
        <v>1</v>
      </c>
      <c r="D397">
        <v>900</v>
      </c>
    </row>
    <row r="398" spans="1:4" x14ac:dyDescent="0.55000000000000004">
      <c r="A398" s="6">
        <v>3.508511586932777E+18</v>
      </c>
      <c r="B398">
        <v>662</v>
      </c>
      <c r="C398">
        <v>1</v>
      </c>
      <c r="D398">
        <v>50</v>
      </c>
    </row>
    <row r="399" spans="1:4" x14ac:dyDescent="0.55000000000000004">
      <c r="A399" s="6">
        <v>3.5334419115239562E+18</v>
      </c>
      <c r="B399">
        <v>144</v>
      </c>
      <c r="C399">
        <v>2</v>
      </c>
      <c r="D399">
        <v>4751</v>
      </c>
    </row>
    <row r="400" spans="1:4" x14ac:dyDescent="0.55000000000000004">
      <c r="A400" s="6">
        <v>3.5379622459849021E+18</v>
      </c>
      <c r="B400">
        <v>641</v>
      </c>
      <c r="C400">
        <v>1</v>
      </c>
      <c r="D400">
        <v>879</v>
      </c>
    </row>
    <row r="401" spans="1:4" x14ac:dyDescent="0.55000000000000004">
      <c r="A401" s="6">
        <v>3.5415691263301038E+18</v>
      </c>
      <c r="B401">
        <v>395</v>
      </c>
      <c r="C401">
        <v>2</v>
      </c>
      <c r="D401">
        <v>10000</v>
      </c>
    </row>
    <row r="402" spans="1:4" x14ac:dyDescent="0.55000000000000004">
      <c r="A402" s="6">
        <v>3.54381987202991E+18</v>
      </c>
      <c r="B402">
        <v>651</v>
      </c>
      <c r="C402">
        <v>2</v>
      </c>
      <c r="D402">
        <v>2631</v>
      </c>
    </row>
    <row r="403" spans="1:4" x14ac:dyDescent="0.55000000000000004">
      <c r="A403" s="6">
        <v>3.5457981411118679E+18</v>
      </c>
      <c r="B403">
        <v>146</v>
      </c>
      <c r="C403">
        <v>1</v>
      </c>
      <c r="D403">
        <v>1119</v>
      </c>
    </row>
    <row r="404" spans="1:4" x14ac:dyDescent="0.55000000000000004">
      <c r="A404" s="6">
        <v>3.553242837015596E+18</v>
      </c>
      <c r="B404">
        <v>306</v>
      </c>
      <c r="C404">
        <v>1</v>
      </c>
      <c r="D404">
        <v>85</v>
      </c>
    </row>
    <row r="405" spans="1:4" x14ac:dyDescent="0.55000000000000004">
      <c r="A405" s="6">
        <v>3.585305683131863E+18</v>
      </c>
      <c r="B405">
        <v>5</v>
      </c>
      <c r="C405">
        <v>1</v>
      </c>
      <c r="D405">
        <v>1630</v>
      </c>
    </row>
    <row r="406" spans="1:4" x14ac:dyDescent="0.55000000000000004">
      <c r="A406" s="6">
        <v>3.5856296985564948E+18</v>
      </c>
      <c r="B406">
        <v>393</v>
      </c>
      <c r="C406">
        <v>2</v>
      </c>
      <c r="D406">
        <v>15945</v>
      </c>
    </row>
    <row r="407" spans="1:4" x14ac:dyDescent="0.55000000000000004">
      <c r="A407" s="6">
        <v>3.5949493402033961E+18</v>
      </c>
      <c r="B407">
        <v>477</v>
      </c>
      <c r="C407">
        <v>1</v>
      </c>
      <c r="D407">
        <v>1855</v>
      </c>
    </row>
    <row r="408" spans="1:4" x14ac:dyDescent="0.55000000000000004">
      <c r="A408" s="6">
        <v>3.6054619238879939E+18</v>
      </c>
      <c r="B408">
        <v>411</v>
      </c>
      <c r="C408">
        <v>1</v>
      </c>
      <c r="D408">
        <v>696</v>
      </c>
    </row>
    <row r="409" spans="1:4" x14ac:dyDescent="0.55000000000000004">
      <c r="A409" s="6">
        <v>3.6661285346706258E+18</v>
      </c>
      <c r="B409">
        <v>839</v>
      </c>
      <c r="C409">
        <v>1</v>
      </c>
      <c r="D409">
        <v>3663</v>
      </c>
    </row>
    <row r="410" spans="1:4" x14ac:dyDescent="0.55000000000000004">
      <c r="A410" s="6">
        <v>3.6716121384099502E+18</v>
      </c>
      <c r="B410">
        <v>1114</v>
      </c>
      <c r="C410">
        <v>1</v>
      </c>
      <c r="D410">
        <v>171</v>
      </c>
    </row>
    <row r="411" spans="1:4" x14ac:dyDescent="0.55000000000000004">
      <c r="A411" s="6">
        <v>3.674025689273685E+18</v>
      </c>
      <c r="B411">
        <v>88</v>
      </c>
      <c r="C411">
        <v>2</v>
      </c>
      <c r="D411">
        <v>3363</v>
      </c>
    </row>
    <row r="412" spans="1:4" x14ac:dyDescent="0.55000000000000004">
      <c r="A412" s="6">
        <v>3.6793056153410719E+18</v>
      </c>
      <c r="B412">
        <v>497</v>
      </c>
      <c r="C412">
        <v>1</v>
      </c>
      <c r="D412">
        <v>290</v>
      </c>
    </row>
    <row r="413" spans="1:4" x14ac:dyDescent="0.55000000000000004">
      <c r="A413" s="6">
        <v>3.6801396179204372E+18</v>
      </c>
      <c r="B413">
        <v>445</v>
      </c>
      <c r="C413">
        <v>1</v>
      </c>
      <c r="D413">
        <v>2324</v>
      </c>
    </row>
    <row r="414" spans="1:4" x14ac:dyDescent="0.55000000000000004">
      <c r="A414" s="6">
        <v>3.6853730951080499E+18</v>
      </c>
      <c r="B414">
        <v>613</v>
      </c>
      <c r="C414">
        <v>1</v>
      </c>
      <c r="D414">
        <v>726</v>
      </c>
    </row>
    <row r="415" spans="1:4" x14ac:dyDescent="0.55000000000000004">
      <c r="A415" s="6">
        <v>3.7002484709028562E+18</v>
      </c>
      <c r="B415">
        <v>447</v>
      </c>
      <c r="C415">
        <v>2</v>
      </c>
      <c r="D415">
        <v>6476</v>
      </c>
    </row>
    <row r="416" spans="1:4" x14ac:dyDescent="0.55000000000000004">
      <c r="A416" s="6">
        <v>3.722614482804054E+18</v>
      </c>
      <c r="B416">
        <v>1207</v>
      </c>
      <c r="C416">
        <v>1</v>
      </c>
      <c r="D416">
        <v>1008</v>
      </c>
    </row>
    <row r="417" spans="1:4" x14ac:dyDescent="0.55000000000000004">
      <c r="A417" s="6">
        <v>3.723064905456257E+18</v>
      </c>
      <c r="B417">
        <v>1042</v>
      </c>
      <c r="C417">
        <v>2</v>
      </c>
      <c r="D417">
        <v>341</v>
      </c>
    </row>
    <row r="418" spans="1:4" x14ac:dyDescent="0.55000000000000004">
      <c r="A418" s="6">
        <v>3.746593368969024E+18</v>
      </c>
      <c r="B418">
        <v>648</v>
      </c>
      <c r="C418">
        <v>3</v>
      </c>
      <c r="D418">
        <v>471</v>
      </c>
    </row>
    <row r="419" spans="1:4" x14ac:dyDescent="0.55000000000000004">
      <c r="A419" s="6">
        <v>3.7506769843068621E+18</v>
      </c>
      <c r="B419">
        <v>260</v>
      </c>
      <c r="C419">
        <v>1</v>
      </c>
      <c r="D419">
        <v>169</v>
      </c>
    </row>
    <row r="420" spans="1:4" x14ac:dyDescent="0.55000000000000004">
      <c r="A420" s="6">
        <v>3.755355309603927E+18</v>
      </c>
      <c r="B420">
        <v>413</v>
      </c>
      <c r="C420">
        <v>1</v>
      </c>
      <c r="D420">
        <v>4409</v>
      </c>
    </row>
    <row r="421" spans="1:4" x14ac:dyDescent="0.55000000000000004">
      <c r="A421" s="6">
        <v>3.7565529610186588E+18</v>
      </c>
      <c r="B421">
        <v>26</v>
      </c>
      <c r="C421">
        <v>1</v>
      </c>
      <c r="D421">
        <v>195</v>
      </c>
    </row>
    <row r="422" spans="1:4" x14ac:dyDescent="0.55000000000000004">
      <c r="A422" s="6">
        <v>3.7571927821574461E+18</v>
      </c>
      <c r="B422">
        <v>617</v>
      </c>
      <c r="C422">
        <v>1</v>
      </c>
      <c r="D422">
        <v>139</v>
      </c>
    </row>
    <row r="423" spans="1:4" x14ac:dyDescent="0.55000000000000004">
      <c r="A423" s="6">
        <v>3.7705021680150861E+18</v>
      </c>
      <c r="B423">
        <v>1188</v>
      </c>
      <c r="C423">
        <v>1</v>
      </c>
      <c r="D423">
        <v>1733</v>
      </c>
    </row>
    <row r="424" spans="1:4" x14ac:dyDescent="0.55000000000000004">
      <c r="A424" s="6">
        <v>3.7872091168844288E+18</v>
      </c>
      <c r="B424">
        <v>922</v>
      </c>
      <c r="C424">
        <v>2</v>
      </c>
      <c r="D424">
        <v>2589</v>
      </c>
    </row>
    <row r="425" spans="1:4" x14ac:dyDescent="0.55000000000000004">
      <c r="A425" s="6">
        <v>3.7951345674892979E+18</v>
      </c>
      <c r="B425">
        <v>22</v>
      </c>
      <c r="C425">
        <v>1</v>
      </c>
      <c r="D425">
        <v>180</v>
      </c>
    </row>
    <row r="426" spans="1:4" x14ac:dyDescent="0.55000000000000004">
      <c r="A426" s="6">
        <v>3.8028052198150661E+18</v>
      </c>
      <c r="B426">
        <v>108</v>
      </c>
      <c r="C426">
        <v>1</v>
      </c>
      <c r="D426">
        <v>14560</v>
      </c>
    </row>
    <row r="427" spans="1:4" x14ac:dyDescent="0.55000000000000004">
      <c r="A427" s="6">
        <v>3.8030632454519009E+18</v>
      </c>
      <c r="B427">
        <v>55</v>
      </c>
      <c r="C427">
        <v>2</v>
      </c>
      <c r="D427">
        <v>2700</v>
      </c>
    </row>
    <row r="428" spans="1:4" x14ac:dyDescent="0.55000000000000004">
      <c r="A428" s="6">
        <v>3.8062534945437491E+18</v>
      </c>
      <c r="B428">
        <v>585</v>
      </c>
      <c r="C428">
        <v>1</v>
      </c>
      <c r="D428">
        <v>5276</v>
      </c>
    </row>
    <row r="429" spans="1:4" x14ac:dyDescent="0.55000000000000004">
      <c r="A429" s="6">
        <v>3.8104946415188419E+18</v>
      </c>
      <c r="B429">
        <v>257</v>
      </c>
      <c r="C429">
        <v>1</v>
      </c>
      <c r="D429">
        <v>3240</v>
      </c>
    </row>
    <row r="430" spans="1:4" x14ac:dyDescent="0.55000000000000004">
      <c r="A430" s="6">
        <v>3.8212681910665052E+18</v>
      </c>
      <c r="B430">
        <v>36</v>
      </c>
      <c r="C430">
        <v>2</v>
      </c>
      <c r="D430">
        <v>683</v>
      </c>
    </row>
    <row r="431" spans="1:4" x14ac:dyDescent="0.55000000000000004">
      <c r="A431" s="6">
        <v>3.8213474236409672E+18</v>
      </c>
      <c r="B431">
        <v>725</v>
      </c>
      <c r="C431">
        <v>3</v>
      </c>
      <c r="D431">
        <v>10372</v>
      </c>
    </row>
    <row r="432" spans="1:4" x14ac:dyDescent="0.55000000000000004">
      <c r="A432" s="6">
        <v>3.8623480902649252E+18</v>
      </c>
      <c r="B432">
        <v>256</v>
      </c>
      <c r="C432">
        <v>1</v>
      </c>
      <c r="D432">
        <v>236</v>
      </c>
    </row>
    <row r="433" spans="1:4" x14ac:dyDescent="0.55000000000000004">
      <c r="A433" s="6">
        <v>3.8623846872666322E+18</v>
      </c>
      <c r="B433">
        <v>422</v>
      </c>
      <c r="C433">
        <v>1</v>
      </c>
      <c r="D433">
        <v>1469</v>
      </c>
    </row>
    <row r="434" spans="1:4" x14ac:dyDescent="0.55000000000000004">
      <c r="A434" s="6">
        <v>3.8673138421728932E+18</v>
      </c>
      <c r="B434">
        <v>67</v>
      </c>
      <c r="C434">
        <v>2</v>
      </c>
      <c r="D434">
        <v>5732</v>
      </c>
    </row>
    <row r="435" spans="1:4" x14ac:dyDescent="0.55000000000000004">
      <c r="A435" s="6">
        <v>3.8718698369645599E+18</v>
      </c>
      <c r="B435">
        <v>711</v>
      </c>
      <c r="C435">
        <v>1</v>
      </c>
      <c r="D435">
        <v>149</v>
      </c>
    </row>
    <row r="436" spans="1:4" x14ac:dyDescent="0.55000000000000004">
      <c r="A436" s="6">
        <v>3.8730926034270961E+18</v>
      </c>
      <c r="B436">
        <v>306</v>
      </c>
      <c r="C436">
        <v>3</v>
      </c>
      <c r="D436">
        <v>8226</v>
      </c>
    </row>
    <row r="437" spans="1:4" x14ac:dyDescent="0.55000000000000004">
      <c r="A437" s="6">
        <v>3.8820816954258478E+18</v>
      </c>
      <c r="B437">
        <v>454</v>
      </c>
      <c r="C437">
        <v>1</v>
      </c>
      <c r="D437">
        <v>310</v>
      </c>
    </row>
    <row r="438" spans="1:4" x14ac:dyDescent="0.55000000000000004">
      <c r="A438" s="6">
        <v>3.8822343132996511E+18</v>
      </c>
      <c r="B438">
        <v>112</v>
      </c>
      <c r="C438">
        <v>3</v>
      </c>
      <c r="D438">
        <v>4843</v>
      </c>
    </row>
    <row r="439" spans="1:4" x14ac:dyDescent="0.55000000000000004">
      <c r="A439" s="6">
        <v>3.8856884712820838E+18</v>
      </c>
      <c r="B439">
        <v>973</v>
      </c>
      <c r="C439">
        <v>1</v>
      </c>
      <c r="D439">
        <v>259</v>
      </c>
    </row>
    <row r="440" spans="1:4" x14ac:dyDescent="0.55000000000000004">
      <c r="A440" s="6">
        <v>3.8923791312289418E+18</v>
      </c>
      <c r="B440">
        <v>449</v>
      </c>
      <c r="C440">
        <v>1</v>
      </c>
      <c r="D440">
        <v>2261</v>
      </c>
    </row>
    <row r="441" spans="1:4" x14ac:dyDescent="0.55000000000000004">
      <c r="A441" s="6">
        <v>3.8996603096353321E+18</v>
      </c>
      <c r="B441">
        <v>174</v>
      </c>
      <c r="C441">
        <v>2</v>
      </c>
      <c r="D441">
        <v>2625</v>
      </c>
    </row>
    <row r="442" spans="1:4" x14ac:dyDescent="0.55000000000000004">
      <c r="A442" s="6">
        <v>3.9077561414754412E+18</v>
      </c>
      <c r="B442">
        <v>1267</v>
      </c>
      <c r="C442">
        <v>1</v>
      </c>
      <c r="D442">
        <v>175</v>
      </c>
    </row>
    <row r="443" spans="1:4" x14ac:dyDescent="0.55000000000000004">
      <c r="A443" s="6">
        <v>3.911655942259586E+18</v>
      </c>
      <c r="B443">
        <v>1016</v>
      </c>
      <c r="C443">
        <v>1</v>
      </c>
      <c r="D443">
        <v>1250</v>
      </c>
    </row>
    <row r="444" spans="1:4" x14ac:dyDescent="0.55000000000000004">
      <c r="A444" s="6">
        <v>3.9149132213084621E+18</v>
      </c>
      <c r="B444">
        <v>776</v>
      </c>
      <c r="C444">
        <v>1</v>
      </c>
      <c r="D444">
        <v>948</v>
      </c>
    </row>
    <row r="445" spans="1:4" x14ac:dyDescent="0.55000000000000004">
      <c r="A445" s="6">
        <v>3.91791813032032E+18</v>
      </c>
      <c r="B445">
        <v>347</v>
      </c>
      <c r="C445">
        <v>2</v>
      </c>
      <c r="D445">
        <v>602</v>
      </c>
    </row>
    <row r="446" spans="1:4" x14ac:dyDescent="0.55000000000000004">
      <c r="A446" s="6">
        <v>3.9275450521629261E+18</v>
      </c>
      <c r="B446">
        <v>1273</v>
      </c>
      <c r="C446">
        <v>1</v>
      </c>
      <c r="D446">
        <v>319</v>
      </c>
    </row>
    <row r="447" spans="1:4" x14ac:dyDescent="0.55000000000000004">
      <c r="A447" s="6">
        <v>3.9325204183798779E+18</v>
      </c>
      <c r="B447">
        <v>154</v>
      </c>
      <c r="C447">
        <v>1</v>
      </c>
      <c r="D447">
        <v>1259</v>
      </c>
    </row>
    <row r="448" spans="1:4" x14ac:dyDescent="0.55000000000000004">
      <c r="A448" s="6">
        <v>3.9337276893371848E+18</v>
      </c>
      <c r="B448">
        <v>611</v>
      </c>
      <c r="C448">
        <v>2</v>
      </c>
      <c r="D448">
        <v>5976</v>
      </c>
    </row>
    <row r="449" spans="1:4" x14ac:dyDescent="0.55000000000000004">
      <c r="A449" s="6">
        <v>3.9440220148222531E+18</v>
      </c>
      <c r="B449">
        <v>261</v>
      </c>
      <c r="C449">
        <v>1</v>
      </c>
      <c r="D449">
        <v>990</v>
      </c>
    </row>
    <row r="450" spans="1:4" x14ac:dyDescent="0.55000000000000004">
      <c r="A450" s="6">
        <v>3.9444617656284708E+18</v>
      </c>
      <c r="B450">
        <v>695</v>
      </c>
      <c r="C450">
        <v>1</v>
      </c>
      <c r="D450">
        <v>537</v>
      </c>
    </row>
    <row r="451" spans="1:4" x14ac:dyDescent="0.55000000000000004">
      <c r="A451" s="6">
        <v>3.9926169556438211E+18</v>
      </c>
      <c r="B451">
        <v>74</v>
      </c>
      <c r="C451">
        <v>1</v>
      </c>
      <c r="D451">
        <v>1726</v>
      </c>
    </row>
    <row r="452" spans="1:4" x14ac:dyDescent="0.55000000000000004">
      <c r="A452" s="6">
        <v>4.0018623992861558E+18</v>
      </c>
      <c r="B452">
        <v>85</v>
      </c>
      <c r="C452">
        <v>2</v>
      </c>
      <c r="D452">
        <v>16388</v>
      </c>
    </row>
    <row r="453" spans="1:4" x14ac:dyDescent="0.55000000000000004">
      <c r="A453" s="6">
        <v>4.0074036940112302E+18</v>
      </c>
      <c r="B453">
        <v>94</v>
      </c>
      <c r="C453">
        <v>2</v>
      </c>
      <c r="D453">
        <v>2283</v>
      </c>
    </row>
    <row r="454" spans="1:4" x14ac:dyDescent="0.55000000000000004">
      <c r="A454" s="6">
        <v>4.0114768138737981E+18</v>
      </c>
      <c r="B454">
        <v>1383</v>
      </c>
      <c r="C454">
        <v>1</v>
      </c>
      <c r="D454">
        <v>540</v>
      </c>
    </row>
    <row r="455" spans="1:4" x14ac:dyDescent="0.55000000000000004">
      <c r="A455" s="6">
        <v>4.0215809108254679E+18</v>
      </c>
      <c r="B455">
        <v>684</v>
      </c>
      <c r="C455">
        <v>2</v>
      </c>
      <c r="D455">
        <v>2060</v>
      </c>
    </row>
    <row r="456" spans="1:4" x14ac:dyDescent="0.55000000000000004">
      <c r="A456" s="6">
        <v>4.0459079524297672E+18</v>
      </c>
      <c r="B456">
        <v>237</v>
      </c>
      <c r="C456">
        <v>1</v>
      </c>
      <c r="D456">
        <v>579</v>
      </c>
    </row>
    <row r="457" spans="1:4" x14ac:dyDescent="0.55000000000000004">
      <c r="A457" s="6">
        <v>4.0511141420952192E+18</v>
      </c>
      <c r="B457">
        <v>812</v>
      </c>
      <c r="C457">
        <v>1</v>
      </c>
      <c r="D457">
        <v>534</v>
      </c>
    </row>
    <row r="458" spans="1:4" x14ac:dyDescent="0.55000000000000004">
      <c r="A458" s="6">
        <v>4.094269431837227E+18</v>
      </c>
      <c r="B458">
        <v>294</v>
      </c>
      <c r="C458">
        <v>2</v>
      </c>
      <c r="D458">
        <v>3096</v>
      </c>
    </row>
    <row r="459" spans="1:4" x14ac:dyDescent="0.55000000000000004">
      <c r="A459" s="6">
        <v>4.1040030372730511E+18</v>
      </c>
      <c r="B459">
        <v>34</v>
      </c>
      <c r="C459">
        <v>1</v>
      </c>
      <c r="D459">
        <v>4824</v>
      </c>
    </row>
    <row r="460" spans="1:4" x14ac:dyDescent="0.55000000000000004">
      <c r="A460" s="6">
        <v>4.1118846582469458E+18</v>
      </c>
      <c r="B460">
        <v>561</v>
      </c>
      <c r="C460">
        <v>1</v>
      </c>
      <c r="D460">
        <v>1370</v>
      </c>
    </row>
    <row r="461" spans="1:4" x14ac:dyDescent="0.55000000000000004">
      <c r="A461" s="6">
        <v>4.1178339371491098E+18</v>
      </c>
      <c r="B461">
        <v>686</v>
      </c>
      <c r="C461">
        <v>1</v>
      </c>
      <c r="D461">
        <v>483</v>
      </c>
    </row>
    <row r="462" spans="1:4" x14ac:dyDescent="0.55000000000000004">
      <c r="A462" s="6">
        <v>4.135258352010667E+18</v>
      </c>
      <c r="B462">
        <v>350</v>
      </c>
      <c r="C462">
        <v>1</v>
      </c>
      <c r="D462">
        <v>3665</v>
      </c>
    </row>
    <row r="463" spans="1:4" x14ac:dyDescent="0.55000000000000004">
      <c r="A463" s="6">
        <v>4.1384079277476362E+18</v>
      </c>
      <c r="B463">
        <v>998</v>
      </c>
      <c r="C463">
        <v>2</v>
      </c>
      <c r="D463">
        <v>2718</v>
      </c>
    </row>
    <row r="464" spans="1:4" x14ac:dyDescent="0.55000000000000004">
      <c r="A464" s="6">
        <v>4.1401714480403871E+18</v>
      </c>
      <c r="B464">
        <v>111</v>
      </c>
      <c r="C464">
        <v>1</v>
      </c>
      <c r="D464">
        <v>1176</v>
      </c>
    </row>
    <row r="465" spans="1:4" x14ac:dyDescent="0.55000000000000004">
      <c r="A465" s="6">
        <v>4.1447631003015081E+18</v>
      </c>
      <c r="B465">
        <v>1365</v>
      </c>
      <c r="C465">
        <v>1</v>
      </c>
      <c r="D465">
        <v>3300</v>
      </c>
    </row>
    <row r="466" spans="1:4" x14ac:dyDescent="0.55000000000000004">
      <c r="A466" s="6">
        <v>4.1750935598840468E+18</v>
      </c>
      <c r="B466">
        <v>756</v>
      </c>
      <c r="C466">
        <v>1</v>
      </c>
      <c r="D466">
        <v>4770</v>
      </c>
    </row>
    <row r="467" spans="1:4" x14ac:dyDescent="0.55000000000000004">
      <c r="A467" s="6">
        <v>4.1851863206250301E+18</v>
      </c>
      <c r="B467">
        <v>163</v>
      </c>
      <c r="C467">
        <v>2</v>
      </c>
      <c r="D467">
        <v>376</v>
      </c>
    </row>
    <row r="468" spans="1:4" x14ac:dyDescent="0.55000000000000004">
      <c r="A468" s="6">
        <v>4.1901479744037089E+18</v>
      </c>
      <c r="B468">
        <v>258</v>
      </c>
      <c r="C468">
        <v>2</v>
      </c>
      <c r="D468">
        <v>3959</v>
      </c>
    </row>
    <row r="469" spans="1:4" x14ac:dyDescent="0.55000000000000004">
      <c r="A469" s="6">
        <v>4.1927928262707988E+18</v>
      </c>
      <c r="B469">
        <v>1130</v>
      </c>
      <c r="C469">
        <v>1</v>
      </c>
      <c r="D469">
        <v>1050</v>
      </c>
    </row>
    <row r="470" spans="1:4" x14ac:dyDescent="0.55000000000000004">
      <c r="A470" s="6">
        <v>4.196813306737175E+18</v>
      </c>
      <c r="B470">
        <v>528</v>
      </c>
      <c r="C470">
        <v>2</v>
      </c>
      <c r="D470">
        <v>1603</v>
      </c>
    </row>
    <row r="471" spans="1:4" x14ac:dyDescent="0.55000000000000004">
      <c r="A471" s="6">
        <v>4.197425612844927E+18</v>
      </c>
      <c r="B471">
        <v>282</v>
      </c>
      <c r="C471">
        <v>1</v>
      </c>
      <c r="D471">
        <v>6740</v>
      </c>
    </row>
    <row r="472" spans="1:4" x14ac:dyDescent="0.55000000000000004">
      <c r="A472" s="6">
        <v>4.1979686203009562E+18</v>
      </c>
      <c r="B472">
        <v>781</v>
      </c>
      <c r="C472">
        <v>1</v>
      </c>
      <c r="D472">
        <v>2320</v>
      </c>
    </row>
    <row r="473" spans="1:4" x14ac:dyDescent="0.55000000000000004">
      <c r="A473" s="6">
        <v>4.200684856420906E+18</v>
      </c>
      <c r="B473">
        <v>60</v>
      </c>
      <c r="C473">
        <v>2</v>
      </c>
      <c r="D473">
        <v>6664</v>
      </c>
    </row>
    <row r="474" spans="1:4" x14ac:dyDescent="0.55000000000000004">
      <c r="A474" s="6">
        <v>4.2015316285946138E+18</v>
      </c>
      <c r="B474">
        <v>250</v>
      </c>
      <c r="C474">
        <v>2</v>
      </c>
      <c r="D474">
        <v>9554</v>
      </c>
    </row>
    <row r="475" spans="1:4" x14ac:dyDescent="0.55000000000000004">
      <c r="A475" s="6">
        <v>4.20500913241359E+18</v>
      </c>
      <c r="B475">
        <v>745</v>
      </c>
      <c r="C475">
        <v>1</v>
      </c>
      <c r="D475">
        <v>204</v>
      </c>
    </row>
    <row r="476" spans="1:4" x14ac:dyDescent="0.55000000000000004">
      <c r="A476" s="6">
        <v>4.212623568848788E+18</v>
      </c>
      <c r="B476">
        <v>434</v>
      </c>
      <c r="C476">
        <v>1</v>
      </c>
      <c r="D476">
        <v>110</v>
      </c>
    </row>
    <row r="477" spans="1:4" x14ac:dyDescent="0.55000000000000004">
      <c r="A477" s="6">
        <v>4.2159826876365911E+18</v>
      </c>
      <c r="B477">
        <v>515</v>
      </c>
      <c r="C477">
        <v>1</v>
      </c>
      <c r="D477">
        <v>6.1</v>
      </c>
    </row>
    <row r="478" spans="1:4" x14ac:dyDescent="0.55000000000000004">
      <c r="A478" s="6">
        <v>4.2177726099247478E+18</v>
      </c>
      <c r="B478">
        <v>658</v>
      </c>
      <c r="C478">
        <v>1</v>
      </c>
      <c r="D478">
        <v>1485</v>
      </c>
    </row>
    <row r="479" spans="1:4" x14ac:dyDescent="0.55000000000000004">
      <c r="A479" s="6">
        <v>4.2265606458392428E+18</v>
      </c>
      <c r="B479">
        <v>175</v>
      </c>
      <c r="C479">
        <v>3</v>
      </c>
      <c r="D479">
        <v>20183</v>
      </c>
    </row>
    <row r="480" spans="1:4" x14ac:dyDescent="0.55000000000000004">
      <c r="A480" s="6">
        <v>4.2320153372283551E+18</v>
      </c>
      <c r="B480">
        <v>536</v>
      </c>
      <c r="C480">
        <v>1</v>
      </c>
      <c r="D480">
        <v>889</v>
      </c>
    </row>
    <row r="481" spans="1:4" x14ac:dyDescent="0.55000000000000004">
      <c r="A481" s="6">
        <v>4.2380513788323712E+18</v>
      </c>
      <c r="B481">
        <v>114</v>
      </c>
      <c r="C481">
        <v>1</v>
      </c>
      <c r="D481">
        <v>790</v>
      </c>
    </row>
    <row r="482" spans="1:4" x14ac:dyDescent="0.55000000000000004">
      <c r="A482" s="6">
        <v>4.2434207068438789E+18</v>
      </c>
      <c r="B482">
        <v>109</v>
      </c>
      <c r="C482">
        <v>1</v>
      </c>
      <c r="D482">
        <v>472</v>
      </c>
    </row>
    <row r="483" spans="1:4" x14ac:dyDescent="0.55000000000000004">
      <c r="A483" s="6">
        <v>4.2616684915424748E+18</v>
      </c>
      <c r="B483">
        <v>971</v>
      </c>
      <c r="C483">
        <v>1</v>
      </c>
      <c r="D483">
        <v>156</v>
      </c>
    </row>
    <row r="484" spans="1:4" x14ac:dyDescent="0.55000000000000004">
      <c r="A484" s="6">
        <v>4.2618102748152248E+18</v>
      </c>
      <c r="B484">
        <v>39</v>
      </c>
      <c r="C484">
        <v>3</v>
      </c>
      <c r="D484">
        <v>3986</v>
      </c>
    </row>
    <row r="485" spans="1:4" x14ac:dyDescent="0.55000000000000004">
      <c r="A485" s="6">
        <v>4.2650534554014602E+18</v>
      </c>
      <c r="B485">
        <v>439</v>
      </c>
      <c r="C485">
        <v>1</v>
      </c>
      <c r="D485">
        <v>65</v>
      </c>
    </row>
    <row r="486" spans="1:4" x14ac:dyDescent="0.55000000000000004">
      <c r="A486" s="6">
        <v>4.2667909490277059E+18</v>
      </c>
      <c r="B486">
        <v>431</v>
      </c>
      <c r="C486">
        <v>4</v>
      </c>
      <c r="D486">
        <v>9207</v>
      </c>
    </row>
    <row r="487" spans="1:4" x14ac:dyDescent="0.55000000000000004">
      <c r="A487" s="6">
        <v>4.2728264437008538E+18</v>
      </c>
      <c r="B487">
        <v>148</v>
      </c>
      <c r="C487">
        <v>5</v>
      </c>
      <c r="D487">
        <v>2762</v>
      </c>
    </row>
    <row r="488" spans="1:4" x14ac:dyDescent="0.55000000000000004">
      <c r="A488" s="6">
        <v>4.2881579349642619E+18</v>
      </c>
      <c r="B488">
        <v>1346</v>
      </c>
      <c r="C488">
        <v>1</v>
      </c>
      <c r="D488">
        <v>279</v>
      </c>
    </row>
    <row r="489" spans="1:4" x14ac:dyDescent="0.55000000000000004">
      <c r="A489" s="6">
        <v>4.29177626358705E+18</v>
      </c>
      <c r="B489">
        <v>107</v>
      </c>
      <c r="C489">
        <v>2</v>
      </c>
      <c r="D489">
        <v>2252</v>
      </c>
    </row>
    <row r="490" spans="1:4" x14ac:dyDescent="0.55000000000000004">
      <c r="A490" s="6">
        <v>4.3136611516126039E+18</v>
      </c>
      <c r="B490">
        <v>165</v>
      </c>
      <c r="C490">
        <v>2</v>
      </c>
      <c r="D490">
        <v>11426</v>
      </c>
    </row>
    <row r="491" spans="1:4" x14ac:dyDescent="0.55000000000000004">
      <c r="A491" s="6">
        <v>4.3270255639258972E+18</v>
      </c>
      <c r="B491">
        <v>525</v>
      </c>
      <c r="C491">
        <v>3</v>
      </c>
      <c r="D491">
        <v>3985</v>
      </c>
    </row>
    <row r="492" spans="1:4" x14ac:dyDescent="0.55000000000000004">
      <c r="A492" s="6">
        <v>4.3463733059550648E+18</v>
      </c>
      <c r="B492">
        <v>810</v>
      </c>
      <c r="C492">
        <v>1</v>
      </c>
      <c r="D492">
        <v>245</v>
      </c>
    </row>
    <row r="493" spans="1:4" x14ac:dyDescent="0.55000000000000004">
      <c r="A493" s="6">
        <v>4.3544470910002161E+18</v>
      </c>
      <c r="B493">
        <v>962</v>
      </c>
      <c r="C493">
        <v>1</v>
      </c>
      <c r="D493">
        <v>7500</v>
      </c>
    </row>
    <row r="494" spans="1:4" x14ac:dyDescent="0.55000000000000004">
      <c r="A494" s="6">
        <v>4.3720849680859843E+18</v>
      </c>
      <c r="B494">
        <v>1236</v>
      </c>
      <c r="C494">
        <v>1</v>
      </c>
      <c r="D494">
        <v>430</v>
      </c>
    </row>
    <row r="495" spans="1:4" x14ac:dyDescent="0.55000000000000004">
      <c r="A495" s="6">
        <v>4.3785163421245199E+18</v>
      </c>
      <c r="B495">
        <v>200</v>
      </c>
      <c r="C495">
        <v>1</v>
      </c>
      <c r="D495">
        <v>1468</v>
      </c>
    </row>
    <row r="496" spans="1:4" x14ac:dyDescent="0.55000000000000004">
      <c r="A496" s="6">
        <v>4.3842148892131758E+18</v>
      </c>
      <c r="B496">
        <v>1211</v>
      </c>
      <c r="C496">
        <v>1</v>
      </c>
      <c r="D496">
        <v>126</v>
      </c>
    </row>
    <row r="497" spans="1:4" x14ac:dyDescent="0.55000000000000004">
      <c r="A497" s="6">
        <v>4.3920295187112781E+18</v>
      </c>
      <c r="B497">
        <v>178</v>
      </c>
      <c r="C497">
        <v>1</v>
      </c>
      <c r="D497">
        <v>1150</v>
      </c>
    </row>
    <row r="498" spans="1:4" x14ac:dyDescent="0.55000000000000004">
      <c r="A498" s="6">
        <v>4.3931228336396959E+18</v>
      </c>
      <c r="B498">
        <v>145</v>
      </c>
      <c r="C498">
        <v>2</v>
      </c>
      <c r="D498">
        <v>4257</v>
      </c>
    </row>
    <row r="499" spans="1:4" x14ac:dyDescent="0.55000000000000004">
      <c r="A499" s="6">
        <v>4.4002765809907272E+18</v>
      </c>
      <c r="B499">
        <v>983</v>
      </c>
      <c r="C499">
        <v>1</v>
      </c>
      <c r="D499">
        <v>1696</v>
      </c>
    </row>
    <row r="500" spans="1:4" x14ac:dyDescent="0.55000000000000004">
      <c r="A500" s="6">
        <v>4.4233063623482399E+18</v>
      </c>
      <c r="B500">
        <v>297</v>
      </c>
      <c r="C500">
        <v>1</v>
      </c>
      <c r="D500">
        <v>523</v>
      </c>
    </row>
    <row r="501" spans="1:4" x14ac:dyDescent="0.55000000000000004">
      <c r="A501" s="6">
        <v>4.4246172807612518E+18</v>
      </c>
      <c r="B501">
        <v>667</v>
      </c>
      <c r="C501">
        <v>1</v>
      </c>
      <c r="D501">
        <v>530</v>
      </c>
    </row>
    <row r="502" spans="1:4" x14ac:dyDescent="0.55000000000000004">
      <c r="A502" s="6">
        <v>4.4418718641919068E+18</v>
      </c>
      <c r="B502">
        <v>19</v>
      </c>
      <c r="C502">
        <v>3</v>
      </c>
      <c r="D502">
        <v>2699</v>
      </c>
    </row>
    <row r="503" spans="1:4" x14ac:dyDescent="0.55000000000000004">
      <c r="A503" s="6">
        <v>4.444326172685058E+18</v>
      </c>
      <c r="B503">
        <v>322</v>
      </c>
      <c r="C503">
        <v>1</v>
      </c>
      <c r="D503">
        <v>1790</v>
      </c>
    </row>
    <row r="504" spans="1:4" x14ac:dyDescent="0.55000000000000004">
      <c r="A504" s="6">
        <v>4.4937326221003612E+18</v>
      </c>
      <c r="B504">
        <v>221</v>
      </c>
      <c r="C504">
        <v>2</v>
      </c>
      <c r="D504">
        <v>276</v>
      </c>
    </row>
    <row r="505" spans="1:4" x14ac:dyDescent="0.55000000000000004">
      <c r="A505" s="6">
        <v>4.5106534982823552E+18</v>
      </c>
      <c r="B505">
        <v>279</v>
      </c>
      <c r="C505">
        <v>1</v>
      </c>
      <c r="D505">
        <v>128</v>
      </c>
    </row>
    <row r="506" spans="1:4" x14ac:dyDescent="0.55000000000000004">
      <c r="A506" s="6">
        <v>4.5250344827868918E+18</v>
      </c>
      <c r="B506">
        <v>70</v>
      </c>
      <c r="C506">
        <v>1</v>
      </c>
      <c r="D506">
        <v>2136</v>
      </c>
    </row>
    <row r="507" spans="1:4" x14ac:dyDescent="0.55000000000000004">
      <c r="A507" s="6">
        <v>4.5296498561153311E+18</v>
      </c>
      <c r="B507">
        <v>931</v>
      </c>
      <c r="C507">
        <v>1</v>
      </c>
      <c r="D507">
        <v>30</v>
      </c>
    </row>
    <row r="508" spans="1:4" x14ac:dyDescent="0.55000000000000004">
      <c r="A508" s="6">
        <v>4.5328982199816069E+18</v>
      </c>
      <c r="B508">
        <v>35</v>
      </c>
      <c r="C508">
        <v>3</v>
      </c>
      <c r="D508">
        <v>2341</v>
      </c>
    </row>
    <row r="509" spans="1:4" x14ac:dyDescent="0.55000000000000004">
      <c r="A509" s="6">
        <v>4.5593323890435702E+18</v>
      </c>
      <c r="B509">
        <v>808</v>
      </c>
      <c r="C509">
        <v>2</v>
      </c>
      <c r="D509">
        <v>1073</v>
      </c>
    </row>
    <row r="510" spans="1:4" x14ac:dyDescent="0.55000000000000004">
      <c r="A510" s="6">
        <v>4.5603436120477619E+18</v>
      </c>
      <c r="B510">
        <v>458</v>
      </c>
      <c r="C510">
        <v>1</v>
      </c>
      <c r="D510">
        <v>1288</v>
      </c>
    </row>
    <row r="511" spans="1:4" x14ac:dyDescent="0.55000000000000004">
      <c r="A511" s="6">
        <v>4.5624078666477901E+18</v>
      </c>
      <c r="B511">
        <v>324</v>
      </c>
      <c r="C511">
        <v>1</v>
      </c>
      <c r="D511">
        <v>1096</v>
      </c>
    </row>
    <row r="512" spans="1:4" x14ac:dyDescent="0.55000000000000004">
      <c r="A512" s="6">
        <v>4.574168725778793E+18</v>
      </c>
      <c r="B512">
        <v>898</v>
      </c>
      <c r="C512">
        <v>1</v>
      </c>
      <c r="D512">
        <v>1560</v>
      </c>
    </row>
    <row r="513" spans="1:4" x14ac:dyDescent="0.55000000000000004">
      <c r="A513" s="6">
        <v>4.5794481710770079E+18</v>
      </c>
      <c r="B513">
        <v>754</v>
      </c>
      <c r="C513">
        <v>1</v>
      </c>
      <c r="D513">
        <v>2440</v>
      </c>
    </row>
    <row r="514" spans="1:4" x14ac:dyDescent="0.55000000000000004">
      <c r="A514" s="6">
        <v>4.5868176532588631E+18</v>
      </c>
      <c r="B514">
        <v>1291</v>
      </c>
      <c r="C514">
        <v>1</v>
      </c>
      <c r="D514">
        <v>309</v>
      </c>
    </row>
    <row r="515" spans="1:4" x14ac:dyDescent="0.55000000000000004">
      <c r="A515" s="6">
        <v>4.59109007896557E+18</v>
      </c>
      <c r="B515">
        <v>781</v>
      </c>
      <c r="C515">
        <v>1</v>
      </c>
      <c r="D515">
        <v>356</v>
      </c>
    </row>
    <row r="516" spans="1:4" x14ac:dyDescent="0.55000000000000004">
      <c r="A516" s="6">
        <v>4.5930178229070321E+18</v>
      </c>
      <c r="B516">
        <v>260</v>
      </c>
      <c r="C516">
        <v>1</v>
      </c>
      <c r="D516">
        <v>338</v>
      </c>
    </row>
    <row r="517" spans="1:4" x14ac:dyDescent="0.55000000000000004">
      <c r="A517" s="6">
        <v>4.5992564956347039E+18</v>
      </c>
      <c r="B517">
        <v>819</v>
      </c>
      <c r="C517">
        <v>1</v>
      </c>
      <c r="D517">
        <v>691</v>
      </c>
    </row>
    <row r="518" spans="1:4" x14ac:dyDescent="0.55000000000000004">
      <c r="A518" s="6">
        <v>4.6112523702828739E+18</v>
      </c>
      <c r="B518">
        <v>154</v>
      </c>
      <c r="C518">
        <v>3</v>
      </c>
      <c r="D518">
        <v>4128</v>
      </c>
    </row>
    <row r="519" spans="1:4" x14ac:dyDescent="0.55000000000000004">
      <c r="A519" s="6">
        <v>4.6209190320835246E+18</v>
      </c>
      <c r="B519">
        <v>368</v>
      </c>
      <c r="C519">
        <v>1</v>
      </c>
      <c r="D519">
        <v>150</v>
      </c>
    </row>
    <row r="520" spans="1:4" x14ac:dyDescent="0.55000000000000004">
      <c r="A520" s="6">
        <v>4.6234128565641308E+18</v>
      </c>
      <c r="B520">
        <v>754</v>
      </c>
      <c r="C520">
        <v>1</v>
      </c>
      <c r="D520">
        <v>0</v>
      </c>
    </row>
    <row r="521" spans="1:4" x14ac:dyDescent="0.55000000000000004">
      <c r="A521" s="6">
        <v>4.6298459976987689E+18</v>
      </c>
      <c r="B521">
        <v>474</v>
      </c>
      <c r="C521">
        <v>2</v>
      </c>
      <c r="D521">
        <v>6921</v>
      </c>
    </row>
    <row r="522" spans="1:4" x14ac:dyDescent="0.55000000000000004">
      <c r="A522" s="6">
        <v>4.6557871521791642E+18</v>
      </c>
      <c r="B522">
        <v>714</v>
      </c>
      <c r="C522">
        <v>1</v>
      </c>
      <c r="D522">
        <v>351</v>
      </c>
    </row>
    <row r="523" spans="1:4" x14ac:dyDescent="0.55000000000000004">
      <c r="A523" s="6">
        <v>4.6570495975165635E+18</v>
      </c>
      <c r="B523">
        <v>114</v>
      </c>
      <c r="C523">
        <v>4</v>
      </c>
      <c r="D523">
        <v>2731</v>
      </c>
    </row>
    <row r="524" spans="1:4" x14ac:dyDescent="0.55000000000000004">
      <c r="A524" s="6">
        <v>4.6573412077654477E+18</v>
      </c>
      <c r="B524">
        <v>106</v>
      </c>
      <c r="C524">
        <v>2</v>
      </c>
      <c r="D524">
        <v>3555</v>
      </c>
    </row>
    <row r="525" spans="1:4" x14ac:dyDescent="0.55000000000000004">
      <c r="A525" s="6">
        <v>4.6670717563226644E+18</v>
      </c>
      <c r="B525">
        <v>232</v>
      </c>
      <c r="C525">
        <v>1</v>
      </c>
      <c r="D525">
        <v>190</v>
      </c>
    </row>
    <row r="526" spans="1:4" x14ac:dyDescent="0.55000000000000004">
      <c r="A526" s="6">
        <v>4.6672545530710835E+18</v>
      </c>
      <c r="B526">
        <v>405</v>
      </c>
      <c r="C526">
        <v>1</v>
      </c>
      <c r="D526">
        <v>18830</v>
      </c>
    </row>
    <row r="527" spans="1:4" x14ac:dyDescent="0.55000000000000004">
      <c r="A527" s="6">
        <v>4.6689134180160983E+18</v>
      </c>
      <c r="B527">
        <v>625</v>
      </c>
      <c r="C527">
        <v>1</v>
      </c>
      <c r="D527">
        <v>439</v>
      </c>
    </row>
    <row r="528" spans="1:4" x14ac:dyDescent="0.55000000000000004">
      <c r="A528" s="6">
        <v>4.6766047553752361E+18</v>
      </c>
      <c r="B528">
        <v>259</v>
      </c>
      <c r="C528">
        <v>1</v>
      </c>
      <c r="D528">
        <v>229</v>
      </c>
    </row>
    <row r="529" spans="1:4" x14ac:dyDescent="0.55000000000000004">
      <c r="A529" s="6">
        <v>4.697547200199851E+18</v>
      </c>
      <c r="B529">
        <v>1163</v>
      </c>
      <c r="C529">
        <v>1</v>
      </c>
      <c r="D529">
        <v>675</v>
      </c>
    </row>
    <row r="530" spans="1:4" x14ac:dyDescent="0.55000000000000004">
      <c r="A530" s="6">
        <v>4.6985115733452452E+18</v>
      </c>
      <c r="B530">
        <v>821</v>
      </c>
      <c r="C530">
        <v>1</v>
      </c>
      <c r="D530">
        <v>263</v>
      </c>
    </row>
    <row r="531" spans="1:4" x14ac:dyDescent="0.55000000000000004">
      <c r="A531" s="6">
        <v>4.7001543663819756E+18</v>
      </c>
      <c r="B531">
        <v>32</v>
      </c>
      <c r="C531">
        <v>2</v>
      </c>
      <c r="D531">
        <v>5700</v>
      </c>
    </row>
    <row r="532" spans="1:4" x14ac:dyDescent="0.55000000000000004">
      <c r="A532" s="6">
        <v>4.70051168024913E+18</v>
      </c>
      <c r="B532">
        <v>241</v>
      </c>
      <c r="C532">
        <v>1</v>
      </c>
      <c r="D532">
        <v>1107</v>
      </c>
    </row>
    <row r="533" spans="1:4" x14ac:dyDescent="0.55000000000000004">
      <c r="A533" s="6">
        <v>4.701188881007828E+18</v>
      </c>
      <c r="B533">
        <v>8</v>
      </c>
      <c r="C533">
        <v>2</v>
      </c>
      <c r="D533">
        <v>733</v>
      </c>
    </row>
    <row r="534" spans="1:4" x14ac:dyDescent="0.55000000000000004">
      <c r="A534" s="6">
        <v>4.7091732041371331E+18</v>
      </c>
      <c r="B534">
        <v>766</v>
      </c>
      <c r="C534">
        <v>1</v>
      </c>
      <c r="D534">
        <v>602</v>
      </c>
    </row>
    <row r="535" spans="1:4" x14ac:dyDescent="0.55000000000000004">
      <c r="A535" s="6">
        <v>4.7091871911527956E+18</v>
      </c>
      <c r="B535">
        <v>1371</v>
      </c>
      <c r="C535">
        <v>1</v>
      </c>
      <c r="D535">
        <v>618</v>
      </c>
    </row>
    <row r="536" spans="1:4" x14ac:dyDescent="0.55000000000000004">
      <c r="A536" s="6">
        <v>4.7105125673545073E+18</v>
      </c>
      <c r="B536">
        <v>580</v>
      </c>
      <c r="C536">
        <v>1</v>
      </c>
      <c r="D536">
        <v>12720</v>
      </c>
    </row>
    <row r="537" spans="1:4" x14ac:dyDescent="0.55000000000000004">
      <c r="A537" s="6">
        <v>4.7122757145817979E+18</v>
      </c>
      <c r="B537">
        <v>338</v>
      </c>
      <c r="C537">
        <v>1</v>
      </c>
      <c r="D537">
        <v>226</v>
      </c>
    </row>
    <row r="538" spans="1:4" x14ac:dyDescent="0.55000000000000004">
      <c r="A538" s="6">
        <v>4.7348287336815247E+18</v>
      </c>
      <c r="B538">
        <v>273</v>
      </c>
      <c r="C538">
        <v>1</v>
      </c>
      <c r="D538">
        <v>342</v>
      </c>
    </row>
    <row r="539" spans="1:4" x14ac:dyDescent="0.55000000000000004">
      <c r="A539" s="6">
        <v>4.7349804595272796E+18</v>
      </c>
      <c r="B539">
        <v>25</v>
      </c>
      <c r="C539">
        <v>1</v>
      </c>
      <c r="D539">
        <v>890</v>
      </c>
    </row>
    <row r="540" spans="1:4" x14ac:dyDescent="0.55000000000000004">
      <c r="A540" s="6">
        <v>4.7450770801101681E+18</v>
      </c>
      <c r="B540">
        <v>158</v>
      </c>
      <c r="C540">
        <v>1</v>
      </c>
      <c r="D540">
        <v>7137</v>
      </c>
    </row>
    <row r="541" spans="1:4" x14ac:dyDescent="0.55000000000000004">
      <c r="A541" s="6">
        <v>4.7497946326800097E+18</v>
      </c>
      <c r="B541">
        <v>28</v>
      </c>
      <c r="C541">
        <v>3</v>
      </c>
      <c r="D541">
        <v>3778</v>
      </c>
    </row>
    <row r="542" spans="1:4" x14ac:dyDescent="0.55000000000000004">
      <c r="A542" s="6">
        <v>4.7695004862084803E+18</v>
      </c>
      <c r="B542">
        <v>70</v>
      </c>
      <c r="C542">
        <v>2</v>
      </c>
      <c r="D542">
        <v>882</v>
      </c>
    </row>
    <row r="543" spans="1:4" x14ac:dyDescent="0.55000000000000004">
      <c r="A543" s="6">
        <v>4.7695134222513848E+18</v>
      </c>
      <c r="B543">
        <v>728</v>
      </c>
      <c r="C543">
        <v>1</v>
      </c>
      <c r="D543">
        <v>2766</v>
      </c>
    </row>
    <row r="544" spans="1:4" x14ac:dyDescent="0.55000000000000004">
      <c r="A544" s="6">
        <v>4.7892406125369027E+18</v>
      </c>
      <c r="B544">
        <v>880</v>
      </c>
      <c r="C544">
        <v>2</v>
      </c>
      <c r="D544">
        <v>8553</v>
      </c>
    </row>
    <row r="545" spans="1:4" x14ac:dyDescent="0.55000000000000004">
      <c r="A545" s="6">
        <v>4.7894399729084293E+18</v>
      </c>
      <c r="B545">
        <v>208</v>
      </c>
      <c r="C545">
        <v>2</v>
      </c>
      <c r="D545">
        <v>2253</v>
      </c>
    </row>
    <row r="546" spans="1:4" x14ac:dyDescent="0.55000000000000004">
      <c r="A546" s="6">
        <v>4.7908905203526687E+18</v>
      </c>
      <c r="B546">
        <v>915</v>
      </c>
      <c r="C546">
        <v>1</v>
      </c>
      <c r="D546">
        <v>3912</v>
      </c>
    </row>
    <row r="547" spans="1:4" x14ac:dyDescent="0.55000000000000004">
      <c r="A547" s="6">
        <v>4.7913437573787628E+18</v>
      </c>
      <c r="B547">
        <v>449</v>
      </c>
      <c r="C547">
        <v>3</v>
      </c>
      <c r="D547">
        <v>3101</v>
      </c>
    </row>
    <row r="548" spans="1:4" x14ac:dyDescent="0.55000000000000004">
      <c r="A548" s="6">
        <v>4.7931904598988749E+18</v>
      </c>
      <c r="B548">
        <v>393</v>
      </c>
      <c r="C548">
        <v>1</v>
      </c>
      <c r="D548">
        <v>390</v>
      </c>
    </row>
    <row r="549" spans="1:4" x14ac:dyDescent="0.55000000000000004">
      <c r="A549" s="6">
        <v>4.7992098544701256E+18</v>
      </c>
      <c r="B549">
        <v>459</v>
      </c>
      <c r="C549">
        <v>3</v>
      </c>
      <c r="D549">
        <v>744</v>
      </c>
    </row>
    <row r="550" spans="1:4" x14ac:dyDescent="0.55000000000000004">
      <c r="A550" s="6">
        <v>4.8196819098361508E+18</v>
      </c>
      <c r="B550">
        <v>283</v>
      </c>
      <c r="C550">
        <v>2</v>
      </c>
      <c r="D550">
        <v>557</v>
      </c>
    </row>
    <row r="551" spans="1:4" x14ac:dyDescent="0.55000000000000004">
      <c r="A551" s="6">
        <v>4.8202440816167782E+18</v>
      </c>
      <c r="B551">
        <v>74</v>
      </c>
      <c r="C551">
        <v>1</v>
      </c>
      <c r="D551">
        <v>1952</v>
      </c>
    </row>
    <row r="552" spans="1:4" x14ac:dyDescent="0.55000000000000004">
      <c r="A552" s="6">
        <v>4.8261840652299284E+18</v>
      </c>
      <c r="B552">
        <v>789</v>
      </c>
      <c r="C552">
        <v>1</v>
      </c>
      <c r="D552">
        <v>2905</v>
      </c>
    </row>
    <row r="553" spans="1:4" x14ac:dyDescent="0.55000000000000004">
      <c r="A553" s="6">
        <v>4.8261973668250235E+18</v>
      </c>
      <c r="B553">
        <v>615</v>
      </c>
      <c r="C553">
        <v>2</v>
      </c>
      <c r="D553">
        <v>186</v>
      </c>
    </row>
    <row r="554" spans="1:4" x14ac:dyDescent="0.55000000000000004">
      <c r="A554" s="6">
        <v>4.8279716963090606E+18</v>
      </c>
      <c r="B554">
        <v>137</v>
      </c>
      <c r="C554">
        <v>2</v>
      </c>
      <c r="D554">
        <v>1897</v>
      </c>
    </row>
    <row r="555" spans="1:4" x14ac:dyDescent="0.55000000000000004">
      <c r="A555" s="6">
        <v>4.8291584269761249E+18</v>
      </c>
      <c r="B555">
        <v>152</v>
      </c>
      <c r="C555">
        <v>2</v>
      </c>
      <c r="D555">
        <v>33245</v>
      </c>
    </row>
    <row r="556" spans="1:4" x14ac:dyDescent="0.55000000000000004">
      <c r="A556" s="6">
        <v>4.8303745034687304E+18</v>
      </c>
      <c r="B556">
        <v>435</v>
      </c>
      <c r="C556">
        <v>1</v>
      </c>
      <c r="D556">
        <v>299</v>
      </c>
    </row>
    <row r="557" spans="1:4" x14ac:dyDescent="0.55000000000000004">
      <c r="A557" s="6">
        <v>4.8320004813216389E+18</v>
      </c>
      <c r="B557">
        <v>98</v>
      </c>
      <c r="C557">
        <v>2</v>
      </c>
      <c r="D557">
        <v>2090</v>
      </c>
    </row>
    <row r="558" spans="1:4" x14ac:dyDescent="0.55000000000000004">
      <c r="A558" s="6">
        <v>4.8328095164550554E+18</v>
      </c>
      <c r="B558">
        <v>487</v>
      </c>
      <c r="C558">
        <v>2</v>
      </c>
      <c r="D558">
        <v>1227</v>
      </c>
    </row>
    <row r="559" spans="1:4" x14ac:dyDescent="0.55000000000000004">
      <c r="A559" s="6">
        <v>4.8366144911632036E+18</v>
      </c>
      <c r="B559">
        <v>140</v>
      </c>
      <c r="C559">
        <v>2</v>
      </c>
      <c r="D559">
        <v>3750</v>
      </c>
    </row>
    <row r="560" spans="1:4" x14ac:dyDescent="0.55000000000000004">
      <c r="A560" s="6">
        <v>4.8396436690101975E+18</v>
      </c>
      <c r="B560">
        <v>243</v>
      </c>
      <c r="C560">
        <v>3</v>
      </c>
      <c r="D560">
        <v>6164</v>
      </c>
    </row>
    <row r="561" spans="1:4" x14ac:dyDescent="0.55000000000000004">
      <c r="A561" s="6">
        <v>4.850517775836585E+18</v>
      </c>
      <c r="B561">
        <v>315</v>
      </c>
      <c r="C561">
        <v>2</v>
      </c>
      <c r="D561">
        <v>297</v>
      </c>
    </row>
    <row r="562" spans="1:4" x14ac:dyDescent="0.55000000000000004">
      <c r="A562" s="6">
        <v>4.8639728879807365E+18</v>
      </c>
      <c r="B562">
        <v>508</v>
      </c>
      <c r="C562">
        <v>1</v>
      </c>
      <c r="D562">
        <v>2640</v>
      </c>
    </row>
    <row r="563" spans="1:4" x14ac:dyDescent="0.55000000000000004">
      <c r="A563" s="6">
        <v>4.8678317292628603E+18</v>
      </c>
      <c r="B563">
        <v>553</v>
      </c>
      <c r="C563">
        <v>1</v>
      </c>
      <c r="D563">
        <v>1641</v>
      </c>
    </row>
    <row r="564" spans="1:4" x14ac:dyDescent="0.55000000000000004">
      <c r="A564" s="6">
        <v>4.8679583041495921E+18</v>
      </c>
      <c r="B564">
        <v>349</v>
      </c>
      <c r="C564">
        <v>1</v>
      </c>
      <c r="D564">
        <v>780</v>
      </c>
    </row>
    <row r="565" spans="1:4" x14ac:dyDescent="0.55000000000000004">
      <c r="A565" s="6">
        <v>4.8701968054532291E+18</v>
      </c>
      <c r="B565">
        <v>99</v>
      </c>
      <c r="C565">
        <v>2</v>
      </c>
      <c r="D565">
        <v>1517.33</v>
      </c>
    </row>
    <row r="566" spans="1:4" x14ac:dyDescent="0.55000000000000004">
      <c r="A566" s="6">
        <v>4.8769984664423875E+18</v>
      </c>
      <c r="B566">
        <v>98</v>
      </c>
      <c r="C566">
        <v>3</v>
      </c>
      <c r="D566">
        <v>14837</v>
      </c>
    </row>
    <row r="567" spans="1:4" x14ac:dyDescent="0.55000000000000004">
      <c r="A567" s="6">
        <v>4.87798441317184E+18</v>
      </c>
      <c r="B567">
        <v>100</v>
      </c>
      <c r="C567">
        <v>2</v>
      </c>
      <c r="D567">
        <v>2030</v>
      </c>
    </row>
    <row r="568" spans="1:4" x14ac:dyDescent="0.55000000000000004">
      <c r="A568" s="6">
        <v>4.8818776375257528E+18</v>
      </c>
      <c r="B568">
        <v>606</v>
      </c>
      <c r="C568">
        <v>1</v>
      </c>
      <c r="D568">
        <v>480</v>
      </c>
    </row>
    <row r="569" spans="1:4" x14ac:dyDescent="0.55000000000000004">
      <c r="A569" s="6">
        <v>4.9000438688418744E+18</v>
      </c>
      <c r="B569">
        <v>242</v>
      </c>
      <c r="C569">
        <v>3</v>
      </c>
      <c r="D569">
        <v>3194</v>
      </c>
    </row>
    <row r="570" spans="1:4" x14ac:dyDescent="0.55000000000000004">
      <c r="A570" s="6">
        <v>4.9010360200738509E+18</v>
      </c>
      <c r="B570">
        <v>145</v>
      </c>
      <c r="C570">
        <v>1</v>
      </c>
      <c r="D570">
        <v>2638</v>
      </c>
    </row>
    <row r="571" spans="1:4" x14ac:dyDescent="0.55000000000000004">
      <c r="A571" s="6">
        <v>4.9043793651502182E+18</v>
      </c>
      <c r="B571">
        <v>130</v>
      </c>
      <c r="C571">
        <v>1</v>
      </c>
      <c r="D571">
        <v>1430</v>
      </c>
    </row>
    <row r="572" spans="1:4" x14ac:dyDescent="0.55000000000000004">
      <c r="A572" s="6">
        <v>4.9074909914343188E+18</v>
      </c>
      <c r="B572">
        <v>307</v>
      </c>
      <c r="C572">
        <v>2</v>
      </c>
      <c r="D572">
        <v>3033</v>
      </c>
    </row>
    <row r="573" spans="1:4" x14ac:dyDescent="0.55000000000000004">
      <c r="A573" s="6">
        <v>4.9268211954818836E+18</v>
      </c>
      <c r="B573">
        <v>405</v>
      </c>
      <c r="C573">
        <v>1</v>
      </c>
      <c r="D573">
        <v>585</v>
      </c>
    </row>
    <row r="574" spans="1:4" x14ac:dyDescent="0.55000000000000004">
      <c r="A574" s="6">
        <v>4.9356075865298401E+18</v>
      </c>
      <c r="B574">
        <v>41</v>
      </c>
      <c r="C574">
        <v>2</v>
      </c>
      <c r="D574">
        <v>7269</v>
      </c>
    </row>
    <row r="575" spans="1:4" x14ac:dyDescent="0.55000000000000004">
      <c r="A575" s="6">
        <v>4.936094153990783E+18</v>
      </c>
      <c r="B575">
        <v>25</v>
      </c>
      <c r="C575">
        <v>1</v>
      </c>
      <c r="D575">
        <v>687</v>
      </c>
    </row>
    <row r="576" spans="1:4" x14ac:dyDescent="0.55000000000000004">
      <c r="A576" s="6">
        <v>4.9450563649617633E+18</v>
      </c>
      <c r="B576">
        <v>237</v>
      </c>
      <c r="C576">
        <v>2</v>
      </c>
      <c r="D576">
        <v>1015</v>
      </c>
    </row>
    <row r="577" spans="1:4" x14ac:dyDescent="0.55000000000000004">
      <c r="A577" s="6">
        <v>4.9500099252429445E+18</v>
      </c>
      <c r="B577">
        <v>135</v>
      </c>
      <c r="C577">
        <v>2</v>
      </c>
      <c r="D577">
        <v>2321</v>
      </c>
    </row>
    <row r="578" spans="1:4" x14ac:dyDescent="0.55000000000000004">
      <c r="A578" s="6">
        <v>4.9635871697967299E+18</v>
      </c>
      <c r="B578">
        <v>710</v>
      </c>
      <c r="C578">
        <v>1</v>
      </c>
      <c r="D578">
        <v>1900</v>
      </c>
    </row>
    <row r="579" spans="1:4" x14ac:dyDescent="0.55000000000000004">
      <c r="A579" s="6">
        <v>4.9669611351398246E+18</v>
      </c>
      <c r="B579">
        <v>488</v>
      </c>
      <c r="C579">
        <v>1</v>
      </c>
      <c r="D579">
        <v>22.24</v>
      </c>
    </row>
    <row r="580" spans="1:4" x14ac:dyDescent="0.55000000000000004">
      <c r="A580" s="6">
        <v>4.9679677734774938E+18</v>
      </c>
      <c r="B580">
        <v>551</v>
      </c>
      <c r="C580">
        <v>3</v>
      </c>
      <c r="D580">
        <v>4184</v>
      </c>
    </row>
    <row r="581" spans="1:4" x14ac:dyDescent="0.55000000000000004">
      <c r="A581" s="6">
        <v>4.971188874099796E+18</v>
      </c>
      <c r="B581">
        <v>528</v>
      </c>
      <c r="C581">
        <v>1</v>
      </c>
      <c r="D581">
        <v>1833</v>
      </c>
    </row>
    <row r="582" spans="1:4" x14ac:dyDescent="0.55000000000000004">
      <c r="A582" s="6">
        <v>4.9767555645308058E+18</v>
      </c>
      <c r="B582">
        <v>50</v>
      </c>
      <c r="C582">
        <v>2</v>
      </c>
      <c r="D582">
        <v>2445</v>
      </c>
    </row>
    <row r="583" spans="1:4" x14ac:dyDescent="0.55000000000000004">
      <c r="A583" s="6">
        <v>5.0025370734544476E+18</v>
      </c>
      <c r="B583">
        <v>485</v>
      </c>
      <c r="C583">
        <v>1</v>
      </c>
      <c r="D583">
        <v>4390</v>
      </c>
    </row>
    <row r="584" spans="1:4" x14ac:dyDescent="0.55000000000000004">
      <c r="A584" s="6">
        <v>5.0200884906810337E+18</v>
      </c>
      <c r="B584">
        <v>725</v>
      </c>
      <c r="C584">
        <v>2</v>
      </c>
      <c r="D584">
        <v>1737</v>
      </c>
    </row>
    <row r="585" spans="1:4" x14ac:dyDescent="0.55000000000000004">
      <c r="A585" s="6">
        <v>5.0270598344531937E+18</v>
      </c>
      <c r="B585">
        <v>1013</v>
      </c>
      <c r="C585">
        <v>1</v>
      </c>
      <c r="D585">
        <v>365</v>
      </c>
    </row>
    <row r="586" spans="1:4" x14ac:dyDescent="0.55000000000000004">
      <c r="A586" s="6">
        <v>5.0326461427474545E+18</v>
      </c>
      <c r="B586">
        <v>826</v>
      </c>
      <c r="C586">
        <v>1</v>
      </c>
      <c r="D586">
        <v>1309</v>
      </c>
    </row>
    <row r="587" spans="1:4" x14ac:dyDescent="0.55000000000000004">
      <c r="A587" s="6">
        <v>5.0342814580087347E+18</v>
      </c>
      <c r="B587">
        <v>519</v>
      </c>
      <c r="C587">
        <v>2</v>
      </c>
      <c r="D587">
        <v>408</v>
      </c>
    </row>
    <row r="588" spans="1:4" x14ac:dyDescent="0.55000000000000004">
      <c r="A588" s="6">
        <v>5.048051833006036E+18</v>
      </c>
      <c r="B588">
        <v>1169</v>
      </c>
      <c r="C588">
        <v>1</v>
      </c>
      <c r="D588">
        <v>651</v>
      </c>
    </row>
    <row r="589" spans="1:4" x14ac:dyDescent="0.55000000000000004">
      <c r="A589" s="6">
        <v>5.0481806929191342E+18</v>
      </c>
      <c r="B589">
        <v>727</v>
      </c>
      <c r="C589">
        <v>2</v>
      </c>
      <c r="D589">
        <v>388</v>
      </c>
    </row>
    <row r="590" spans="1:4" x14ac:dyDescent="0.55000000000000004">
      <c r="A590" s="6">
        <v>5.062924551433218E+18</v>
      </c>
      <c r="B590">
        <v>414</v>
      </c>
      <c r="C590">
        <v>1</v>
      </c>
      <c r="D590">
        <v>147</v>
      </c>
    </row>
    <row r="591" spans="1:4" x14ac:dyDescent="0.55000000000000004">
      <c r="A591" s="6">
        <v>5.0702927783924183E+18</v>
      </c>
      <c r="B591">
        <v>836</v>
      </c>
      <c r="C591">
        <v>1</v>
      </c>
      <c r="D591">
        <v>1419</v>
      </c>
    </row>
    <row r="592" spans="1:4" x14ac:dyDescent="0.55000000000000004">
      <c r="A592" s="6">
        <v>5.0802846933944412E+18</v>
      </c>
      <c r="B592">
        <v>157</v>
      </c>
      <c r="C592">
        <v>1</v>
      </c>
      <c r="D592">
        <v>741</v>
      </c>
    </row>
    <row r="593" spans="1:4" x14ac:dyDescent="0.55000000000000004">
      <c r="A593" s="6">
        <v>5.089514647593942E+18</v>
      </c>
      <c r="B593">
        <v>138</v>
      </c>
      <c r="C593">
        <v>1</v>
      </c>
      <c r="D593">
        <v>1077</v>
      </c>
    </row>
    <row r="594" spans="1:4" x14ac:dyDescent="0.55000000000000004">
      <c r="A594" s="6">
        <v>5.0919192247528796E+18</v>
      </c>
      <c r="B594">
        <v>1279</v>
      </c>
      <c r="C594">
        <v>1</v>
      </c>
      <c r="D594">
        <v>45</v>
      </c>
    </row>
    <row r="595" spans="1:4" x14ac:dyDescent="0.55000000000000004">
      <c r="A595" s="6">
        <v>5.1034642093638625E+18</v>
      </c>
      <c r="B595">
        <v>1024</v>
      </c>
      <c r="C595">
        <v>1</v>
      </c>
      <c r="D595">
        <v>6300</v>
      </c>
    </row>
    <row r="596" spans="1:4" x14ac:dyDescent="0.55000000000000004">
      <c r="A596" s="6">
        <v>5.1068414271306322E+18</v>
      </c>
      <c r="B596">
        <v>743</v>
      </c>
      <c r="C596">
        <v>1</v>
      </c>
      <c r="D596">
        <v>519</v>
      </c>
    </row>
    <row r="597" spans="1:4" x14ac:dyDescent="0.55000000000000004">
      <c r="A597" s="6">
        <v>5.1151533040191508E+18</v>
      </c>
      <c r="B597">
        <v>841</v>
      </c>
      <c r="C597">
        <v>1</v>
      </c>
      <c r="D597">
        <v>1042</v>
      </c>
    </row>
    <row r="598" spans="1:4" x14ac:dyDescent="0.55000000000000004">
      <c r="A598" s="6">
        <v>5.1195927289748562E+18</v>
      </c>
      <c r="B598">
        <v>539</v>
      </c>
      <c r="C598">
        <v>2</v>
      </c>
      <c r="D598">
        <v>435</v>
      </c>
    </row>
    <row r="599" spans="1:4" x14ac:dyDescent="0.55000000000000004">
      <c r="A599" s="6">
        <v>5.1197851135200154E+18</v>
      </c>
      <c r="B599">
        <v>1023</v>
      </c>
      <c r="C599">
        <v>1</v>
      </c>
      <c r="D599">
        <v>9042</v>
      </c>
    </row>
    <row r="600" spans="1:4" x14ac:dyDescent="0.55000000000000004">
      <c r="A600" s="6">
        <v>5.1250685605554504E+18</v>
      </c>
      <c r="B600">
        <v>260</v>
      </c>
      <c r="C600">
        <v>2</v>
      </c>
      <c r="D600">
        <v>319</v>
      </c>
    </row>
    <row r="601" spans="1:4" x14ac:dyDescent="0.55000000000000004">
      <c r="A601" s="6">
        <v>5.1344811324232817E+18</v>
      </c>
      <c r="B601">
        <v>390</v>
      </c>
      <c r="C601">
        <v>1</v>
      </c>
      <c r="D601">
        <v>5860</v>
      </c>
    </row>
    <row r="602" spans="1:4" x14ac:dyDescent="0.55000000000000004">
      <c r="A602" s="6">
        <v>5.1460942534911273E+18</v>
      </c>
      <c r="B602">
        <v>42</v>
      </c>
      <c r="C602">
        <v>2</v>
      </c>
      <c r="D602">
        <v>13582</v>
      </c>
    </row>
    <row r="603" spans="1:4" x14ac:dyDescent="0.55000000000000004">
      <c r="A603" s="6">
        <v>5.1485119209302528E+18</v>
      </c>
      <c r="B603">
        <v>1202</v>
      </c>
      <c r="C603">
        <v>1</v>
      </c>
      <c r="D603">
        <v>126</v>
      </c>
    </row>
    <row r="604" spans="1:4" x14ac:dyDescent="0.55000000000000004">
      <c r="A604" s="6">
        <v>5.160656493172777E+18</v>
      </c>
      <c r="B604">
        <v>908</v>
      </c>
      <c r="C604">
        <v>1</v>
      </c>
      <c r="D604">
        <v>255</v>
      </c>
    </row>
    <row r="605" spans="1:4" x14ac:dyDescent="0.55000000000000004">
      <c r="A605" s="6">
        <v>5.1745483234186783E+18</v>
      </c>
      <c r="B605">
        <v>43</v>
      </c>
      <c r="C605">
        <v>1</v>
      </c>
      <c r="D605">
        <v>2970</v>
      </c>
    </row>
    <row r="606" spans="1:4" x14ac:dyDescent="0.55000000000000004">
      <c r="A606" s="6">
        <v>5.1767562768368189E+18</v>
      </c>
      <c r="B606">
        <v>354</v>
      </c>
      <c r="C606">
        <v>1</v>
      </c>
      <c r="D606">
        <v>119</v>
      </c>
    </row>
    <row r="607" spans="1:4" x14ac:dyDescent="0.55000000000000004">
      <c r="A607" s="6">
        <v>5.1788856754276485E+18</v>
      </c>
      <c r="B607">
        <v>818</v>
      </c>
      <c r="C607">
        <v>2</v>
      </c>
      <c r="D607">
        <v>1260</v>
      </c>
    </row>
    <row r="608" spans="1:4" x14ac:dyDescent="0.55000000000000004">
      <c r="A608" s="6">
        <v>5.1902422601240381E+18</v>
      </c>
      <c r="B608">
        <v>51</v>
      </c>
      <c r="C608">
        <v>2</v>
      </c>
      <c r="D608">
        <v>5153</v>
      </c>
    </row>
    <row r="609" spans="1:4" x14ac:dyDescent="0.55000000000000004">
      <c r="A609" s="6">
        <v>5.1961716275844608E+18</v>
      </c>
      <c r="B609">
        <v>1002</v>
      </c>
      <c r="C609">
        <v>1</v>
      </c>
      <c r="D609">
        <v>1118</v>
      </c>
    </row>
    <row r="610" spans="1:4" x14ac:dyDescent="0.55000000000000004">
      <c r="A610" s="6">
        <v>5.210992950617346E+18</v>
      </c>
      <c r="B610">
        <v>480</v>
      </c>
      <c r="C610">
        <v>1</v>
      </c>
      <c r="D610">
        <v>1170</v>
      </c>
    </row>
    <row r="611" spans="1:4" x14ac:dyDescent="0.55000000000000004">
      <c r="A611" s="6">
        <v>5.2246598796763812E+18</v>
      </c>
      <c r="B611">
        <v>790</v>
      </c>
      <c r="C611">
        <v>1</v>
      </c>
      <c r="D611">
        <v>2070</v>
      </c>
    </row>
    <row r="612" spans="1:4" x14ac:dyDescent="0.55000000000000004">
      <c r="A612" s="6">
        <v>5.2340527379084902E+18</v>
      </c>
      <c r="B612">
        <v>481</v>
      </c>
      <c r="C612">
        <v>1</v>
      </c>
      <c r="D612">
        <v>558</v>
      </c>
    </row>
    <row r="613" spans="1:4" x14ac:dyDescent="0.55000000000000004">
      <c r="A613" s="6">
        <v>5.239570284531626E+18</v>
      </c>
      <c r="B613">
        <v>531</v>
      </c>
      <c r="C613">
        <v>1</v>
      </c>
      <c r="D613">
        <v>930</v>
      </c>
    </row>
    <row r="614" spans="1:4" x14ac:dyDescent="0.55000000000000004">
      <c r="A614" s="6">
        <v>5.2428657608355123E+18</v>
      </c>
      <c r="B614">
        <v>157</v>
      </c>
      <c r="C614">
        <v>1</v>
      </c>
      <c r="D614">
        <v>13526</v>
      </c>
    </row>
    <row r="615" spans="1:4" x14ac:dyDescent="0.55000000000000004">
      <c r="A615" s="6">
        <v>5.2552553803214479E+18</v>
      </c>
      <c r="B615">
        <v>270</v>
      </c>
      <c r="C615">
        <v>1</v>
      </c>
      <c r="D615">
        <v>2555</v>
      </c>
    </row>
    <row r="616" spans="1:4" x14ac:dyDescent="0.55000000000000004">
      <c r="A616" s="6">
        <v>5.2579795737863025E+18</v>
      </c>
      <c r="B616">
        <v>925</v>
      </c>
      <c r="C616">
        <v>1</v>
      </c>
      <c r="D616">
        <v>156</v>
      </c>
    </row>
    <row r="617" spans="1:4" x14ac:dyDescent="0.55000000000000004">
      <c r="A617" s="6">
        <v>5.2725860293849027E+18</v>
      </c>
      <c r="B617">
        <v>283</v>
      </c>
      <c r="C617">
        <v>1</v>
      </c>
      <c r="D617">
        <v>607</v>
      </c>
    </row>
    <row r="618" spans="1:4" x14ac:dyDescent="0.55000000000000004">
      <c r="A618" s="6">
        <v>5.2922210755784581E+18</v>
      </c>
      <c r="B618">
        <v>361</v>
      </c>
      <c r="C618">
        <v>2</v>
      </c>
      <c r="D618">
        <v>1318</v>
      </c>
    </row>
    <row r="619" spans="1:4" x14ac:dyDescent="0.55000000000000004">
      <c r="A619" s="6">
        <v>5.2949354389902428E+18</v>
      </c>
      <c r="B619">
        <v>124</v>
      </c>
      <c r="C619">
        <v>1</v>
      </c>
      <c r="D619">
        <v>99</v>
      </c>
    </row>
    <row r="620" spans="1:4" x14ac:dyDescent="0.55000000000000004">
      <c r="A620" s="6">
        <v>5.306007669942868E+18</v>
      </c>
      <c r="B620">
        <v>47</v>
      </c>
      <c r="C620">
        <v>2</v>
      </c>
      <c r="D620">
        <v>2239</v>
      </c>
    </row>
    <row r="621" spans="1:4" x14ac:dyDescent="0.55000000000000004">
      <c r="A621" s="6">
        <v>5.3060560523915049E+18</v>
      </c>
      <c r="B621">
        <v>811</v>
      </c>
      <c r="C621">
        <v>1</v>
      </c>
      <c r="D621">
        <v>1990</v>
      </c>
    </row>
    <row r="622" spans="1:4" x14ac:dyDescent="0.55000000000000004">
      <c r="A622" s="6">
        <v>5.3237933045177467E+18</v>
      </c>
      <c r="B622">
        <v>40</v>
      </c>
      <c r="C622">
        <v>1</v>
      </c>
      <c r="D622">
        <v>15811</v>
      </c>
    </row>
    <row r="623" spans="1:4" x14ac:dyDescent="0.55000000000000004">
      <c r="A623" s="6">
        <v>5.3366388308756603E+18</v>
      </c>
      <c r="B623">
        <v>466</v>
      </c>
      <c r="C623">
        <v>1</v>
      </c>
      <c r="D623">
        <v>3080</v>
      </c>
    </row>
    <row r="624" spans="1:4" x14ac:dyDescent="0.55000000000000004">
      <c r="A624" s="6">
        <v>5.3367691214396877E+18</v>
      </c>
      <c r="B624">
        <v>259</v>
      </c>
      <c r="C624">
        <v>1</v>
      </c>
      <c r="D624">
        <v>186</v>
      </c>
    </row>
    <row r="625" spans="1:4" x14ac:dyDescent="0.55000000000000004">
      <c r="A625" s="6">
        <v>5.3370243637905869E+18</v>
      </c>
      <c r="B625">
        <v>766</v>
      </c>
      <c r="C625">
        <v>1</v>
      </c>
      <c r="D625">
        <v>565</v>
      </c>
    </row>
    <row r="626" spans="1:4" x14ac:dyDescent="0.55000000000000004">
      <c r="A626" s="6">
        <v>5.3561866016784497E+18</v>
      </c>
      <c r="B626">
        <v>427</v>
      </c>
      <c r="C626">
        <v>1</v>
      </c>
      <c r="D626">
        <v>2030</v>
      </c>
    </row>
    <row r="627" spans="1:4" x14ac:dyDescent="0.55000000000000004">
      <c r="A627" s="6">
        <v>5.3620778757135073E+18</v>
      </c>
      <c r="B627">
        <v>78</v>
      </c>
      <c r="C627">
        <v>1</v>
      </c>
      <c r="D627">
        <v>8927</v>
      </c>
    </row>
    <row r="628" spans="1:4" x14ac:dyDescent="0.55000000000000004">
      <c r="A628" s="6">
        <v>5.364618019062016E+18</v>
      </c>
      <c r="B628">
        <v>171</v>
      </c>
      <c r="C628">
        <v>2</v>
      </c>
      <c r="D628">
        <v>3197</v>
      </c>
    </row>
    <row r="629" spans="1:4" x14ac:dyDescent="0.55000000000000004">
      <c r="A629" s="6">
        <v>5.3702924294165412E+18</v>
      </c>
      <c r="B629">
        <v>1035</v>
      </c>
      <c r="C629">
        <v>1</v>
      </c>
      <c r="D629">
        <v>597</v>
      </c>
    </row>
    <row r="630" spans="1:4" x14ac:dyDescent="0.55000000000000004">
      <c r="A630" s="6">
        <v>5.3711356378921155E+18</v>
      </c>
      <c r="B630">
        <v>240</v>
      </c>
      <c r="C630">
        <v>1</v>
      </c>
      <c r="D630">
        <v>7799</v>
      </c>
    </row>
    <row r="631" spans="1:4" x14ac:dyDescent="0.55000000000000004">
      <c r="A631" s="6">
        <v>5.3732341107030211E+18</v>
      </c>
      <c r="B631">
        <v>441</v>
      </c>
      <c r="C631">
        <v>1</v>
      </c>
      <c r="D631">
        <v>209</v>
      </c>
    </row>
    <row r="632" spans="1:4" x14ac:dyDescent="0.55000000000000004">
      <c r="A632" s="6">
        <v>5.3744616220022743E+18</v>
      </c>
      <c r="B632">
        <v>848</v>
      </c>
      <c r="C632">
        <v>2</v>
      </c>
      <c r="D632">
        <v>5763</v>
      </c>
    </row>
    <row r="633" spans="1:4" x14ac:dyDescent="0.55000000000000004">
      <c r="A633" s="6">
        <v>5.3784676578982953E+18</v>
      </c>
      <c r="B633">
        <v>89</v>
      </c>
      <c r="C633">
        <v>1</v>
      </c>
      <c r="D633">
        <v>1291</v>
      </c>
    </row>
    <row r="634" spans="1:4" x14ac:dyDescent="0.55000000000000004">
      <c r="A634" s="6">
        <v>5.3910319597590886E+18</v>
      </c>
      <c r="B634">
        <v>184</v>
      </c>
      <c r="C634">
        <v>1</v>
      </c>
      <c r="D634">
        <v>1262</v>
      </c>
    </row>
    <row r="635" spans="1:4" x14ac:dyDescent="0.55000000000000004">
      <c r="A635" s="6">
        <v>5.3920489679229184E+18</v>
      </c>
      <c r="B635">
        <v>276</v>
      </c>
      <c r="C635">
        <v>2</v>
      </c>
      <c r="D635">
        <v>1798</v>
      </c>
    </row>
    <row r="636" spans="1:4" x14ac:dyDescent="0.55000000000000004">
      <c r="A636" s="6">
        <v>5.3973038049061745E+18</v>
      </c>
      <c r="B636">
        <v>29</v>
      </c>
      <c r="C636">
        <v>81</v>
      </c>
      <c r="D636">
        <v>38689102.890000001</v>
      </c>
    </row>
    <row r="637" spans="1:4" x14ac:dyDescent="0.55000000000000004">
      <c r="A637" s="6">
        <v>5.4003993865011261E+18</v>
      </c>
      <c r="B637">
        <v>111</v>
      </c>
      <c r="C637">
        <v>1</v>
      </c>
      <c r="D637">
        <v>614</v>
      </c>
    </row>
    <row r="638" spans="1:4" x14ac:dyDescent="0.55000000000000004">
      <c r="A638" s="6">
        <v>5.4059398132815749E+18</v>
      </c>
      <c r="B638">
        <v>221</v>
      </c>
      <c r="C638">
        <v>1</v>
      </c>
      <c r="D638">
        <v>313</v>
      </c>
    </row>
    <row r="639" spans="1:4" x14ac:dyDescent="0.55000000000000004">
      <c r="A639" s="6">
        <v>5.4108562764381123E+18</v>
      </c>
      <c r="B639">
        <v>880</v>
      </c>
      <c r="C639">
        <v>1</v>
      </c>
      <c r="D639">
        <v>568</v>
      </c>
    </row>
    <row r="640" spans="1:4" x14ac:dyDescent="0.55000000000000004">
      <c r="A640" s="6">
        <v>5.4120567348960328E+18</v>
      </c>
      <c r="B640">
        <v>286</v>
      </c>
      <c r="C640">
        <v>1</v>
      </c>
      <c r="D640">
        <v>301</v>
      </c>
    </row>
    <row r="641" spans="1:4" x14ac:dyDescent="0.55000000000000004">
      <c r="A641" s="6">
        <v>5.4207611659423212E+18</v>
      </c>
      <c r="B641">
        <v>865</v>
      </c>
      <c r="C641">
        <v>1</v>
      </c>
      <c r="D641">
        <v>249</v>
      </c>
    </row>
    <row r="642" spans="1:4" x14ac:dyDescent="0.55000000000000004">
      <c r="A642" s="6">
        <v>5.4221416760493773E+18</v>
      </c>
      <c r="B642">
        <v>574</v>
      </c>
      <c r="C642">
        <v>1</v>
      </c>
      <c r="D642">
        <v>2038</v>
      </c>
    </row>
    <row r="643" spans="1:4" x14ac:dyDescent="0.55000000000000004">
      <c r="A643" s="6">
        <v>5.4238305817622938E+18</v>
      </c>
      <c r="B643">
        <v>406</v>
      </c>
      <c r="C643">
        <v>1</v>
      </c>
      <c r="D643">
        <v>598</v>
      </c>
    </row>
    <row r="644" spans="1:4" x14ac:dyDescent="0.55000000000000004">
      <c r="A644" s="6">
        <v>5.4249199035225917E+18</v>
      </c>
      <c r="B644">
        <v>557</v>
      </c>
      <c r="C644">
        <v>3</v>
      </c>
      <c r="D644">
        <v>10443</v>
      </c>
    </row>
    <row r="645" spans="1:4" x14ac:dyDescent="0.55000000000000004">
      <c r="A645" s="6">
        <v>5.4480656603369421E+18</v>
      </c>
      <c r="B645">
        <v>78</v>
      </c>
      <c r="C645">
        <v>2</v>
      </c>
      <c r="D645">
        <v>353</v>
      </c>
    </row>
    <row r="646" spans="1:4" x14ac:dyDescent="0.55000000000000004">
      <c r="A646" s="6">
        <v>5.4525141882851154E+18</v>
      </c>
      <c r="B646">
        <v>1132</v>
      </c>
      <c r="C646">
        <v>1</v>
      </c>
      <c r="D646">
        <v>900</v>
      </c>
    </row>
    <row r="647" spans="1:4" x14ac:dyDescent="0.55000000000000004">
      <c r="A647" s="6">
        <v>5.4624663585149143E+18</v>
      </c>
      <c r="B647">
        <v>552</v>
      </c>
      <c r="C647">
        <v>1</v>
      </c>
      <c r="D647">
        <v>318</v>
      </c>
    </row>
    <row r="648" spans="1:4" x14ac:dyDescent="0.55000000000000004">
      <c r="A648" s="6">
        <v>5.4651937541551749E+18</v>
      </c>
      <c r="B648">
        <v>269</v>
      </c>
      <c r="C648">
        <v>2</v>
      </c>
      <c r="D648">
        <v>279</v>
      </c>
    </row>
    <row r="649" spans="1:4" x14ac:dyDescent="0.55000000000000004">
      <c r="A649" s="6">
        <v>5.4967923404373617E+18</v>
      </c>
      <c r="B649">
        <v>200</v>
      </c>
      <c r="C649">
        <v>2</v>
      </c>
      <c r="D649">
        <v>3422</v>
      </c>
    </row>
    <row r="650" spans="1:4" x14ac:dyDescent="0.55000000000000004">
      <c r="A650" s="6">
        <v>5.497031036325631E+18</v>
      </c>
      <c r="B650">
        <v>14</v>
      </c>
      <c r="C650">
        <v>2</v>
      </c>
      <c r="D650">
        <v>2734</v>
      </c>
    </row>
    <row r="651" spans="1:4" x14ac:dyDescent="0.55000000000000004">
      <c r="A651" s="6">
        <v>5.5103799152353352E+18</v>
      </c>
      <c r="B651">
        <v>208</v>
      </c>
      <c r="C651">
        <v>2</v>
      </c>
      <c r="D651">
        <v>9693</v>
      </c>
    </row>
    <row r="652" spans="1:4" x14ac:dyDescent="0.55000000000000004">
      <c r="A652" s="6">
        <v>5.5255863221200271E+18</v>
      </c>
      <c r="B652">
        <v>63</v>
      </c>
      <c r="C652">
        <v>2</v>
      </c>
      <c r="D652">
        <v>483</v>
      </c>
    </row>
    <row r="653" spans="1:4" x14ac:dyDescent="0.55000000000000004">
      <c r="A653" s="6">
        <v>5.5398942607699497E+18</v>
      </c>
      <c r="B653">
        <v>674</v>
      </c>
      <c r="C653">
        <v>1</v>
      </c>
      <c r="D653">
        <v>98</v>
      </c>
    </row>
    <row r="654" spans="1:4" x14ac:dyDescent="0.55000000000000004">
      <c r="A654" s="6">
        <v>5.5407192610282045E+18</v>
      </c>
      <c r="B654">
        <v>23</v>
      </c>
      <c r="C654">
        <v>1</v>
      </c>
      <c r="D654">
        <v>335</v>
      </c>
    </row>
    <row r="655" spans="1:4" x14ac:dyDescent="0.55000000000000004">
      <c r="A655" s="6">
        <v>5.5419601185334149E+18</v>
      </c>
      <c r="B655">
        <v>177</v>
      </c>
      <c r="C655">
        <v>1</v>
      </c>
      <c r="D655">
        <v>607</v>
      </c>
    </row>
    <row r="656" spans="1:4" x14ac:dyDescent="0.55000000000000004">
      <c r="A656" s="6">
        <v>5.5473400348587612E+18</v>
      </c>
      <c r="B656">
        <v>10</v>
      </c>
      <c r="C656">
        <v>1</v>
      </c>
      <c r="D656">
        <v>1578</v>
      </c>
    </row>
    <row r="657" spans="1:4" x14ac:dyDescent="0.55000000000000004">
      <c r="A657" s="6">
        <v>5.5710040725666847E+18</v>
      </c>
      <c r="B657">
        <v>309</v>
      </c>
      <c r="C657">
        <v>2</v>
      </c>
      <c r="D657">
        <v>3203</v>
      </c>
    </row>
    <row r="658" spans="1:4" x14ac:dyDescent="0.55000000000000004">
      <c r="A658" s="6">
        <v>5.5746640187933563E+18</v>
      </c>
      <c r="B658">
        <v>605</v>
      </c>
      <c r="C658">
        <v>1</v>
      </c>
      <c r="D658">
        <v>549</v>
      </c>
    </row>
    <row r="659" spans="1:4" x14ac:dyDescent="0.55000000000000004">
      <c r="A659" s="6">
        <v>5.5847640147339397E+18</v>
      </c>
      <c r="B659">
        <v>812</v>
      </c>
      <c r="C659">
        <v>1</v>
      </c>
      <c r="D659">
        <v>630</v>
      </c>
    </row>
    <row r="660" spans="1:4" x14ac:dyDescent="0.55000000000000004">
      <c r="A660" s="6">
        <v>5.5869190576617318E+18</v>
      </c>
      <c r="B660">
        <v>653</v>
      </c>
      <c r="C660">
        <v>1</v>
      </c>
      <c r="D660">
        <v>3631</v>
      </c>
    </row>
    <row r="661" spans="1:4" x14ac:dyDescent="0.55000000000000004">
      <c r="A661" s="6">
        <v>5.5885706773209549E+18</v>
      </c>
      <c r="B661">
        <v>31</v>
      </c>
      <c r="C661">
        <v>2</v>
      </c>
      <c r="D661">
        <v>19568</v>
      </c>
    </row>
    <row r="662" spans="1:4" x14ac:dyDescent="0.55000000000000004">
      <c r="A662" s="6">
        <v>5.5996363281860024E+18</v>
      </c>
      <c r="B662">
        <v>83</v>
      </c>
      <c r="C662">
        <v>1</v>
      </c>
      <c r="D662">
        <v>1580</v>
      </c>
    </row>
    <row r="663" spans="1:4" x14ac:dyDescent="0.55000000000000004">
      <c r="A663" s="6">
        <v>5.6031507266232842E+18</v>
      </c>
      <c r="B663">
        <v>712</v>
      </c>
      <c r="C663">
        <v>1</v>
      </c>
      <c r="D663">
        <v>405</v>
      </c>
    </row>
    <row r="664" spans="1:4" x14ac:dyDescent="0.55000000000000004">
      <c r="A664" s="6">
        <v>5.6058152256816343E+18</v>
      </c>
      <c r="B664">
        <v>135</v>
      </c>
      <c r="C664">
        <v>1</v>
      </c>
      <c r="D664">
        <v>147</v>
      </c>
    </row>
    <row r="665" spans="1:4" x14ac:dyDescent="0.55000000000000004">
      <c r="A665" s="6">
        <v>5.6099104682635295E+18</v>
      </c>
      <c r="B665">
        <v>431</v>
      </c>
      <c r="C665">
        <v>2</v>
      </c>
      <c r="D665">
        <v>2434</v>
      </c>
    </row>
    <row r="666" spans="1:4" x14ac:dyDescent="0.55000000000000004">
      <c r="A666" s="6">
        <v>5.6186651322132787E+18</v>
      </c>
      <c r="B666">
        <v>672</v>
      </c>
      <c r="C666">
        <v>1</v>
      </c>
      <c r="D666">
        <v>15415</v>
      </c>
    </row>
    <row r="667" spans="1:4" x14ac:dyDescent="0.55000000000000004">
      <c r="A667" s="6">
        <v>5.6382876841213542E+18</v>
      </c>
      <c r="B667">
        <v>176</v>
      </c>
      <c r="C667">
        <v>2</v>
      </c>
      <c r="D667">
        <v>1482</v>
      </c>
    </row>
    <row r="668" spans="1:4" x14ac:dyDescent="0.55000000000000004">
      <c r="A668" s="6">
        <v>5.6384367051789804E+18</v>
      </c>
      <c r="B668">
        <v>16</v>
      </c>
      <c r="C668">
        <v>2</v>
      </c>
      <c r="D668">
        <v>4247</v>
      </c>
    </row>
    <row r="669" spans="1:4" x14ac:dyDescent="0.55000000000000004">
      <c r="A669" s="6">
        <v>5.6423374827702804E+18</v>
      </c>
      <c r="B669">
        <v>869</v>
      </c>
      <c r="C669">
        <v>2</v>
      </c>
      <c r="D669">
        <v>2384</v>
      </c>
    </row>
    <row r="670" spans="1:4" x14ac:dyDescent="0.55000000000000004">
      <c r="A670" s="6">
        <v>5.6429876351709235E+18</v>
      </c>
      <c r="B670">
        <v>34</v>
      </c>
      <c r="C670">
        <v>1</v>
      </c>
      <c r="D670">
        <v>425</v>
      </c>
    </row>
    <row r="671" spans="1:4" x14ac:dyDescent="0.55000000000000004">
      <c r="A671" s="6">
        <v>5.6599675409249679E+18</v>
      </c>
      <c r="B671">
        <v>535</v>
      </c>
      <c r="C671">
        <v>2</v>
      </c>
      <c r="D671">
        <v>2846</v>
      </c>
    </row>
    <row r="672" spans="1:4" x14ac:dyDescent="0.55000000000000004">
      <c r="A672" s="6">
        <v>5.6630641825212416E+18</v>
      </c>
      <c r="B672">
        <v>732</v>
      </c>
      <c r="C672">
        <v>1</v>
      </c>
      <c r="D672">
        <v>1333</v>
      </c>
    </row>
    <row r="673" spans="1:4" x14ac:dyDescent="0.55000000000000004">
      <c r="A673" s="6">
        <v>5.6822075481277911E+18</v>
      </c>
      <c r="B673">
        <v>22</v>
      </c>
      <c r="C673">
        <v>2</v>
      </c>
      <c r="D673">
        <v>1546</v>
      </c>
    </row>
    <row r="674" spans="1:4" x14ac:dyDescent="0.55000000000000004">
      <c r="A674" s="6">
        <v>5.6825257000827535E+18</v>
      </c>
      <c r="B674">
        <v>275</v>
      </c>
      <c r="C674">
        <v>3</v>
      </c>
      <c r="D674">
        <v>14975</v>
      </c>
    </row>
    <row r="675" spans="1:4" x14ac:dyDescent="0.55000000000000004">
      <c r="A675" s="6">
        <v>5.6918524632912978E+18</v>
      </c>
      <c r="B675">
        <v>75</v>
      </c>
      <c r="C675">
        <v>2</v>
      </c>
      <c r="D675">
        <v>5735</v>
      </c>
    </row>
    <row r="676" spans="1:4" x14ac:dyDescent="0.55000000000000004">
      <c r="A676" s="6">
        <v>5.6919244987251599E+18</v>
      </c>
      <c r="B676">
        <v>819</v>
      </c>
      <c r="C676">
        <v>1</v>
      </c>
      <c r="D676">
        <v>1053</v>
      </c>
    </row>
    <row r="677" spans="1:4" x14ac:dyDescent="0.55000000000000004">
      <c r="A677" s="6">
        <v>5.6974482217642691E+18</v>
      </c>
      <c r="B677">
        <v>150</v>
      </c>
      <c r="C677">
        <v>1</v>
      </c>
      <c r="D677">
        <v>1175</v>
      </c>
    </row>
    <row r="678" spans="1:4" x14ac:dyDescent="0.55000000000000004">
      <c r="A678" s="6">
        <v>5.7005708962086676E+18</v>
      </c>
      <c r="B678">
        <v>11</v>
      </c>
      <c r="C678">
        <v>2</v>
      </c>
      <c r="D678">
        <v>1456</v>
      </c>
    </row>
    <row r="679" spans="1:4" x14ac:dyDescent="0.55000000000000004">
      <c r="A679" s="6">
        <v>5.7023836737131592E+18</v>
      </c>
      <c r="B679">
        <v>1246</v>
      </c>
      <c r="C679">
        <v>1</v>
      </c>
      <c r="D679">
        <v>1920</v>
      </c>
    </row>
    <row r="680" spans="1:4" x14ac:dyDescent="0.55000000000000004">
      <c r="A680" s="6">
        <v>5.7073573820168806E+18</v>
      </c>
      <c r="B680">
        <v>108</v>
      </c>
      <c r="C680">
        <v>1</v>
      </c>
      <c r="D680">
        <v>296</v>
      </c>
    </row>
    <row r="681" spans="1:4" x14ac:dyDescent="0.55000000000000004">
      <c r="A681" s="6">
        <v>5.7291105250867794E+18</v>
      </c>
      <c r="B681">
        <v>96</v>
      </c>
      <c r="C681">
        <v>1</v>
      </c>
      <c r="D681">
        <v>4040</v>
      </c>
    </row>
    <row r="682" spans="1:4" x14ac:dyDescent="0.55000000000000004">
      <c r="A682" s="6">
        <v>5.7314394643560571E+18</v>
      </c>
      <c r="B682">
        <v>256</v>
      </c>
      <c r="C682">
        <v>4</v>
      </c>
      <c r="D682">
        <v>10633</v>
      </c>
    </row>
    <row r="683" spans="1:4" x14ac:dyDescent="0.55000000000000004">
      <c r="A683" s="6">
        <v>5.7494670863138181E+18</v>
      </c>
      <c r="B683">
        <v>533</v>
      </c>
      <c r="C683">
        <v>1</v>
      </c>
      <c r="D683">
        <v>283</v>
      </c>
    </row>
    <row r="684" spans="1:4" x14ac:dyDescent="0.55000000000000004">
      <c r="A684" s="6">
        <v>5.7556105243482644E+18</v>
      </c>
      <c r="B684">
        <v>107</v>
      </c>
      <c r="C684">
        <v>3</v>
      </c>
      <c r="D684">
        <v>1204</v>
      </c>
    </row>
    <row r="685" spans="1:4" x14ac:dyDescent="0.55000000000000004">
      <c r="A685" s="6">
        <v>5.7659891873700403E+18</v>
      </c>
      <c r="B685">
        <v>362</v>
      </c>
      <c r="C685">
        <v>2</v>
      </c>
      <c r="D685">
        <v>1054</v>
      </c>
    </row>
    <row r="686" spans="1:4" x14ac:dyDescent="0.55000000000000004">
      <c r="A686" s="6">
        <v>5.7661049619039703E+18</v>
      </c>
      <c r="B686">
        <v>22</v>
      </c>
      <c r="C686">
        <v>1</v>
      </c>
      <c r="D686">
        <v>1740</v>
      </c>
    </row>
    <row r="687" spans="1:4" x14ac:dyDescent="0.55000000000000004">
      <c r="A687" s="6">
        <v>5.7910861182605609E+18</v>
      </c>
      <c r="B687">
        <v>79</v>
      </c>
      <c r="C687">
        <v>2</v>
      </c>
      <c r="D687">
        <v>1177</v>
      </c>
    </row>
    <row r="688" spans="1:4" x14ac:dyDescent="0.55000000000000004">
      <c r="A688" s="6">
        <v>5.7976081621662054E+18</v>
      </c>
      <c r="B688">
        <v>744</v>
      </c>
      <c r="C688">
        <v>1</v>
      </c>
      <c r="D688">
        <v>690</v>
      </c>
    </row>
    <row r="689" spans="1:4" x14ac:dyDescent="0.55000000000000004">
      <c r="A689" s="6">
        <v>5.7983901334204365E+18</v>
      </c>
      <c r="B689">
        <v>641</v>
      </c>
      <c r="C689">
        <v>1</v>
      </c>
      <c r="D689">
        <v>1196</v>
      </c>
    </row>
    <row r="690" spans="1:4" x14ac:dyDescent="0.55000000000000004">
      <c r="A690" s="6">
        <v>5.8046519740638956E+18</v>
      </c>
      <c r="B690">
        <v>211</v>
      </c>
      <c r="C690">
        <v>1</v>
      </c>
      <c r="D690">
        <v>386</v>
      </c>
    </row>
    <row r="691" spans="1:4" x14ac:dyDescent="0.55000000000000004">
      <c r="A691" s="6">
        <v>5.8066164037275054E+18</v>
      </c>
      <c r="B691">
        <v>399</v>
      </c>
      <c r="C691">
        <v>1</v>
      </c>
      <c r="D691">
        <v>7970</v>
      </c>
    </row>
    <row r="692" spans="1:4" x14ac:dyDescent="0.55000000000000004">
      <c r="A692" s="6">
        <v>5.8176783672434412E+18</v>
      </c>
      <c r="B692">
        <v>890</v>
      </c>
      <c r="C692">
        <v>1</v>
      </c>
      <c r="D692">
        <v>400</v>
      </c>
    </row>
    <row r="693" spans="1:4" x14ac:dyDescent="0.55000000000000004">
      <c r="A693" s="6">
        <v>5.8245192961811661E+18</v>
      </c>
      <c r="B693">
        <v>99</v>
      </c>
      <c r="C693">
        <v>2</v>
      </c>
      <c r="D693">
        <v>7020</v>
      </c>
    </row>
    <row r="694" spans="1:4" x14ac:dyDescent="0.55000000000000004">
      <c r="A694" s="6">
        <v>5.8273439590150308E+18</v>
      </c>
      <c r="B694">
        <v>841</v>
      </c>
      <c r="C694">
        <v>1</v>
      </c>
      <c r="D694">
        <v>55020</v>
      </c>
    </row>
    <row r="695" spans="1:4" x14ac:dyDescent="0.55000000000000004">
      <c r="A695" s="6">
        <v>5.8282773082604247E+18</v>
      </c>
      <c r="B695">
        <v>572</v>
      </c>
      <c r="C695">
        <v>1</v>
      </c>
      <c r="D695">
        <v>199</v>
      </c>
    </row>
    <row r="696" spans="1:4" x14ac:dyDescent="0.55000000000000004">
      <c r="A696" s="6">
        <v>5.8340753107297587E+18</v>
      </c>
      <c r="B696">
        <v>254</v>
      </c>
      <c r="C696">
        <v>4</v>
      </c>
      <c r="D696">
        <v>18463</v>
      </c>
    </row>
    <row r="697" spans="1:4" x14ac:dyDescent="0.55000000000000004">
      <c r="A697" s="6">
        <v>5.8340963873294909E+18</v>
      </c>
      <c r="B697">
        <v>133</v>
      </c>
      <c r="C697">
        <v>3</v>
      </c>
      <c r="D697">
        <v>2003</v>
      </c>
    </row>
    <row r="698" spans="1:4" x14ac:dyDescent="0.55000000000000004">
      <c r="A698" s="6">
        <v>5.8366539935574548E+18</v>
      </c>
      <c r="B698">
        <v>162</v>
      </c>
      <c r="C698">
        <v>2</v>
      </c>
      <c r="D698">
        <v>4503</v>
      </c>
    </row>
    <row r="699" spans="1:4" x14ac:dyDescent="0.55000000000000004">
      <c r="A699" s="6">
        <v>5.8446676842090926E+18</v>
      </c>
      <c r="B699">
        <v>153</v>
      </c>
      <c r="C699">
        <v>3</v>
      </c>
      <c r="D699">
        <v>1055</v>
      </c>
    </row>
    <row r="700" spans="1:4" x14ac:dyDescent="0.55000000000000004">
      <c r="A700" s="6">
        <v>5.8453089461778842E+18</v>
      </c>
      <c r="B700">
        <v>299</v>
      </c>
      <c r="C700">
        <v>1</v>
      </c>
      <c r="D700">
        <v>1309</v>
      </c>
    </row>
    <row r="701" spans="1:4" x14ac:dyDescent="0.55000000000000004">
      <c r="A701" s="6">
        <v>5.8485697205147709E+18</v>
      </c>
      <c r="B701">
        <v>1167</v>
      </c>
      <c r="C701">
        <v>1</v>
      </c>
      <c r="D701">
        <v>167</v>
      </c>
    </row>
    <row r="702" spans="1:4" x14ac:dyDescent="0.55000000000000004">
      <c r="A702" s="6">
        <v>5.8495625339273144E+18</v>
      </c>
      <c r="B702">
        <v>308</v>
      </c>
      <c r="C702">
        <v>1</v>
      </c>
      <c r="D702">
        <v>160</v>
      </c>
    </row>
    <row r="703" spans="1:4" x14ac:dyDescent="0.55000000000000004">
      <c r="A703" s="6">
        <v>5.8527438191363031E+18</v>
      </c>
      <c r="B703">
        <v>837</v>
      </c>
      <c r="C703">
        <v>1</v>
      </c>
      <c r="D703">
        <v>3207</v>
      </c>
    </row>
    <row r="704" spans="1:4" x14ac:dyDescent="0.55000000000000004">
      <c r="A704" s="6">
        <v>5.8580331839227464E+18</v>
      </c>
      <c r="B704">
        <v>30</v>
      </c>
      <c r="C704">
        <v>1</v>
      </c>
      <c r="D704">
        <v>780</v>
      </c>
    </row>
    <row r="705" spans="1:4" x14ac:dyDescent="0.55000000000000004">
      <c r="A705" s="6">
        <v>5.8649699749280215E+18</v>
      </c>
      <c r="B705">
        <v>103</v>
      </c>
      <c r="C705">
        <v>4</v>
      </c>
      <c r="D705">
        <v>8699</v>
      </c>
    </row>
    <row r="706" spans="1:4" x14ac:dyDescent="0.55000000000000004">
      <c r="A706" s="6">
        <v>5.8660013562805678E+18</v>
      </c>
      <c r="B706">
        <v>1075</v>
      </c>
      <c r="C706">
        <v>1</v>
      </c>
      <c r="D706">
        <v>2690</v>
      </c>
    </row>
    <row r="707" spans="1:4" x14ac:dyDescent="0.55000000000000004">
      <c r="A707" s="6">
        <v>5.8784430253090079E+18</v>
      </c>
      <c r="B707">
        <v>20</v>
      </c>
      <c r="C707">
        <v>2</v>
      </c>
      <c r="D707">
        <v>3145</v>
      </c>
    </row>
    <row r="708" spans="1:4" x14ac:dyDescent="0.55000000000000004">
      <c r="A708" s="6">
        <v>5.880092382884011E+18</v>
      </c>
      <c r="B708">
        <v>24</v>
      </c>
      <c r="C708">
        <v>1</v>
      </c>
      <c r="D708">
        <v>2871</v>
      </c>
    </row>
    <row r="709" spans="1:4" x14ac:dyDescent="0.55000000000000004">
      <c r="A709" s="6">
        <v>5.881433254715179E+18</v>
      </c>
      <c r="B709">
        <v>384</v>
      </c>
      <c r="C709">
        <v>1</v>
      </c>
      <c r="D709">
        <v>1218</v>
      </c>
    </row>
    <row r="710" spans="1:4" x14ac:dyDescent="0.55000000000000004">
      <c r="A710" s="6">
        <v>5.8825871455281633E+18</v>
      </c>
      <c r="B710">
        <v>208</v>
      </c>
      <c r="C710">
        <v>2</v>
      </c>
      <c r="D710">
        <v>8331</v>
      </c>
    </row>
    <row r="711" spans="1:4" x14ac:dyDescent="0.55000000000000004">
      <c r="A711" s="6">
        <v>5.8918493956634819E+18</v>
      </c>
      <c r="B711">
        <v>43</v>
      </c>
      <c r="C711">
        <v>1</v>
      </c>
      <c r="D711">
        <v>277</v>
      </c>
    </row>
    <row r="712" spans="1:4" x14ac:dyDescent="0.55000000000000004">
      <c r="A712" s="6">
        <v>5.9076356762723389E+18</v>
      </c>
      <c r="B712">
        <v>889</v>
      </c>
      <c r="C712">
        <v>1</v>
      </c>
      <c r="D712">
        <v>498</v>
      </c>
    </row>
    <row r="713" spans="1:4" x14ac:dyDescent="0.55000000000000004">
      <c r="A713" s="6">
        <v>5.9140597912836055E+18</v>
      </c>
      <c r="B713">
        <v>470</v>
      </c>
      <c r="C713">
        <v>1</v>
      </c>
      <c r="D713">
        <v>630</v>
      </c>
    </row>
    <row r="714" spans="1:4" x14ac:dyDescent="0.55000000000000004">
      <c r="A714" s="6">
        <v>5.9243940192343204E+18</v>
      </c>
      <c r="B714">
        <v>771</v>
      </c>
      <c r="C714">
        <v>1</v>
      </c>
      <c r="D714">
        <v>510</v>
      </c>
    </row>
    <row r="715" spans="1:4" x14ac:dyDescent="0.55000000000000004">
      <c r="A715" s="6">
        <v>5.9294889023276319E+18</v>
      </c>
      <c r="B715">
        <v>887</v>
      </c>
      <c r="C715">
        <v>2</v>
      </c>
      <c r="D715">
        <v>8323</v>
      </c>
    </row>
    <row r="716" spans="1:4" x14ac:dyDescent="0.55000000000000004">
      <c r="A716" s="6">
        <v>5.9351186772047555E+18</v>
      </c>
      <c r="B716">
        <v>478</v>
      </c>
      <c r="C716">
        <v>1</v>
      </c>
      <c r="D716">
        <v>1408</v>
      </c>
    </row>
    <row r="717" spans="1:4" x14ac:dyDescent="0.55000000000000004">
      <c r="A717" s="6">
        <v>5.9432810329175511E+18</v>
      </c>
      <c r="B717">
        <v>653</v>
      </c>
      <c r="C717">
        <v>1</v>
      </c>
      <c r="D717">
        <v>799</v>
      </c>
    </row>
    <row r="718" spans="1:4" x14ac:dyDescent="0.55000000000000004">
      <c r="A718" s="6">
        <v>5.9513242594965381E+18</v>
      </c>
      <c r="B718">
        <v>577</v>
      </c>
      <c r="C718">
        <v>1</v>
      </c>
      <c r="D718">
        <v>596</v>
      </c>
    </row>
    <row r="719" spans="1:4" x14ac:dyDescent="0.55000000000000004">
      <c r="A719" s="6">
        <v>5.9912185336162427E+18</v>
      </c>
      <c r="B719">
        <v>69</v>
      </c>
      <c r="C719">
        <v>2</v>
      </c>
      <c r="D719">
        <v>924</v>
      </c>
    </row>
    <row r="720" spans="1:4" x14ac:dyDescent="0.55000000000000004">
      <c r="A720" s="6">
        <v>6.0064479704031314E+18</v>
      </c>
      <c r="B720">
        <v>3</v>
      </c>
      <c r="C720">
        <v>1</v>
      </c>
      <c r="D720">
        <v>190</v>
      </c>
    </row>
    <row r="721" spans="1:4" x14ac:dyDescent="0.55000000000000004">
      <c r="A721" s="6">
        <v>6.025922031137792E+18</v>
      </c>
      <c r="B721">
        <v>1398</v>
      </c>
      <c r="C721">
        <v>1</v>
      </c>
      <c r="D721">
        <v>1050</v>
      </c>
    </row>
    <row r="722" spans="1:4" x14ac:dyDescent="0.55000000000000004">
      <c r="A722" s="6">
        <v>6.0436031502157281E+18</v>
      </c>
      <c r="B722">
        <v>934</v>
      </c>
      <c r="C722">
        <v>2</v>
      </c>
      <c r="D722">
        <v>943</v>
      </c>
    </row>
    <row r="723" spans="1:4" x14ac:dyDescent="0.55000000000000004">
      <c r="A723" s="6">
        <v>6.0502654778610524E+18</v>
      </c>
      <c r="B723">
        <v>1114</v>
      </c>
      <c r="C723">
        <v>2</v>
      </c>
      <c r="D723">
        <v>125</v>
      </c>
    </row>
    <row r="724" spans="1:4" x14ac:dyDescent="0.55000000000000004">
      <c r="A724" s="6">
        <v>6.0647484128367104E+18</v>
      </c>
      <c r="B724">
        <v>698</v>
      </c>
      <c r="C724">
        <v>1</v>
      </c>
      <c r="D724">
        <v>1399</v>
      </c>
    </row>
    <row r="725" spans="1:4" x14ac:dyDescent="0.55000000000000004">
      <c r="A725" s="6">
        <v>6.0654496658877901E+18</v>
      </c>
      <c r="B725">
        <v>873</v>
      </c>
      <c r="C725">
        <v>2</v>
      </c>
      <c r="D725">
        <v>11560</v>
      </c>
    </row>
    <row r="726" spans="1:4" x14ac:dyDescent="0.55000000000000004">
      <c r="A726" s="6">
        <v>6.0699786435620608E+18</v>
      </c>
      <c r="B726">
        <v>787</v>
      </c>
      <c r="C726">
        <v>2</v>
      </c>
      <c r="D726">
        <v>1399</v>
      </c>
    </row>
    <row r="727" spans="1:4" x14ac:dyDescent="0.55000000000000004">
      <c r="A727" s="6">
        <v>6.0705676511978691E+18</v>
      </c>
      <c r="B727">
        <v>480</v>
      </c>
      <c r="C727">
        <v>1</v>
      </c>
      <c r="D727">
        <v>1880</v>
      </c>
    </row>
    <row r="728" spans="1:4" x14ac:dyDescent="0.55000000000000004">
      <c r="A728" s="6">
        <v>6.084764153214294E+18</v>
      </c>
      <c r="B728">
        <v>438</v>
      </c>
      <c r="C728">
        <v>2</v>
      </c>
      <c r="D728">
        <v>3607</v>
      </c>
    </row>
    <row r="729" spans="1:4" x14ac:dyDescent="0.55000000000000004">
      <c r="A729" s="6">
        <v>6.0930507342067261E+18</v>
      </c>
      <c r="B729">
        <v>217</v>
      </c>
      <c r="C729">
        <v>1</v>
      </c>
      <c r="D729">
        <v>790</v>
      </c>
    </row>
    <row r="730" spans="1:4" x14ac:dyDescent="0.55000000000000004">
      <c r="A730" s="6">
        <v>6.0965140272997366E+18</v>
      </c>
      <c r="B730">
        <v>45</v>
      </c>
      <c r="C730">
        <v>6</v>
      </c>
      <c r="D730">
        <v>12928</v>
      </c>
    </row>
    <row r="731" spans="1:4" x14ac:dyDescent="0.55000000000000004">
      <c r="A731" s="6">
        <v>6.0967920813631478E+18</v>
      </c>
      <c r="B731">
        <v>534</v>
      </c>
      <c r="C731">
        <v>1</v>
      </c>
      <c r="D731">
        <v>240</v>
      </c>
    </row>
    <row r="732" spans="1:4" x14ac:dyDescent="0.55000000000000004">
      <c r="A732" s="6">
        <v>6.1057971100813087E+18</v>
      </c>
      <c r="B732">
        <v>902</v>
      </c>
      <c r="C732">
        <v>2</v>
      </c>
      <c r="D732">
        <v>1525</v>
      </c>
    </row>
    <row r="733" spans="1:4" x14ac:dyDescent="0.55000000000000004">
      <c r="A733" s="6">
        <v>6.11687229500642E+18</v>
      </c>
      <c r="B733">
        <v>85</v>
      </c>
      <c r="C733">
        <v>3</v>
      </c>
      <c r="D733">
        <v>2323</v>
      </c>
    </row>
    <row r="734" spans="1:4" x14ac:dyDescent="0.55000000000000004">
      <c r="A734" s="6">
        <v>6.1294857726784379E+18</v>
      </c>
      <c r="B734">
        <v>698</v>
      </c>
      <c r="C734">
        <v>1</v>
      </c>
      <c r="D734">
        <v>69</v>
      </c>
    </row>
    <row r="735" spans="1:4" x14ac:dyDescent="0.55000000000000004">
      <c r="A735" s="6">
        <v>6.1368107832507228E+18</v>
      </c>
      <c r="B735">
        <v>326</v>
      </c>
      <c r="C735">
        <v>2</v>
      </c>
      <c r="D735">
        <v>2657</v>
      </c>
    </row>
    <row r="736" spans="1:4" x14ac:dyDescent="0.55000000000000004">
      <c r="A736" s="6">
        <v>6.1389040048259338E+18</v>
      </c>
      <c r="B736">
        <v>7</v>
      </c>
      <c r="C736">
        <v>3</v>
      </c>
      <c r="D736">
        <v>1824</v>
      </c>
    </row>
    <row r="737" spans="1:4" x14ac:dyDescent="0.55000000000000004">
      <c r="A737" s="6">
        <v>6.1405135759450532E+18</v>
      </c>
      <c r="B737">
        <v>89</v>
      </c>
      <c r="C737">
        <v>1</v>
      </c>
      <c r="D737">
        <v>1406</v>
      </c>
    </row>
    <row r="738" spans="1:4" x14ac:dyDescent="0.55000000000000004">
      <c r="A738" s="6">
        <v>6.1476417961953853E+18</v>
      </c>
      <c r="B738">
        <v>112</v>
      </c>
      <c r="C738">
        <v>1</v>
      </c>
      <c r="D738">
        <v>3797</v>
      </c>
    </row>
    <row r="739" spans="1:4" x14ac:dyDescent="0.55000000000000004">
      <c r="A739" s="6">
        <v>6.1484501004097894E+18</v>
      </c>
      <c r="B739">
        <v>40</v>
      </c>
      <c r="C739">
        <v>2</v>
      </c>
      <c r="D739">
        <v>601</v>
      </c>
    </row>
    <row r="740" spans="1:4" x14ac:dyDescent="0.55000000000000004">
      <c r="A740" s="6">
        <v>6.155040696454528E+18</v>
      </c>
      <c r="B740">
        <v>640</v>
      </c>
      <c r="C740">
        <v>1</v>
      </c>
      <c r="D740">
        <v>59</v>
      </c>
    </row>
    <row r="741" spans="1:4" x14ac:dyDescent="0.55000000000000004">
      <c r="A741" s="6">
        <v>6.1636865884116582E+18</v>
      </c>
      <c r="B741">
        <v>384</v>
      </c>
      <c r="C741">
        <v>1</v>
      </c>
      <c r="D741">
        <v>1956</v>
      </c>
    </row>
    <row r="742" spans="1:4" x14ac:dyDescent="0.55000000000000004">
      <c r="A742" s="6">
        <v>6.1676260676265769E+18</v>
      </c>
      <c r="B742">
        <v>1212</v>
      </c>
      <c r="C742">
        <v>1</v>
      </c>
      <c r="D742">
        <v>158</v>
      </c>
    </row>
    <row r="743" spans="1:4" x14ac:dyDescent="0.55000000000000004">
      <c r="A743" s="6">
        <v>6.1701038095527096E+18</v>
      </c>
      <c r="B743">
        <v>155</v>
      </c>
      <c r="C743">
        <v>3</v>
      </c>
      <c r="D743">
        <v>8830</v>
      </c>
    </row>
    <row r="744" spans="1:4" x14ac:dyDescent="0.55000000000000004">
      <c r="A744" s="6">
        <v>6.1839390129527962E+18</v>
      </c>
      <c r="B744">
        <v>865</v>
      </c>
      <c r="C744">
        <v>1</v>
      </c>
      <c r="D744">
        <v>16020</v>
      </c>
    </row>
    <row r="745" spans="1:4" x14ac:dyDescent="0.55000000000000004">
      <c r="A745" s="6">
        <v>6.1955041660847278E+18</v>
      </c>
      <c r="B745">
        <v>1227</v>
      </c>
      <c r="C745">
        <v>1</v>
      </c>
      <c r="D745">
        <v>138</v>
      </c>
    </row>
    <row r="746" spans="1:4" x14ac:dyDescent="0.55000000000000004">
      <c r="A746" s="6">
        <v>6.1981796903171369E+18</v>
      </c>
      <c r="B746">
        <v>642</v>
      </c>
      <c r="C746">
        <v>2</v>
      </c>
      <c r="D746">
        <v>3470</v>
      </c>
    </row>
    <row r="747" spans="1:4" x14ac:dyDescent="0.55000000000000004">
      <c r="A747" s="6">
        <v>6.1986093279012096E+18</v>
      </c>
      <c r="B747">
        <v>217</v>
      </c>
      <c r="C747">
        <v>1</v>
      </c>
      <c r="D747">
        <v>483</v>
      </c>
    </row>
    <row r="748" spans="1:4" x14ac:dyDescent="0.55000000000000004">
      <c r="A748" s="6">
        <v>6.215206063014871E+18</v>
      </c>
      <c r="B748">
        <v>1152</v>
      </c>
      <c r="C748">
        <v>1</v>
      </c>
      <c r="D748">
        <v>339</v>
      </c>
    </row>
    <row r="749" spans="1:4" x14ac:dyDescent="0.55000000000000004">
      <c r="A749" s="6">
        <v>6.2213589487169055E+18</v>
      </c>
      <c r="B749">
        <v>610</v>
      </c>
      <c r="C749">
        <v>2</v>
      </c>
      <c r="D749">
        <v>895</v>
      </c>
    </row>
    <row r="750" spans="1:4" x14ac:dyDescent="0.55000000000000004">
      <c r="A750" s="6">
        <v>6.2303015627692554E+18</v>
      </c>
      <c r="B750">
        <v>98</v>
      </c>
      <c r="C750">
        <v>2</v>
      </c>
      <c r="D750">
        <v>2008</v>
      </c>
    </row>
    <row r="751" spans="1:4" x14ac:dyDescent="0.55000000000000004">
      <c r="A751" s="6">
        <v>6.2338335694389146E+18</v>
      </c>
      <c r="B751">
        <v>608</v>
      </c>
      <c r="C751">
        <v>1</v>
      </c>
      <c r="D751">
        <v>690</v>
      </c>
    </row>
    <row r="752" spans="1:4" x14ac:dyDescent="0.55000000000000004">
      <c r="A752" s="6">
        <v>6.2343246215722609E+18</v>
      </c>
      <c r="B752">
        <v>1161</v>
      </c>
      <c r="C752">
        <v>1</v>
      </c>
      <c r="D752">
        <v>1265</v>
      </c>
    </row>
    <row r="753" spans="1:4" x14ac:dyDescent="0.55000000000000004">
      <c r="A753" s="6">
        <v>6.2355655699120046E+18</v>
      </c>
      <c r="B753">
        <v>480</v>
      </c>
      <c r="C753">
        <v>1</v>
      </c>
      <c r="D753">
        <v>17940</v>
      </c>
    </row>
    <row r="754" spans="1:4" x14ac:dyDescent="0.55000000000000004">
      <c r="A754" s="6">
        <v>6.2599499234929787E+18</v>
      </c>
      <c r="B754">
        <v>271</v>
      </c>
      <c r="C754">
        <v>3</v>
      </c>
      <c r="D754">
        <v>979</v>
      </c>
    </row>
    <row r="755" spans="1:4" x14ac:dyDescent="0.55000000000000004">
      <c r="A755" s="6">
        <v>6.2608471938323026E+18</v>
      </c>
      <c r="B755">
        <v>837</v>
      </c>
      <c r="C755">
        <v>1</v>
      </c>
      <c r="D755">
        <v>1069</v>
      </c>
    </row>
    <row r="756" spans="1:4" x14ac:dyDescent="0.55000000000000004">
      <c r="A756" s="6">
        <v>6.2701828360759163E+18</v>
      </c>
      <c r="B756">
        <v>611</v>
      </c>
      <c r="C756">
        <v>1</v>
      </c>
      <c r="D756">
        <v>451</v>
      </c>
    </row>
    <row r="757" spans="1:4" x14ac:dyDescent="0.55000000000000004">
      <c r="A757" s="6">
        <v>6.2709077484598569E+18</v>
      </c>
      <c r="B757">
        <v>709</v>
      </c>
      <c r="C757">
        <v>3</v>
      </c>
      <c r="D757">
        <v>3117</v>
      </c>
    </row>
    <row r="758" spans="1:4" x14ac:dyDescent="0.55000000000000004">
      <c r="A758" s="6">
        <v>6.2774505286284667E+18</v>
      </c>
      <c r="B758">
        <v>551</v>
      </c>
      <c r="C758">
        <v>1</v>
      </c>
      <c r="D758">
        <v>16870</v>
      </c>
    </row>
    <row r="759" spans="1:4" x14ac:dyDescent="0.55000000000000004">
      <c r="A759" s="6">
        <v>6.2799528260788367E+18</v>
      </c>
      <c r="B759">
        <v>175</v>
      </c>
      <c r="C759">
        <v>2</v>
      </c>
      <c r="D759">
        <v>3289</v>
      </c>
    </row>
    <row r="760" spans="1:4" x14ac:dyDescent="0.55000000000000004">
      <c r="A760" s="6">
        <v>6.2994961456809595E+18</v>
      </c>
      <c r="B760">
        <v>199</v>
      </c>
      <c r="C760">
        <v>3</v>
      </c>
      <c r="D760">
        <v>1554</v>
      </c>
    </row>
    <row r="761" spans="1:4" x14ac:dyDescent="0.55000000000000004">
      <c r="A761" s="6">
        <v>6.3035102497799158E+18</v>
      </c>
      <c r="B761">
        <v>112</v>
      </c>
      <c r="C761">
        <v>2</v>
      </c>
      <c r="D761">
        <v>3925</v>
      </c>
    </row>
    <row r="762" spans="1:4" x14ac:dyDescent="0.55000000000000004">
      <c r="A762" s="6">
        <v>6.3061077703786875E+18</v>
      </c>
      <c r="B762">
        <v>319</v>
      </c>
      <c r="C762">
        <v>1</v>
      </c>
      <c r="D762">
        <v>721</v>
      </c>
    </row>
    <row r="763" spans="1:4" x14ac:dyDescent="0.55000000000000004">
      <c r="A763" s="6">
        <v>6.31703434655326E+18</v>
      </c>
      <c r="B763">
        <v>911</v>
      </c>
      <c r="C763">
        <v>1</v>
      </c>
      <c r="D763">
        <v>388</v>
      </c>
    </row>
    <row r="764" spans="1:4" x14ac:dyDescent="0.55000000000000004">
      <c r="A764" s="6">
        <v>6.319029113315626E+18</v>
      </c>
      <c r="B764">
        <v>214</v>
      </c>
      <c r="C764">
        <v>1</v>
      </c>
      <c r="D764">
        <v>1203</v>
      </c>
    </row>
    <row r="765" spans="1:4" x14ac:dyDescent="0.55000000000000004">
      <c r="A765" s="6">
        <v>6.3308097158382285E+18</v>
      </c>
      <c r="B765">
        <v>151</v>
      </c>
      <c r="C765">
        <v>3</v>
      </c>
      <c r="D765">
        <v>5611</v>
      </c>
    </row>
    <row r="766" spans="1:4" x14ac:dyDescent="0.55000000000000004">
      <c r="A766" s="6">
        <v>6.3309673559597763E+18</v>
      </c>
      <c r="B766">
        <v>106</v>
      </c>
      <c r="C766">
        <v>1</v>
      </c>
      <c r="D766">
        <v>1422</v>
      </c>
    </row>
    <row r="767" spans="1:4" x14ac:dyDescent="0.55000000000000004">
      <c r="A767" s="6">
        <v>6.3366569435153132E+18</v>
      </c>
      <c r="B767">
        <v>474</v>
      </c>
      <c r="C767">
        <v>1</v>
      </c>
      <c r="D767">
        <v>104</v>
      </c>
    </row>
    <row r="768" spans="1:4" x14ac:dyDescent="0.55000000000000004">
      <c r="A768" s="6">
        <v>6.3453818904014387E+18</v>
      </c>
      <c r="B768">
        <v>850</v>
      </c>
      <c r="C768">
        <v>1</v>
      </c>
      <c r="D768">
        <v>935</v>
      </c>
    </row>
    <row r="769" spans="1:4" x14ac:dyDescent="0.55000000000000004">
      <c r="A769" s="6">
        <v>6.3481624462595748E+18</v>
      </c>
      <c r="B769">
        <v>142</v>
      </c>
      <c r="C769">
        <v>3</v>
      </c>
      <c r="D769">
        <v>1600</v>
      </c>
    </row>
    <row r="770" spans="1:4" x14ac:dyDescent="0.55000000000000004">
      <c r="A770" s="6">
        <v>6.3615895712746906E+18</v>
      </c>
      <c r="B770">
        <v>197</v>
      </c>
      <c r="C770">
        <v>1</v>
      </c>
      <c r="D770">
        <v>560</v>
      </c>
    </row>
    <row r="771" spans="1:4" x14ac:dyDescent="0.55000000000000004">
      <c r="A771" s="6">
        <v>6.3632607311316357E+18</v>
      </c>
      <c r="B771">
        <v>666</v>
      </c>
      <c r="C771">
        <v>1</v>
      </c>
      <c r="D771">
        <v>4488</v>
      </c>
    </row>
    <row r="772" spans="1:4" x14ac:dyDescent="0.55000000000000004">
      <c r="A772" s="6">
        <v>6.3662245030475868E+18</v>
      </c>
      <c r="B772">
        <v>31</v>
      </c>
      <c r="C772">
        <v>3</v>
      </c>
      <c r="D772">
        <v>5111</v>
      </c>
    </row>
    <row r="773" spans="1:4" x14ac:dyDescent="0.55000000000000004">
      <c r="A773" s="6">
        <v>6.3697051539120968E+18</v>
      </c>
      <c r="B773">
        <v>143</v>
      </c>
      <c r="C773">
        <v>1</v>
      </c>
      <c r="D773">
        <v>2197</v>
      </c>
    </row>
    <row r="774" spans="1:4" x14ac:dyDescent="0.55000000000000004">
      <c r="A774" s="6">
        <v>6.3777441576841124E+18</v>
      </c>
      <c r="B774">
        <v>126</v>
      </c>
      <c r="C774">
        <v>1</v>
      </c>
      <c r="D774">
        <v>3360</v>
      </c>
    </row>
    <row r="775" spans="1:4" x14ac:dyDescent="0.55000000000000004">
      <c r="A775" s="6">
        <v>6.3787399135739679E+18</v>
      </c>
      <c r="B775">
        <v>636</v>
      </c>
      <c r="C775">
        <v>1</v>
      </c>
      <c r="D775">
        <v>300</v>
      </c>
    </row>
    <row r="776" spans="1:4" x14ac:dyDescent="0.55000000000000004">
      <c r="A776" s="6">
        <v>6.3829002099703767E+18</v>
      </c>
      <c r="B776">
        <v>98</v>
      </c>
      <c r="C776">
        <v>1</v>
      </c>
      <c r="D776">
        <v>629</v>
      </c>
    </row>
    <row r="777" spans="1:4" x14ac:dyDescent="0.55000000000000004">
      <c r="A777" s="6">
        <v>6.386093456178901E+18</v>
      </c>
      <c r="B777">
        <v>802</v>
      </c>
      <c r="C777">
        <v>1</v>
      </c>
      <c r="D777">
        <v>389</v>
      </c>
    </row>
    <row r="778" spans="1:4" x14ac:dyDescent="0.55000000000000004">
      <c r="A778" s="6">
        <v>6.3875957610149612E+18</v>
      </c>
      <c r="B778">
        <v>580</v>
      </c>
      <c r="C778">
        <v>1</v>
      </c>
      <c r="D778">
        <v>2415</v>
      </c>
    </row>
    <row r="779" spans="1:4" x14ac:dyDescent="0.55000000000000004">
      <c r="A779" s="6">
        <v>6.4055489536641393E+18</v>
      </c>
      <c r="B779">
        <v>172</v>
      </c>
      <c r="C779">
        <v>1</v>
      </c>
      <c r="D779">
        <v>2600</v>
      </c>
    </row>
    <row r="780" spans="1:4" x14ac:dyDescent="0.55000000000000004">
      <c r="A780" s="6">
        <v>6.4168281896961137E+18</v>
      </c>
      <c r="B780">
        <v>525</v>
      </c>
      <c r="C780">
        <v>1</v>
      </c>
      <c r="D780">
        <v>23</v>
      </c>
    </row>
    <row r="781" spans="1:4" x14ac:dyDescent="0.55000000000000004">
      <c r="A781" s="6">
        <v>6.4342451881816975E+18</v>
      </c>
      <c r="B781">
        <v>481</v>
      </c>
      <c r="C781">
        <v>1</v>
      </c>
      <c r="D781">
        <v>4375</v>
      </c>
    </row>
    <row r="782" spans="1:4" x14ac:dyDescent="0.55000000000000004">
      <c r="A782" s="6">
        <v>6.4675072884870011E+18</v>
      </c>
      <c r="B782">
        <v>9</v>
      </c>
      <c r="C782">
        <v>1</v>
      </c>
      <c r="D782">
        <v>2520</v>
      </c>
    </row>
    <row r="783" spans="1:4" x14ac:dyDescent="0.55000000000000004">
      <c r="A783" s="6">
        <v>6.4691629409427087E+18</v>
      </c>
      <c r="B783">
        <v>596</v>
      </c>
      <c r="C783">
        <v>2</v>
      </c>
      <c r="D783">
        <v>2252</v>
      </c>
    </row>
    <row r="784" spans="1:4" x14ac:dyDescent="0.55000000000000004">
      <c r="A784" s="6">
        <v>6.4811992783555676E+18</v>
      </c>
      <c r="B784">
        <v>64</v>
      </c>
      <c r="C784">
        <v>1</v>
      </c>
      <c r="D784">
        <v>380</v>
      </c>
    </row>
    <row r="785" spans="1:4" x14ac:dyDescent="0.55000000000000004">
      <c r="A785" s="6">
        <v>6.4922869165179116E+18</v>
      </c>
      <c r="B785">
        <v>592</v>
      </c>
      <c r="C785">
        <v>1</v>
      </c>
      <c r="D785">
        <v>219</v>
      </c>
    </row>
    <row r="786" spans="1:4" x14ac:dyDescent="0.55000000000000004">
      <c r="A786" s="6">
        <v>6.5055564192307231E+18</v>
      </c>
      <c r="B786">
        <v>94</v>
      </c>
      <c r="C786">
        <v>2</v>
      </c>
      <c r="D786">
        <v>913</v>
      </c>
    </row>
    <row r="787" spans="1:4" x14ac:dyDescent="0.55000000000000004">
      <c r="A787" s="6">
        <v>6.5114163163565875E+18</v>
      </c>
      <c r="B787">
        <v>182</v>
      </c>
      <c r="C787">
        <v>1</v>
      </c>
      <c r="D787">
        <v>2050</v>
      </c>
    </row>
    <row r="788" spans="1:4" x14ac:dyDescent="0.55000000000000004">
      <c r="A788" s="6">
        <v>6.5158383350411981E+18</v>
      </c>
      <c r="B788">
        <v>121</v>
      </c>
      <c r="C788">
        <v>2</v>
      </c>
      <c r="D788">
        <v>12320</v>
      </c>
    </row>
    <row r="789" spans="1:4" x14ac:dyDescent="0.55000000000000004">
      <c r="A789" s="6">
        <v>6.5209463129209108E+18</v>
      </c>
      <c r="B789">
        <v>990</v>
      </c>
      <c r="C789">
        <v>1</v>
      </c>
      <c r="D789">
        <v>110</v>
      </c>
    </row>
    <row r="790" spans="1:4" x14ac:dyDescent="0.55000000000000004">
      <c r="A790" s="6">
        <v>6.5261375982636462E+18</v>
      </c>
      <c r="B790">
        <v>557</v>
      </c>
      <c r="C790">
        <v>1</v>
      </c>
      <c r="D790">
        <v>19</v>
      </c>
    </row>
    <row r="791" spans="1:4" x14ac:dyDescent="0.55000000000000004">
      <c r="A791" s="6">
        <v>6.5433186383751281E+18</v>
      </c>
      <c r="B791">
        <v>580</v>
      </c>
      <c r="C791">
        <v>1</v>
      </c>
      <c r="D791">
        <v>479</v>
      </c>
    </row>
    <row r="792" spans="1:4" x14ac:dyDescent="0.55000000000000004">
      <c r="A792" s="6">
        <v>6.5643654175855411E+18</v>
      </c>
      <c r="B792">
        <v>172</v>
      </c>
      <c r="C792">
        <v>2</v>
      </c>
      <c r="D792">
        <v>639</v>
      </c>
    </row>
    <row r="793" spans="1:4" x14ac:dyDescent="0.55000000000000004">
      <c r="A793" s="6">
        <v>6.5677631329683415E+18</v>
      </c>
      <c r="B793">
        <v>85</v>
      </c>
      <c r="C793">
        <v>1</v>
      </c>
      <c r="D793">
        <v>129</v>
      </c>
    </row>
    <row r="794" spans="1:4" x14ac:dyDescent="0.55000000000000004">
      <c r="A794" s="6">
        <v>6.5695404423805542E+18</v>
      </c>
      <c r="B794">
        <v>80</v>
      </c>
      <c r="C794">
        <v>1</v>
      </c>
      <c r="D794">
        <v>1473</v>
      </c>
    </row>
    <row r="795" spans="1:4" x14ac:dyDescent="0.55000000000000004">
      <c r="A795" s="6">
        <v>6.5847090901631529E+18</v>
      </c>
      <c r="B795">
        <v>915</v>
      </c>
      <c r="C795">
        <v>1</v>
      </c>
      <c r="D795">
        <v>5697</v>
      </c>
    </row>
    <row r="796" spans="1:4" x14ac:dyDescent="0.55000000000000004">
      <c r="A796" s="6">
        <v>6.5876540869802783E+18</v>
      </c>
      <c r="B796">
        <v>412</v>
      </c>
      <c r="C796">
        <v>1</v>
      </c>
      <c r="D796">
        <v>1218</v>
      </c>
    </row>
    <row r="797" spans="1:4" x14ac:dyDescent="0.55000000000000004">
      <c r="A797" s="6">
        <v>6.6130664491283999E+18</v>
      </c>
      <c r="B797">
        <v>990</v>
      </c>
      <c r="C797">
        <v>1</v>
      </c>
      <c r="D797">
        <v>1482</v>
      </c>
    </row>
    <row r="798" spans="1:4" x14ac:dyDescent="0.55000000000000004">
      <c r="A798" s="6">
        <v>6.6230097931188941E+18</v>
      </c>
      <c r="B798">
        <v>189</v>
      </c>
      <c r="C798">
        <v>1</v>
      </c>
      <c r="D798">
        <v>5776</v>
      </c>
    </row>
    <row r="799" spans="1:4" x14ac:dyDescent="0.55000000000000004">
      <c r="A799" s="6">
        <v>6.625628621733374E+18</v>
      </c>
      <c r="B799">
        <v>400</v>
      </c>
      <c r="C799">
        <v>1</v>
      </c>
      <c r="D799">
        <v>378</v>
      </c>
    </row>
    <row r="800" spans="1:4" x14ac:dyDescent="0.55000000000000004">
      <c r="A800" s="6">
        <v>6.633261323295703E+18</v>
      </c>
      <c r="B800">
        <v>164</v>
      </c>
      <c r="C800">
        <v>1</v>
      </c>
      <c r="D800">
        <v>1001</v>
      </c>
    </row>
    <row r="801" spans="1:4" x14ac:dyDescent="0.55000000000000004">
      <c r="A801" s="6">
        <v>6.6423141965100452E+18</v>
      </c>
      <c r="B801">
        <v>1002</v>
      </c>
      <c r="C801">
        <v>1</v>
      </c>
      <c r="D801">
        <v>236</v>
      </c>
    </row>
    <row r="802" spans="1:4" x14ac:dyDescent="0.55000000000000004">
      <c r="A802" s="6">
        <v>6.6553452039854715E+18</v>
      </c>
      <c r="B802">
        <v>794</v>
      </c>
      <c r="C802">
        <v>1</v>
      </c>
      <c r="D802">
        <v>133</v>
      </c>
    </row>
    <row r="803" spans="1:4" x14ac:dyDescent="0.55000000000000004">
      <c r="A803" s="6">
        <v>6.667778297334103E+18</v>
      </c>
      <c r="B803">
        <v>646</v>
      </c>
      <c r="C803">
        <v>1</v>
      </c>
      <c r="D803">
        <v>1743</v>
      </c>
    </row>
    <row r="804" spans="1:4" x14ac:dyDescent="0.55000000000000004">
      <c r="A804" s="6">
        <v>6.679991526404095E+18</v>
      </c>
      <c r="B804">
        <v>82</v>
      </c>
      <c r="C804">
        <v>1</v>
      </c>
      <c r="D804">
        <v>397</v>
      </c>
    </row>
    <row r="805" spans="1:4" x14ac:dyDescent="0.55000000000000004">
      <c r="A805" s="6">
        <v>6.6806323183104154E+18</v>
      </c>
      <c r="B805">
        <v>516</v>
      </c>
      <c r="C805">
        <v>1</v>
      </c>
      <c r="D805">
        <v>70</v>
      </c>
    </row>
    <row r="806" spans="1:4" x14ac:dyDescent="0.55000000000000004">
      <c r="A806" s="6">
        <v>6.7083114319589734E+18</v>
      </c>
      <c r="B806">
        <v>413</v>
      </c>
      <c r="C806">
        <v>1</v>
      </c>
      <c r="D806">
        <v>190</v>
      </c>
    </row>
    <row r="807" spans="1:4" x14ac:dyDescent="0.55000000000000004">
      <c r="A807" s="6">
        <v>6.7253496507708355E+18</v>
      </c>
      <c r="B807">
        <v>79</v>
      </c>
      <c r="C807">
        <v>1</v>
      </c>
      <c r="D807">
        <v>1000</v>
      </c>
    </row>
    <row r="808" spans="1:4" x14ac:dyDescent="0.55000000000000004">
      <c r="A808" s="6">
        <v>6.7368181650913751E+18</v>
      </c>
      <c r="B808">
        <v>881</v>
      </c>
      <c r="C808">
        <v>1</v>
      </c>
      <c r="D808">
        <v>32</v>
      </c>
    </row>
    <row r="809" spans="1:4" x14ac:dyDescent="0.55000000000000004">
      <c r="A809" s="6">
        <v>6.7373578365760123E+18</v>
      </c>
      <c r="B809">
        <v>273</v>
      </c>
      <c r="C809">
        <v>1</v>
      </c>
      <c r="D809">
        <v>2540</v>
      </c>
    </row>
    <row r="810" spans="1:4" x14ac:dyDescent="0.55000000000000004">
      <c r="A810" s="6">
        <v>6.7389753197457009E+18</v>
      </c>
      <c r="B810">
        <v>93</v>
      </c>
      <c r="C810">
        <v>2</v>
      </c>
      <c r="D810">
        <v>1125</v>
      </c>
    </row>
    <row r="811" spans="1:4" x14ac:dyDescent="0.55000000000000004">
      <c r="A811" s="6">
        <v>6.749289830386561E+18</v>
      </c>
      <c r="B811">
        <v>193</v>
      </c>
      <c r="C811">
        <v>2</v>
      </c>
      <c r="D811">
        <v>13089</v>
      </c>
    </row>
    <row r="812" spans="1:4" x14ac:dyDescent="0.55000000000000004">
      <c r="A812" s="6">
        <v>6.7667673536150569E+18</v>
      </c>
      <c r="B812">
        <v>423</v>
      </c>
      <c r="C812">
        <v>2</v>
      </c>
      <c r="D812">
        <v>376</v>
      </c>
    </row>
    <row r="813" spans="1:4" x14ac:dyDescent="0.55000000000000004">
      <c r="A813" s="6">
        <v>6.7868190596382003E+18</v>
      </c>
      <c r="B813">
        <v>108</v>
      </c>
      <c r="C813">
        <v>1</v>
      </c>
      <c r="D813">
        <v>2150</v>
      </c>
    </row>
    <row r="814" spans="1:4" x14ac:dyDescent="0.55000000000000004">
      <c r="A814" s="6">
        <v>6.7894057374757151E+18</v>
      </c>
      <c r="B814">
        <v>419</v>
      </c>
      <c r="C814">
        <v>1</v>
      </c>
      <c r="D814">
        <v>760</v>
      </c>
    </row>
    <row r="815" spans="1:4" x14ac:dyDescent="0.55000000000000004">
      <c r="A815" s="6">
        <v>6.8081673511501599E+18</v>
      </c>
      <c r="B815">
        <v>705</v>
      </c>
      <c r="C815">
        <v>1</v>
      </c>
      <c r="D815">
        <v>2840</v>
      </c>
    </row>
    <row r="816" spans="1:4" x14ac:dyDescent="0.55000000000000004">
      <c r="A816" s="6">
        <v>6.8089722655245609E+18</v>
      </c>
      <c r="B816">
        <v>724</v>
      </c>
      <c r="C816">
        <v>2</v>
      </c>
      <c r="D816">
        <v>24513</v>
      </c>
    </row>
    <row r="817" spans="1:4" x14ac:dyDescent="0.55000000000000004">
      <c r="A817" s="6">
        <v>6.8227132645195633E+18</v>
      </c>
      <c r="B817">
        <v>857</v>
      </c>
      <c r="C817">
        <v>1</v>
      </c>
      <c r="D817">
        <v>400</v>
      </c>
    </row>
    <row r="818" spans="1:4" x14ac:dyDescent="0.55000000000000004">
      <c r="A818" s="6">
        <v>6.8284815311635948E+18</v>
      </c>
      <c r="B818">
        <v>678</v>
      </c>
      <c r="C818">
        <v>1</v>
      </c>
      <c r="D818">
        <v>75</v>
      </c>
    </row>
    <row r="819" spans="1:4" x14ac:dyDescent="0.55000000000000004">
      <c r="A819" s="6">
        <v>6.8320949424856115E+18</v>
      </c>
      <c r="B819">
        <v>494</v>
      </c>
      <c r="C819">
        <v>1</v>
      </c>
      <c r="D819">
        <v>299</v>
      </c>
    </row>
    <row r="820" spans="1:4" x14ac:dyDescent="0.55000000000000004">
      <c r="A820" s="6">
        <v>6.8412832984735416E+18</v>
      </c>
      <c r="B820">
        <v>771</v>
      </c>
      <c r="C820">
        <v>1</v>
      </c>
      <c r="D820">
        <v>792</v>
      </c>
    </row>
    <row r="821" spans="1:4" x14ac:dyDescent="0.55000000000000004">
      <c r="A821" s="6">
        <v>6.8623891938470922E+18</v>
      </c>
      <c r="B821">
        <v>338</v>
      </c>
      <c r="C821">
        <v>3</v>
      </c>
      <c r="D821">
        <v>6505</v>
      </c>
    </row>
    <row r="822" spans="1:4" x14ac:dyDescent="0.55000000000000004">
      <c r="A822" s="6">
        <v>6.8680169767252644E+18</v>
      </c>
      <c r="B822">
        <v>408</v>
      </c>
      <c r="C822">
        <v>1</v>
      </c>
      <c r="D822">
        <v>134</v>
      </c>
    </row>
    <row r="823" spans="1:4" x14ac:dyDescent="0.55000000000000004">
      <c r="A823" s="6">
        <v>6.8786533844441723E+18</v>
      </c>
      <c r="B823">
        <v>488</v>
      </c>
      <c r="C823">
        <v>1</v>
      </c>
      <c r="D823">
        <v>280</v>
      </c>
    </row>
    <row r="824" spans="1:4" x14ac:dyDescent="0.55000000000000004">
      <c r="A824" s="6">
        <v>6.8830756411811174E+18</v>
      </c>
      <c r="B824">
        <v>589</v>
      </c>
      <c r="C824">
        <v>1</v>
      </c>
      <c r="D824">
        <v>1365</v>
      </c>
    </row>
    <row r="825" spans="1:4" x14ac:dyDescent="0.55000000000000004">
      <c r="A825" s="6">
        <v>6.88461090437325E+18</v>
      </c>
      <c r="B825">
        <v>365</v>
      </c>
      <c r="C825">
        <v>1</v>
      </c>
      <c r="D825">
        <v>3000</v>
      </c>
    </row>
    <row r="826" spans="1:4" x14ac:dyDescent="0.55000000000000004">
      <c r="A826" s="6">
        <v>6.8994182060755128E+18</v>
      </c>
      <c r="B826">
        <v>798</v>
      </c>
      <c r="C826">
        <v>1</v>
      </c>
      <c r="D826">
        <v>29</v>
      </c>
    </row>
    <row r="827" spans="1:4" x14ac:dyDescent="0.55000000000000004">
      <c r="A827" s="6">
        <v>6.9030815266361641E+18</v>
      </c>
      <c r="B827">
        <v>416</v>
      </c>
      <c r="C827">
        <v>1</v>
      </c>
      <c r="D827">
        <v>1806</v>
      </c>
    </row>
    <row r="828" spans="1:4" x14ac:dyDescent="0.55000000000000004">
      <c r="A828" s="6">
        <v>6.908084459337769E+18</v>
      </c>
      <c r="B828">
        <v>608</v>
      </c>
      <c r="C828">
        <v>1</v>
      </c>
      <c r="D828">
        <v>597</v>
      </c>
    </row>
    <row r="829" spans="1:4" x14ac:dyDescent="0.55000000000000004">
      <c r="A829" s="6">
        <v>6.9166335837545892E+18</v>
      </c>
      <c r="B829">
        <v>442</v>
      </c>
      <c r="C829">
        <v>2</v>
      </c>
      <c r="D829">
        <v>407</v>
      </c>
    </row>
    <row r="830" spans="1:4" x14ac:dyDescent="0.55000000000000004">
      <c r="A830" s="6">
        <v>6.9191498533146655E+18</v>
      </c>
      <c r="B830">
        <v>212</v>
      </c>
      <c r="C830">
        <v>3</v>
      </c>
      <c r="D830">
        <v>2347</v>
      </c>
    </row>
    <row r="831" spans="1:4" x14ac:dyDescent="0.55000000000000004">
      <c r="A831" s="6">
        <v>6.9275631099077755E+18</v>
      </c>
      <c r="B831">
        <v>82</v>
      </c>
      <c r="C831">
        <v>2</v>
      </c>
      <c r="D831">
        <v>1056</v>
      </c>
    </row>
    <row r="832" spans="1:4" x14ac:dyDescent="0.55000000000000004">
      <c r="A832" s="6">
        <v>6.9420773313375857E+18</v>
      </c>
      <c r="B832">
        <v>565</v>
      </c>
      <c r="C832">
        <v>1</v>
      </c>
      <c r="D832">
        <v>1288</v>
      </c>
    </row>
    <row r="833" spans="1:4" x14ac:dyDescent="0.55000000000000004">
      <c r="A833" s="6">
        <v>6.952102393137282E+18</v>
      </c>
      <c r="B833">
        <v>869</v>
      </c>
      <c r="C833">
        <v>1</v>
      </c>
      <c r="D833">
        <v>5880</v>
      </c>
    </row>
    <row r="834" spans="1:4" x14ac:dyDescent="0.55000000000000004">
      <c r="A834" s="6">
        <v>6.9649657700650465E+18</v>
      </c>
      <c r="B834">
        <v>1</v>
      </c>
      <c r="C834">
        <v>1</v>
      </c>
      <c r="D834">
        <v>8810</v>
      </c>
    </row>
    <row r="835" spans="1:4" x14ac:dyDescent="0.55000000000000004">
      <c r="A835" s="6">
        <v>6.975653972301268E+18</v>
      </c>
      <c r="B835">
        <v>527</v>
      </c>
      <c r="C835">
        <v>1</v>
      </c>
      <c r="D835">
        <v>3660</v>
      </c>
    </row>
    <row r="836" spans="1:4" x14ac:dyDescent="0.55000000000000004">
      <c r="A836" s="6">
        <v>7.0152092503222774E+18</v>
      </c>
      <c r="B836">
        <v>10</v>
      </c>
      <c r="C836">
        <v>1</v>
      </c>
      <c r="D836">
        <v>1404</v>
      </c>
    </row>
    <row r="837" spans="1:4" x14ac:dyDescent="0.55000000000000004">
      <c r="A837" s="6">
        <v>7.044253150601986E+18</v>
      </c>
      <c r="B837">
        <v>1356</v>
      </c>
      <c r="C837">
        <v>1</v>
      </c>
      <c r="D837">
        <v>4840</v>
      </c>
    </row>
    <row r="838" spans="1:4" x14ac:dyDescent="0.55000000000000004">
      <c r="A838" s="6">
        <v>7.078790832576682E+18</v>
      </c>
      <c r="B838">
        <v>32</v>
      </c>
      <c r="C838">
        <v>3</v>
      </c>
      <c r="D838">
        <v>1458</v>
      </c>
    </row>
    <row r="839" spans="1:4" x14ac:dyDescent="0.55000000000000004">
      <c r="A839" s="6">
        <v>7.0951104832175278E+18</v>
      </c>
      <c r="B839">
        <v>314</v>
      </c>
      <c r="C839">
        <v>1</v>
      </c>
      <c r="D839">
        <v>2720</v>
      </c>
    </row>
    <row r="840" spans="1:4" x14ac:dyDescent="0.55000000000000004">
      <c r="A840" s="6">
        <v>7.0952950250837617E+18</v>
      </c>
      <c r="B840">
        <v>702</v>
      </c>
      <c r="C840">
        <v>2</v>
      </c>
      <c r="D840">
        <v>1278</v>
      </c>
    </row>
    <row r="841" spans="1:4" x14ac:dyDescent="0.55000000000000004">
      <c r="A841" s="6">
        <v>7.0956688496924426E+18</v>
      </c>
      <c r="B841">
        <v>132</v>
      </c>
      <c r="C841">
        <v>1</v>
      </c>
      <c r="D841">
        <v>1106</v>
      </c>
    </row>
    <row r="842" spans="1:4" x14ac:dyDescent="0.55000000000000004">
      <c r="A842" s="6">
        <v>7.1070444737870602E+18</v>
      </c>
      <c r="B842">
        <v>424</v>
      </c>
      <c r="C842">
        <v>1</v>
      </c>
      <c r="D842">
        <v>4457</v>
      </c>
    </row>
    <row r="843" spans="1:4" x14ac:dyDescent="0.55000000000000004">
      <c r="A843" s="6">
        <v>7.1089337054576466E+18</v>
      </c>
      <c r="B843">
        <v>1164</v>
      </c>
      <c r="C843">
        <v>1</v>
      </c>
      <c r="D843">
        <v>914</v>
      </c>
    </row>
    <row r="844" spans="1:4" x14ac:dyDescent="0.55000000000000004">
      <c r="A844" s="6">
        <v>7.1104790862038682E+18</v>
      </c>
      <c r="B844">
        <v>120</v>
      </c>
      <c r="C844">
        <v>1</v>
      </c>
      <c r="D844">
        <v>18200</v>
      </c>
    </row>
    <row r="845" spans="1:4" x14ac:dyDescent="0.55000000000000004">
      <c r="A845" s="6">
        <v>7.136613630905943E+18</v>
      </c>
      <c r="B845">
        <v>240</v>
      </c>
      <c r="C845">
        <v>3</v>
      </c>
      <c r="D845">
        <v>2002</v>
      </c>
    </row>
    <row r="846" spans="1:4" x14ac:dyDescent="0.55000000000000004">
      <c r="A846" s="6">
        <v>7.147156795242794E+18</v>
      </c>
      <c r="B846">
        <v>136</v>
      </c>
      <c r="C846">
        <v>2</v>
      </c>
      <c r="D846">
        <v>586</v>
      </c>
    </row>
    <row r="847" spans="1:4" x14ac:dyDescent="0.55000000000000004">
      <c r="A847" s="6">
        <v>7.1585107620074312E+18</v>
      </c>
      <c r="B847">
        <v>564</v>
      </c>
      <c r="C847">
        <v>3</v>
      </c>
      <c r="D847">
        <v>2857</v>
      </c>
    </row>
    <row r="848" spans="1:4" x14ac:dyDescent="0.55000000000000004">
      <c r="A848" s="6">
        <v>7.1727134401660109E+18</v>
      </c>
      <c r="B848">
        <v>1115</v>
      </c>
      <c r="C848">
        <v>2</v>
      </c>
      <c r="D848">
        <v>722</v>
      </c>
    </row>
    <row r="849" spans="1:4" x14ac:dyDescent="0.55000000000000004">
      <c r="A849" s="6">
        <v>7.1766019372537836E+18</v>
      </c>
      <c r="B849">
        <v>110</v>
      </c>
      <c r="C849">
        <v>1</v>
      </c>
      <c r="D849">
        <v>115</v>
      </c>
    </row>
    <row r="850" spans="1:4" x14ac:dyDescent="0.55000000000000004">
      <c r="A850" s="6">
        <v>7.1772537848913644E+18</v>
      </c>
      <c r="B850">
        <v>472</v>
      </c>
      <c r="C850">
        <v>1</v>
      </c>
      <c r="D850">
        <v>5820</v>
      </c>
    </row>
    <row r="851" spans="1:4" x14ac:dyDescent="0.55000000000000004">
      <c r="A851" s="6">
        <v>7.1818682123350518E+18</v>
      </c>
      <c r="B851">
        <v>168</v>
      </c>
      <c r="C851">
        <v>3</v>
      </c>
      <c r="D851">
        <v>2662</v>
      </c>
    </row>
    <row r="852" spans="1:4" x14ac:dyDescent="0.55000000000000004">
      <c r="A852" s="6">
        <v>7.1895242910988739E+18</v>
      </c>
      <c r="B852">
        <v>438</v>
      </c>
      <c r="C852">
        <v>1</v>
      </c>
      <c r="D852">
        <v>690</v>
      </c>
    </row>
    <row r="853" spans="1:4" x14ac:dyDescent="0.55000000000000004">
      <c r="A853" s="6">
        <v>7.2000367338064968E+18</v>
      </c>
      <c r="B853">
        <v>1125</v>
      </c>
      <c r="C853">
        <v>1</v>
      </c>
      <c r="D853">
        <v>495</v>
      </c>
    </row>
    <row r="854" spans="1:4" x14ac:dyDescent="0.55000000000000004">
      <c r="A854" s="6">
        <v>7.2076794550135798E+18</v>
      </c>
      <c r="B854">
        <v>1008</v>
      </c>
      <c r="C854">
        <v>1</v>
      </c>
      <c r="D854">
        <v>156</v>
      </c>
    </row>
    <row r="855" spans="1:4" x14ac:dyDescent="0.55000000000000004">
      <c r="A855" s="6">
        <v>7.2164494924781394E+18</v>
      </c>
      <c r="B855">
        <v>616</v>
      </c>
      <c r="C855">
        <v>1</v>
      </c>
      <c r="D855">
        <v>1250</v>
      </c>
    </row>
    <row r="856" spans="1:4" x14ac:dyDescent="0.55000000000000004">
      <c r="A856" s="6">
        <v>7.2351100005471386E+18</v>
      </c>
      <c r="B856">
        <v>1148</v>
      </c>
      <c r="C856">
        <v>1</v>
      </c>
      <c r="D856">
        <v>309</v>
      </c>
    </row>
    <row r="857" spans="1:4" x14ac:dyDescent="0.55000000000000004">
      <c r="A857" s="6">
        <v>7.2450631337090017E+18</v>
      </c>
      <c r="B857">
        <v>254</v>
      </c>
      <c r="C857">
        <v>2</v>
      </c>
      <c r="D857">
        <v>3631</v>
      </c>
    </row>
    <row r="858" spans="1:4" x14ac:dyDescent="0.55000000000000004">
      <c r="A858" s="6">
        <v>7.2497447867208612E+18</v>
      </c>
      <c r="B858">
        <v>91</v>
      </c>
      <c r="C858">
        <v>2</v>
      </c>
      <c r="D858">
        <v>1071</v>
      </c>
    </row>
    <row r="859" spans="1:4" x14ac:dyDescent="0.55000000000000004">
      <c r="A859" s="6">
        <v>7.2637407886487521E+18</v>
      </c>
      <c r="B859">
        <v>844</v>
      </c>
      <c r="C859">
        <v>1</v>
      </c>
      <c r="D859">
        <v>597</v>
      </c>
    </row>
    <row r="860" spans="1:4" x14ac:dyDescent="0.55000000000000004">
      <c r="A860" s="6">
        <v>7.2685606215086868E+18</v>
      </c>
      <c r="B860">
        <v>298</v>
      </c>
      <c r="C860">
        <v>5</v>
      </c>
      <c r="D860">
        <v>7692</v>
      </c>
    </row>
    <row r="861" spans="1:4" x14ac:dyDescent="0.55000000000000004">
      <c r="A861" s="6">
        <v>7.2717939104775229E+18</v>
      </c>
      <c r="B861">
        <v>475</v>
      </c>
      <c r="C861">
        <v>1</v>
      </c>
      <c r="D861">
        <v>2708</v>
      </c>
    </row>
    <row r="862" spans="1:4" x14ac:dyDescent="0.55000000000000004">
      <c r="A862" s="6">
        <v>7.2752396177443717E+18</v>
      </c>
      <c r="B862">
        <v>504</v>
      </c>
      <c r="C862">
        <v>1</v>
      </c>
      <c r="D862">
        <v>239</v>
      </c>
    </row>
    <row r="863" spans="1:4" x14ac:dyDescent="0.55000000000000004">
      <c r="A863" s="6">
        <v>7.2754115897695867E+18</v>
      </c>
      <c r="B863">
        <v>1201</v>
      </c>
      <c r="C863">
        <v>1</v>
      </c>
      <c r="D863">
        <v>316</v>
      </c>
    </row>
    <row r="864" spans="1:4" x14ac:dyDescent="0.55000000000000004">
      <c r="A864" s="6">
        <v>7.2768294671938744E+18</v>
      </c>
      <c r="B864">
        <v>23</v>
      </c>
      <c r="C864">
        <v>1</v>
      </c>
      <c r="D864">
        <v>1260</v>
      </c>
    </row>
    <row r="865" spans="1:4" x14ac:dyDescent="0.55000000000000004">
      <c r="A865" s="6">
        <v>7.3044169029944924E+18</v>
      </c>
      <c r="B865">
        <v>1257</v>
      </c>
      <c r="C865">
        <v>1</v>
      </c>
      <c r="D865">
        <v>178</v>
      </c>
    </row>
    <row r="866" spans="1:4" x14ac:dyDescent="0.55000000000000004">
      <c r="A866" s="6">
        <v>7.3046268671747768E+18</v>
      </c>
      <c r="B866">
        <v>763</v>
      </c>
      <c r="C866">
        <v>1</v>
      </c>
      <c r="D866">
        <v>1140</v>
      </c>
    </row>
    <row r="867" spans="1:4" x14ac:dyDescent="0.55000000000000004">
      <c r="A867" s="6">
        <v>7.30518996156783E+18</v>
      </c>
      <c r="B867">
        <v>627</v>
      </c>
      <c r="C867">
        <v>2</v>
      </c>
      <c r="D867">
        <v>4091</v>
      </c>
    </row>
    <row r="868" spans="1:4" x14ac:dyDescent="0.55000000000000004">
      <c r="A868" s="6">
        <v>7.3300644431566162E+18</v>
      </c>
      <c r="B868">
        <v>577</v>
      </c>
      <c r="C868">
        <v>1</v>
      </c>
      <c r="D868">
        <v>379</v>
      </c>
    </row>
    <row r="869" spans="1:4" x14ac:dyDescent="0.55000000000000004">
      <c r="A869" s="6">
        <v>7.3495204148405125E+18</v>
      </c>
      <c r="B869">
        <v>572</v>
      </c>
      <c r="C869">
        <v>2</v>
      </c>
      <c r="D869">
        <v>476</v>
      </c>
    </row>
    <row r="870" spans="1:4" x14ac:dyDescent="0.55000000000000004">
      <c r="A870" s="6">
        <v>7.3761653183158497E+18</v>
      </c>
      <c r="B870">
        <v>201</v>
      </c>
      <c r="C870">
        <v>1</v>
      </c>
      <c r="D870">
        <v>363</v>
      </c>
    </row>
    <row r="871" spans="1:4" x14ac:dyDescent="0.55000000000000004">
      <c r="A871" s="6">
        <v>7.3827463218525409E+18</v>
      </c>
      <c r="B871">
        <v>202</v>
      </c>
      <c r="C871">
        <v>1</v>
      </c>
      <c r="D871">
        <v>4300</v>
      </c>
    </row>
    <row r="872" spans="1:4" x14ac:dyDescent="0.55000000000000004">
      <c r="A872" s="6">
        <v>7.3910230911994184E+18</v>
      </c>
      <c r="B872">
        <v>231</v>
      </c>
      <c r="C872">
        <v>2</v>
      </c>
      <c r="D872">
        <v>1111</v>
      </c>
    </row>
    <row r="873" spans="1:4" x14ac:dyDescent="0.55000000000000004">
      <c r="A873" s="6">
        <v>7.4140334679101583E+18</v>
      </c>
      <c r="B873">
        <v>301</v>
      </c>
      <c r="C873">
        <v>2</v>
      </c>
      <c r="D873">
        <v>1948</v>
      </c>
    </row>
    <row r="874" spans="1:4" x14ac:dyDescent="0.55000000000000004">
      <c r="A874" s="6">
        <v>7.4412097813958564E+18</v>
      </c>
      <c r="B874">
        <v>88</v>
      </c>
      <c r="C874">
        <v>1</v>
      </c>
      <c r="D874">
        <v>177</v>
      </c>
    </row>
    <row r="875" spans="1:4" x14ac:dyDescent="0.55000000000000004">
      <c r="A875" s="6">
        <v>7.4503376825986447E+18</v>
      </c>
      <c r="B875">
        <v>981</v>
      </c>
      <c r="C875">
        <v>2</v>
      </c>
      <c r="D875">
        <v>1125</v>
      </c>
    </row>
    <row r="876" spans="1:4" x14ac:dyDescent="0.55000000000000004">
      <c r="A876" s="6">
        <v>7.4657880540474552E+18</v>
      </c>
      <c r="B876">
        <v>106</v>
      </c>
      <c r="C876">
        <v>1</v>
      </c>
      <c r="D876">
        <v>1114</v>
      </c>
    </row>
    <row r="877" spans="1:4" x14ac:dyDescent="0.55000000000000004">
      <c r="A877" s="6">
        <v>7.4798904250766193E+18</v>
      </c>
      <c r="B877">
        <v>46</v>
      </c>
      <c r="C877">
        <v>1</v>
      </c>
      <c r="D877">
        <v>360</v>
      </c>
    </row>
    <row r="878" spans="1:4" x14ac:dyDescent="0.55000000000000004">
      <c r="A878" s="6">
        <v>7.4929015261092721E+18</v>
      </c>
      <c r="B878">
        <v>119</v>
      </c>
      <c r="C878">
        <v>1</v>
      </c>
      <c r="D878">
        <v>255</v>
      </c>
    </row>
    <row r="879" spans="1:4" x14ac:dyDescent="0.55000000000000004">
      <c r="A879" s="6">
        <v>7.5173770377600195E+18</v>
      </c>
      <c r="B879">
        <v>1262</v>
      </c>
      <c r="C879">
        <v>1</v>
      </c>
      <c r="D879">
        <v>1022</v>
      </c>
    </row>
    <row r="880" spans="1:4" x14ac:dyDescent="0.55000000000000004">
      <c r="A880" s="6">
        <v>7.5196572512331551E+18</v>
      </c>
      <c r="B880">
        <v>812</v>
      </c>
      <c r="C880">
        <v>1</v>
      </c>
      <c r="D880">
        <v>701</v>
      </c>
    </row>
    <row r="881" spans="1:4" x14ac:dyDescent="0.55000000000000004">
      <c r="A881" s="6">
        <v>7.5205544625974272E+18</v>
      </c>
      <c r="B881">
        <v>332</v>
      </c>
      <c r="C881">
        <v>1</v>
      </c>
      <c r="D881">
        <v>597</v>
      </c>
    </row>
    <row r="882" spans="1:4" x14ac:dyDescent="0.55000000000000004">
      <c r="A882" s="6">
        <v>7.5261506837205473E+18</v>
      </c>
      <c r="B882">
        <v>508</v>
      </c>
      <c r="C882">
        <v>1</v>
      </c>
      <c r="D882">
        <v>4470</v>
      </c>
    </row>
    <row r="883" spans="1:4" x14ac:dyDescent="0.55000000000000004">
      <c r="A883" s="6">
        <v>7.5299440716685742E+18</v>
      </c>
      <c r="B883">
        <v>817</v>
      </c>
      <c r="C883">
        <v>1</v>
      </c>
      <c r="D883">
        <v>2450</v>
      </c>
    </row>
    <row r="884" spans="1:4" x14ac:dyDescent="0.55000000000000004">
      <c r="A884" s="6">
        <v>7.530252964857858E+18</v>
      </c>
      <c r="B884">
        <v>128</v>
      </c>
      <c r="C884">
        <v>2</v>
      </c>
      <c r="D884">
        <v>4505</v>
      </c>
    </row>
    <row r="885" spans="1:4" x14ac:dyDescent="0.55000000000000004">
      <c r="A885" s="6">
        <v>7.5308154489521398E+18</v>
      </c>
      <c r="B885">
        <v>335</v>
      </c>
      <c r="C885">
        <v>1</v>
      </c>
      <c r="D885">
        <v>487</v>
      </c>
    </row>
    <row r="886" spans="1:4" x14ac:dyDescent="0.55000000000000004">
      <c r="A886" s="6">
        <v>7.5454109960868352E+18</v>
      </c>
      <c r="B886">
        <v>2</v>
      </c>
      <c r="C886">
        <v>1</v>
      </c>
      <c r="D886">
        <v>1590</v>
      </c>
    </row>
    <row r="887" spans="1:4" x14ac:dyDescent="0.55000000000000004">
      <c r="A887" s="6">
        <v>7.5613128868329021E+18</v>
      </c>
      <c r="B887">
        <v>91</v>
      </c>
      <c r="C887">
        <v>1</v>
      </c>
      <c r="D887">
        <v>1214</v>
      </c>
    </row>
    <row r="888" spans="1:4" x14ac:dyDescent="0.55000000000000004">
      <c r="A888" s="6">
        <v>7.5659730072132506E+18</v>
      </c>
      <c r="B888">
        <v>86</v>
      </c>
      <c r="C888">
        <v>1</v>
      </c>
      <c r="D888">
        <v>897</v>
      </c>
    </row>
    <row r="889" spans="1:4" x14ac:dyDescent="0.55000000000000004">
      <c r="A889" s="6">
        <v>7.5811886889476536E+18</v>
      </c>
      <c r="B889">
        <v>390</v>
      </c>
      <c r="C889">
        <v>1</v>
      </c>
      <c r="D889">
        <v>473</v>
      </c>
    </row>
    <row r="890" spans="1:4" x14ac:dyDescent="0.55000000000000004">
      <c r="A890" s="6">
        <v>7.5917125380343245E+18</v>
      </c>
      <c r="B890">
        <v>229</v>
      </c>
      <c r="C890">
        <v>2</v>
      </c>
      <c r="D890">
        <v>12667</v>
      </c>
    </row>
    <row r="891" spans="1:4" x14ac:dyDescent="0.55000000000000004">
      <c r="A891" s="6">
        <v>7.5940743852725688E+18</v>
      </c>
      <c r="B891">
        <v>244</v>
      </c>
      <c r="C891">
        <v>1</v>
      </c>
      <c r="D891">
        <v>299</v>
      </c>
    </row>
    <row r="892" spans="1:4" x14ac:dyDescent="0.55000000000000004">
      <c r="A892" s="6">
        <v>7.6012316943242404E+18</v>
      </c>
      <c r="B892">
        <v>479</v>
      </c>
      <c r="C892">
        <v>1</v>
      </c>
      <c r="D892">
        <v>289</v>
      </c>
    </row>
    <row r="893" spans="1:4" x14ac:dyDescent="0.55000000000000004">
      <c r="A893" s="6">
        <v>7.6017591493459118E+18</v>
      </c>
      <c r="B893">
        <v>62</v>
      </c>
      <c r="C893">
        <v>2</v>
      </c>
      <c r="D893">
        <v>767</v>
      </c>
    </row>
    <row r="894" spans="1:4" x14ac:dyDescent="0.55000000000000004">
      <c r="A894" s="6">
        <v>7.6031945168167496E+18</v>
      </c>
      <c r="B894">
        <v>29</v>
      </c>
      <c r="C894">
        <v>1</v>
      </c>
      <c r="D894">
        <v>519</v>
      </c>
    </row>
    <row r="895" spans="1:4" x14ac:dyDescent="0.55000000000000004">
      <c r="A895" s="6">
        <v>7.6043741143239148E+18</v>
      </c>
      <c r="B895">
        <v>773</v>
      </c>
      <c r="C895">
        <v>1</v>
      </c>
      <c r="D895">
        <v>711</v>
      </c>
    </row>
    <row r="896" spans="1:4" x14ac:dyDescent="0.55000000000000004">
      <c r="A896" s="6">
        <v>7.6067031389727324E+18</v>
      </c>
      <c r="B896">
        <v>47</v>
      </c>
      <c r="C896">
        <v>2</v>
      </c>
      <c r="D896">
        <v>4266</v>
      </c>
    </row>
    <row r="897" spans="1:4" x14ac:dyDescent="0.55000000000000004">
      <c r="A897" s="6">
        <v>7.6079480927465441E+18</v>
      </c>
      <c r="B897">
        <v>948</v>
      </c>
      <c r="C897">
        <v>3</v>
      </c>
      <c r="D897">
        <v>857</v>
      </c>
    </row>
    <row r="898" spans="1:4" x14ac:dyDescent="0.55000000000000004">
      <c r="A898" s="6">
        <v>7.623556224936533E+18</v>
      </c>
      <c r="B898">
        <v>543</v>
      </c>
      <c r="C898">
        <v>1</v>
      </c>
      <c r="D898">
        <v>242</v>
      </c>
    </row>
    <row r="899" spans="1:4" x14ac:dyDescent="0.55000000000000004">
      <c r="A899" s="6">
        <v>7.6447940778799524E+18</v>
      </c>
      <c r="B899">
        <v>553</v>
      </c>
      <c r="C899">
        <v>1</v>
      </c>
      <c r="D899">
        <v>0</v>
      </c>
    </row>
    <row r="900" spans="1:4" x14ac:dyDescent="0.55000000000000004">
      <c r="A900" s="6">
        <v>7.6501057150357299E+18</v>
      </c>
      <c r="B900">
        <v>110</v>
      </c>
      <c r="C900">
        <v>3</v>
      </c>
      <c r="D900">
        <v>3999</v>
      </c>
    </row>
    <row r="901" spans="1:4" x14ac:dyDescent="0.55000000000000004">
      <c r="A901" s="6">
        <v>7.6836926941930506E+18</v>
      </c>
      <c r="B901">
        <v>533</v>
      </c>
      <c r="C901">
        <v>1</v>
      </c>
      <c r="D901">
        <v>1625</v>
      </c>
    </row>
    <row r="902" spans="1:4" x14ac:dyDescent="0.55000000000000004">
      <c r="A902" s="6">
        <v>7.7073247974372588E+18</v>
      </c>
      <c r="B902">
        <v>1391</v>
      </c>
      <c r="C902">
        <v>1</v>
      </c>
      <c r="D902">
        <v>4686</v>
      </c>
    </row>
    <row r="903" spans="1:4" x14ac:dyDescent="0.55000000000000004">
      <c r="A903" s="6">
        <v>7.7153040180102728E+18</v>
      </c>
      <c r="B903">
        <v>352</v>
      </c>
      <c r="C903">
        <v>1</v>
      </c>
      <c r="D903">
        <v>290</v>
      </c>
    </row>
    <row r="904" spans="1:4" x14ac:dyDescent="0.55000000000000004">
      <c r="A904" s="6">
        <v>7.7337721717866086E+18</v>
      </c>
      <c r="B904">
        <v>34</v>
      </c>
      <c r="C904">
        <v>2</v>
      </c>
      <c r="D904">
        <v>2580</v>
      </c>
    </row>
    <row r="905" spans="1:4" x14ac:dyDescent="0.55000000000000004">
      <c r="A905" s="6">
        <v>7.75064530770462E+18</v>
      </c>
      <c r="B905">
        <v>222</v>
      </c>
      <c r="C905">
        <v>1</v>
      </c>
      <c r="D905">
        <v>349</v>
      </c>
    </row>
    <row r="906" spans="1:4" x14ac:dyDescent="0.55000000000000004">
      <c r="A906" s="6">
        <v>7.7537419316894781E+18</v>
      </c>
      <c r="B906">
        <v>16</v>
      </c>
      <c r="C906">
        <v>1</v>
      </c>
      <c r="D906">
        <v>796</v>
      </c>
    </row>
    <row r="907" spans="1:4" x14ac:dyDescent="0.55000000000000004">
      <c r="A907" s="6">
        <v>7.7611629578833347E+18</v>
      </c>
      <c r="B907">
        <v>3</v>
      </c>
      <c r="C907">
        <v>1</v>
      </c>
      <c r="D907">
        <v>563</v>
      </c>
    </row>
    <row r="908" spans="1:4" x14ac:dyDescent="0.55000000000000004">
      <c r="A908" s="6">
        <v>7.7811236904721183E+18</v>
      </c>
      <c r="B908">
        <v>776</v>
      </c>
      <c r="C908">
        <v>1</v>
      </c>
      <c r="D908">
        <v>1847</v>
      </c>
    </row>
    <row r="909" spans="1:4" x14ac:dyDescent="0.55000000000000004">
      <c r="A909" s="6">
        <v>7.7811365990850867E+18</v>
      </c>
      <c r="B909">
        <v>263</v>
      </c>
      <c r="C909">
        <v>2</v>
      </c>
      <c r="D909">
        <v>787</v>
      </c>
    </row>
    <row r="910" spans="1:4" x14ac:dyDescent="0.55000000000000004">
      <c r="A910" s="6">
        <v>7.7831631543123999E+18</v>
      </c>
      <c r="B910">
        <v>1401</v>
      </c>
      <c r="C910">
        <v>1</v>
      </c>
      <c r="D910">
        <v>362</v>
      </c>
    </row>
    <row r="911" spans="1:4" x14ac:dyDescent="0.55000000000000004">
      <c r="A911" s="6">
        <v>7.7927665970016543E+18</v>
      </c>
      <c r="B911">
        <v>545</v>
      </c>
      <c r="C911">
        <v>1</v>
      </c>
      <c r="D911">
        <v>597</v>
      </c>
    </row>
    <row r="912" spans="1:4" x14ac:dyDescent="0.55000000000000004">
      <c r="A912" s="6">
        <v>7.8378446372614328E+18</v>
      </c>
      <c r="B912">
        <v>1196</v>
      </c>
      <c r="C912">
        <v>1</v>
      </c>
      <c r="D912">
        <v>53</v>
      </c>
    </row>
    <row r="913" spans="1:4" x14ac:dyDescent="0.55000000000000004">
      <c r="A913" s="6">
        <v>7.8456795297527828E+18</v>
      </c>
      <c r="B913">
        <v>726</v>
      </c>
      <c r="C913">
        <v>1</v>
      </c>
      <c r="D913">
        <v>276</v>
      </c>
    </row>
    <row r="914" spans="1:4" x14ac:dyDescent="0.55000000000000004">
      <c r="A914" s="6">
        <v>7.8543839468531302E+18</v>
      </c>
      <c r="B914">
        <v>1091</v>
      </c>
      <c r="C914">
        <v>1</v>
      </c>
      <c r="D914">
        <v>3596</v>
      </c>
    </row>
    <row r="915" spans="1:4" x14ac:dyDescent="0.55000000000000004">
      <c r="A915" s="6">
        <v>7.8606803589434409E+18</v>
      </c>
      <c r="B915">
        <v>346</v>
      </c>
      <c r="C915">
        <v>1</v>
      </c>
      <c r="D915">
        <v>1660</v>
      </c>
    </row>
    <row r="916" spans="1:4" x14ac:dyDescent="0.55000000000000004">
      <c r="A916" s="6">
        <v>7.8708096775665695E+18</v>
      </c>
      <c r="B916">
        <v>655</v>
      </c>
      <c r="C916">
        <v>1</v>
      </c>
      <c r="D916">
        <v>965</v>
      </c>
    </row>
    <row r="917" spans="1:4" x14ac:dyDescent="0.55000000000000004">
      <c r="A917" s="6">
        <v>7.8829897884774124E+18</v>
      </c>
      <c r="B917">
        <v>508</v>
      </c>
      <c r="C917">
        <v>1</v>
      </c>
      <c r="D917">
        <v>1543</v>
      </c>
    </row>
    <row r="918" spans="1:4" x14ac:dyDescent="0.55000000000000004">
      <c r="A918" s="6">
        <v>7.8934903852824699E+18</v>
      </c>
      <c r="B918">
        <v>653</v>
      </c>
      <c r="C918">
        <v>1</v>
      </c>
      <c r="D918">
        <v>85</v>
      </c>
    </row>
    <row r="919" spans="1:4" x14ac:dyDescent="0.55000000000000004">
      <c r="A919" s="6">
        <v>7.9106735790695045E+18</v>
      </c>
      <c r="B919">
        <v>1185</v>
      </c>
      <c r="C919">
        <v>1</v>
      </c>
      <c r="D919">
        <v>199</v>
      </c>
    </row>
    <row r="920" spans="1:4" x14ac:dyDescent="0.55000000000000004">
      <c r="A920" s="6">
        <v>7.9157190197164687E+18</v>
      </c>
      <c r="B920">
        <v>1141</v>
      </c>
      <c r="C920">
        <v>1</v>
      </c>
      <c r="D920">
        <v>126</v>
      </c>
    </row>
    <row r="921" spans="1:4" x14ac:dyDescent="0.55000000000000004">
      <c r="A921" s="6">
        <v>7.9294584105126963E+18</v>
      </c>
      <c r="B921">
        <v>409</v>
      </c>
      <c r="C921">
        <v>2</v>
      </c>
      <c r="D921">
        <v>2839</v>
      </c>
    </row>
    <row r="922" spans="1:4" x14ac:dyDescent="0.55000000000000004">
      <c r="A922" s="6">
        <v>7.9305751184416246E+18</v>
      </c>
      <c r="B922">
        <v>996</v>
      </c>
      <c r="C922">
        <v>1</v>
      </c>
      <c r="D922">
        <v>7791</v>
      </c>
    </row>
    <row r="923" spans="1:4" x14ac:dyDescent="0.55000000000000004">
      <c r="A923" s="6">
        <v>7.9385571810270147E+18</v>
      </c>
      <c r="B923">
        <v>102</v>
      </c>
      <c r="C923">
        <v>1</v>
      </c>
      <c r="D923">
        <v>1482</v>
      </c>
    </row>
    <row r="924" spans="1:4" x14ac:dyDescent="0.55000000000000004">
      <c r="A924" s="6">
        <v>7.9386051659455212E+18</v>
      </c>
      <c r="B924">
        <v>21</v>
      </c>
      <c r="C924">
        <v>3</v>
      </c>
      <c r="D924">
        <v>3680</v>
      </c>
    </row>
    <row r="925" spans="1:4" x14ac:dyDescent="0.55000000000000004">
      <c r="A925" s="6">
        <v>7.9496410067358515E+18</v>
      </c>
      <c r="B925">
        <v>178</v>
      </c>
      <c r="C925">
        <v>1</v>
      </c>
      <c r="D925">
        <v>1743</v>
      </c>
    </row>
    <row r="926" spans="1:4" x14ac:dyDescent="0.55000000000000004">
      <c r="A926" s="6">
        <v>7.9604283635286159E+18</v>
      </c>
      <c r="B926">
        <v>104</v>
      </c>
      <c r="C926">
        <v>3</v>
      </c>
      <c r="D926">
        <v>1202</v>
      </c>
    </row>
    <row r="927" spans="1:4" x14ac:dyDescent="0.55000000000000004">
      <c r="A927" s="6">
        <v>7.9630113413524603E+18</v>
      </c>
      <c r="B927">
        <v>741</v>
      </c>
      <c r="C927">
        <v>2</v>
      </c>
      <c r="D927">
        <v>4782</v>
      </c>
    </row>
    <row r="928" spans="1:4" x14ac:dyDescent="0.55000000000000004">
      <c r="A928" s="6">
        <v>7.9655924195363287E+18</v>
      </c>
      <c r="B928">
        <v>140</v>
      </c>
      <c r="C928">
        <v>2</v>
      </c>
      <c r="D928">
        <v>4580</v>
      </c>
    </row>
    <row r="929" spans="1:4" x14ac:dyDescent="0.55000000000000004">
      <c r="A929" s="6">
        <v>7.9836248139405363E+18</v>
      </c>
      <c r="B929">
        <v>6</v>
      </c>
      <c r="C929">
        <v>2</v>
      </c>
      <c r="D929">
        <v>1852</v>
      </c>
    </row>
    <row r="930" spans="1:4" x14ac:dyDescent="0.55000000000000004">
      <c r="A930" s="6">
        <v>7.9924859963053251E+18</v>
      </c>
      <c r="B930">
        <v>52</v>
      </c>
      <c r="C930">
        <v>1</v>
      </c>
      <c r="D930">
        <v>109</v>
      </c>
    </row>
    <row r="931" spans="1:4" x14ac:dyDescent="0.55000000000000004">
      <c r="A931" s="6">
        <v>8.001179516476544E+18</v>
      </c>
      <c r="B931">
        <v>1268</v>
      </c>
      <c r="C931">
        <v>1</v>
      </c>
      <c r="D931">
        <v>269</v>
      </c>
    </row>
    <row r="932" spans="1:4" x14ac:dyDescent="0.55000000000000004">
      <c r="A932" s="6">
        <v>8.0070065705883238E+18</v>
      </c>
      <c r="B932">
        <v>1078</v>
      </c>
      <c r="C932">
        <v>1</v>
      </c>
      <c r="D932">
        <v>288</v>
      </c>
    </row>
    <row r="933" spans="1:4" x14ac:dyDescent="0.55000000000000004">
      <c r="A933" s="6">
        <v>8.012821087019391E+18</v>
      </c>
      <c r="B933">
        <v>350</v>
      </c>
      <c r="C933">
        <v>2</v>
      </c>
      <c r="D933">
        <v>1726</v>
      </c>
    </row>
    <row r="934" spans="1:4" x14ac:dyDescent="0.55000000000000004">
      <c r="A934" s="6">
        <v>8.0129491002368553E+18</v>
      </c>
      <c r="B934">
        <v>1167</v>
      </c>
      <c r="C934">
        <v>1</v>
      </c>
      <c r="D934">
        <v>999</v>
      </c>
    </row>
    <row r="935" spans="1:4" x14ac:dyDescent="0.55000000000000004">
      <c r="A935" s="6">
        <v>8.0188609024188938E+18</v>
      </c>
      <c r="B935">
        <v>382</v>
      </c>
      <c r="C935">
        <v>1</v>
      </c>
      <c r="D935">
        <v>9165</v>
      </c>
    </row>
    <row r="936" spans="1:4" x14ac:dyDescent="0.55000000000000004">
      <c r="A936" s="6">
        <v>8.0284079268959212E+18</v>
      </c>
      <c r="B936">
        <v>1041</v>
      </c>
      <c r="C936">
        <v>1</v>
      </c>
      <c r="D936">
        <v>148</v>
      </c>
    </row>
    <row r="937" spans="1:4" x14ac:dyDescent="0.55000000000000004">
      <c r="A937" s="6">
        <v>8.0305918599695565E+18</v>
      </c>
      <c r="B937">
        <v>132</v>
      </c>
      <c r="C937">
        <v>2</v>
      </c>
      <c r="D937">
        <v>1708</v>
      </c>
    </row>
    <row r="938" spans="1:4" x14ac:dyDescent="0.55000000000000004">
      <c r="A938" s="6">
        <v>8.0382032923282616E+18</v>
      </c>
      <c r="B938">
        <v>855</v>
      </c>
      <c r="C938">
        <v>1</v>
      </c>
      <c r="D938">
        <v>1990</v>
      </c>
    </row>
    <row r="939" spans="1:4" x14ac:dyDescent="0.55000000000000004">
      <c r="A939" s="6">
        <v>8.0393233094696724E+18</v>
      </c>
      <c r="B939">
        <v>291</v>
      </c>
      <c r="C939">
        <v>1</v>
      </c>
      <c r="D939">
        <v>1793</v>
      </c>
    </row>
    <row r="940" spans="1:4" x14ac:dyDescent="0.55000000000000004">
      <c r="A940" s="6">
        <v>8.0400317019907297E+18</v>
      </c>
      <c r="B940">
        <v>55</v>
      </c>
      <c r="C940">
        <v>2</v>
      </c>
      <c r="D940">
        <v>4346</v>
      </c>
    </row>
    <row r="941" spans="1:4" x14ac:dyDescent="0.55000000000000004">
      <c r="A941" s="6">
        <v>8.0737938358047109E+18</v>
      </c>
      <c r="B941">
        <v>543</v>
      </c>
      <c r="C941">
        <v>2</v>
      </c>
      <c r="D941">
        <v>2940</v>
      </c>
    </row>
    <row r="942" spans="1:4" x14ac:dyDescent="0.55000000000000004">
      <c r="A942" s="6">
        <v>8.076829276577236E+18</v>
      </c>
      <c r="B942">
        <v>423</v>
      </c>
      <c r="C942">
        <v>1</v>
      </c>
      <c r="D942">
        <v>11060</v>
      </c>
    </row>
    <row r="943" spans="1:4" x14ac:dyDescent="0.55000000000000004">
      <c r="A943" s="6">
        <v>8.084749895325399E+18</v>
      </c>
      <c r="B943">
        <v>1258</v>
      </c>
      <c r="C943">
        <v>1</v>
      </c>
      <c r="D943">
        <v>1347</v>
      </c>
    </row>
    <row r="944" spans="1:4" x14ac:dyDescent="0.55000000000000004">
      <c r="A944" s="6">
        <v>8.1026168591445023E+18</v>
      </c>
      <c r="B944">
        <v>58</v>
      </c>
      <c r="C944">
        <v>3</v>
      </c>
      <c r="D944">
        <v>7306</v>
      </c>
    </row>
    <row r="945" spans="1:4" x14ac:dyDescent="0.55000000000000004">
      <c r="A945" s="6">
        <v>8.1358042860853842E+18</v>
      </c>
      <c r="B945">
        <v>511</v>
      </c>
      <c r="C945">
        <v>1</v>
      </c>
      <c r="D945">
        <v>1169</v>
      </c>
    </row>
    <row r="946" spans="1:4" x14ac:dyDescent="0.55000000000000004">
      <c r="A946" s="6">
        <v>8.1566095224349348E+18</v>
      </c>
      <c r="B946">
        <v>113</v>
      </c>
      <c r="C946">
        <v>2</v>
      </c>
      <c r="D946">
        <v>4709</v>
      </c>
    </row>
    <row r="947" spans="1:4" x14ac:dyDescent="0.55000000000000004">
      <c r="A947" s="6">
        <v>8.1668287347197952E+18</v>
      </c>
      <c r="B947">
        <v>449</v>
      </c>
      <c r="C947">
        <v>1</v>
      </c>
      <c r="D947">
        <v>199</v>
      </c>
    </row>
    <row r="948" spans="1:4" x14ac:dyDescent="0.55000000000000004">
      <c r="A948" s="6">
        <v>8.1715804350956923E+18</v>
      </c>
      <c r="B948">
        <v>407</v>
      </c>
      <c r="C948">
        <v>1</v>
      </c>
      <c r="D948">
        <v>2970</v>
      </c>
    </row>
    <row r="949" spans="1:4" x14ac:dyDescent="0.55000000000000004">
      <c r="A949" s="6">
        <v>8.1829330409292186E+18</v>
      </c>
      <c r="B949">
        <v>55</v>
      </c>
      <c r="C949">
        <v>1</v>
      </c>
      <c r="D949">
        <v>299</v>
      </c>
    </row>
    <row r="950" spans="1:4" x14ac:dyDescent="0.55000000000000004">
      <c r="A950" s="6">
        <v>8.1866868172181187E+18</v>
      </c>
      <c r="B950">
        <v>992</v>
      </c>
      <c r="C950">
        <v>2</v>
      </c>
      <c r="D950">
        <v>2543</v>
      </c>
    </row>
    <row r="951" spans="1:4" x14ac:dyDescent="0.55000000000000004">
      <c r="A951" s="6">
        <v>8.196912481423874E+18</v>
      </c>
      <c r="B951">
        <v>408</v>
      </c>
      <c r="C951">
        <v>2</v>
      </c>
      <c r="D951">
        <v>4820</v>
      </c>
    </row>
    <row r="952" spans="1:4" x14ac:dyDescent="0.55000000000000004">
      <c r="A952" s="6">
        <v>8.2150272856721132E+18</v>
      </c>
      <c r="B952">
        <v>470</v>
      </c>
      <c r="C952">
        <v>1</v>
      </c>
      <c r="D952">
        <v>1380</v>
      </c>
    </row>
    <row r="953" spans="1:4" x14ac:dyDescent="0.55000000000000004">
      <c r="A953" s="6">
        <v>8.2387452162546698E+18</v>
      </c>
      <c r="B953">
        <v>608</v>
      </c>
      <c r="C953">
        <v>1</v>
      </c>
      <c r="D953">
        <v>477</v>
      </c>
    </row>
    <row r="954" spans="1:4" x14ac:dyDescent="0.55000000000000004">
      <c r="A954" s="6">
        <v>8.2526436168957706E+18</v>
      </c>
      <c r="B954">
        <v>326</v>
      </c>
      <c r="C954">
        <v>1</v>
      </c>
      <c r="D954">
        <v>4183</v>
      </c>
    </row>
    <row r="955" spans="1:4" x14ac:dyDescent="0.55000000000000004">
      <c r="A955" s="6">
        <v>8.2552264909253601E+18</v>
      </c>
      <c r="B955">
        <v>182</v>
      </c>
      <c r="C955">
        <v>1</v>
      </c>
      <c r="D955">
        <v>624</v>
      </c>
    </row>
    <row r="956" spans="1:4" x14ac:dyDescent="0.55000000000000004">
      <c r="A956" s="6">
        <v>8.2607926074224865E+18</v>
      </c>
      <c r="B956">
        <v>16</v>
      </c>
      <c r="C956">
        <v>1</v>
      </c>
      <c r="D956">
        <v>1610</v>
      </c>
    </row>
    <row r="957" spans="1:4" x14ac:dyDescent="0.55000000000000004">
      <c r="A957" s="6">
        <v>8.2788082138379418E+18</v>
      </c>
      <c r="B957">
        <v>65</v>
      </c>
      <c r="C957">
        <v>4</v>
      </c>
      <c r="D957">
        <v>4464</v>
      </c>
    </row>
    <row r="958" spans="1:4" x14ac:dyDescent="0.55000000000000004">
      <c r="A958" s="6">
        <v>8.2940122123659622E+18</v>
      </c>
      <c r="B958">
        <v>569</v>
      </c>
      <c r="C958">
        <v>2</v>
      </c>
      <c r="D958">
        <v>9859</v>
      </c>
    </row>
    <row r="959" spans="1:4" x14ac:dyDescent="0.55000000000000004">
      <c r="A959" s="6">
        <v>8.2988321104194744E+18</v>
      </c>
      <c r="B959">
        <v>356</v>
      </c>
      <c r="C959">
        <v>2</v>
      </c>
      <c r="D959">
        <v>8693</v>
      </c>
    </row>
    <row r="960" spans="1:4" x14ac:dyDescent="0.55000000000000004">
      <c r="A960" s="6">
        <v>8.3047703636024269E+18</v>
      </c>
      <c r="B960">
        <v>79</v>
      </c>
      <c r="C960">
        <v>2</v>
      </c>
      <c r="D960">
        <v>724</v>
      </c>
    </row>
    <row r="961" spans="1:4" x14ac:dyDescent="0.55000000000000004">
      <c r="A961" s="6">
        <v>8.3220998613881928E+18</v>
      </c>
      <c r="B961">
        <v>402</v>
      </c>
      <c r="C961">
        <v>1</v>
      </c>
      <c r="D961">
        <v>5747</v>
      </c>
    </row>
    <row r="962" spans="1:4" x14ac:dyDescent="0.55000000000000004">
      <c r="A962" s="6">
        <v>8.3318844834548122E+18</v>
      </c>
      <c r="B962">
        <v>302</v>
      </c>
      <c r="C962">
        <v>1</v>
      </c>
      <c r="D962">
        <v>3540</v>
      </c>
    </row>
    <row r="963" spans="1:4" x14ac:dyDescent="0.55000000000000004">
      <c r="A963" s="6">
        <v>8.3416183814785341E+18</v>
      </c>
      <c r="B963">
        <v>269</v>
      </c>
      <c r="C963">
        <v>1</v>
      </c>
      <c r="D963">
        <v>4713</v>
      </c>
    </row>
    <row r="964" spans="1:4" x14ac:dyDescent="0.55000000000000004">
      <c r="A964" s="6">
        <v>8.3484161509307187E+18</v>
      </c>
      <c r="B964">
        <v>693</v>
      </c>
      <c r="C964">
        <v>1</v>
      </c>
      <c r="D964">
        <v>2556</v>
      </c>
    </row>
    <row r="965" spans="1:4" x14ac:dyDescent="0.55000000000000004">
      <c r="A965" s="6">
        <v>8.3570881292050012E+18</v>
      </c>
      <c r="B965">
        <v>536</v>
      </c>
      <c r="C965">
        <v>1</v>
      </c>
      <c r="D965">
        <v>3030</v>
      </c>
    </row>
    <row r="966" spans="1:4" x14ac:dyDescent="0.55000000000000004">
      <c r="A966" s="6">
        <v>8.3705728870820383E+18</v>
      </c>
      <c r="B966">
        <v>54</v>
      </c>
      <c r="C966">
        <v>2</v>
      </c>
      <c r="D966">
        <v>1638</v>
      </c>
    </row>
    <row r="967" spans="1:4" x14ac:dyDescent="0.55000000000000004">
      <c r="A967" s="6">
        <v>8.3708087912053862E+18</v>
      </c>
      <c r="B967">
        <v>10</v>
      </c>
      <c r="C967">
        <v>4</v>
      </c>
      <c r="D967">
        <v>2727</v>
      </c>
    </row>
    <row r="968" spans="1:4" x14ac:dyDescent="0.55000000000000004">
      <c r="A968" s="6">
        <v>8.3761788875651021E+18</v>
      </c>
      <c r="B968">
        <v>703</v>
      </c>
      <c r="C968">
        <v>1</v>
      </c>
      <c r="D968">
        <v>1244</v>
      </c>
    </row>
    <row r="969" spans="1:4" x14ac:dyDescent="0.55000000000000004">
      <c r="A969" s="6">
        <v>8.3774731282470246E+18</v>
      </c>
      <c r="B969">
        <v>283</v>
      </c>
      <c r="C969">
        <v>2</v>
      </c>
      <c r="D969">
        <v>7669</v>
      </c>
    </row>
    <row r="970" spans="1:4" x14ac:dyDescent="0.55000000000000004">
      <c r="A970" s="6">
        <v>8.4018263479148943E+18</v>
      </c>
      <c r="B970">
        <v>654</v>
      </c>
      <c r="C970">
        <v>2</v>
      </c>
      <c r="D970">
        <v>6733</v>
      </c>
    </row>
    <row r="971" spans="1:4" x14ac:dyDescent="0.55000000000000004">
      <c r="A971" s="6">
        <v>8.4138462489579254E+18</v>
      </c>
      <c r="B971">
        <v>448</v>
      </c>
      <c r="C971">
        <v>1</v>
      </c>
      <c r="D971">
        <v>660</v>
      </c>
    </row>
    <row r="972" spans="1:4" x14ac:dyDescent="0.55000000000000004">
      <c r="A972" s="6">
        <v>8.4172921343653243E+18</v>
      </c>
      <c r="B972">
        <v>301</v>
      </c>
      <c r="C972">
        <v>1</v>
      </c>
      <c r="D972">
        <v>119</v>
      </c>
    </row>
    <row r="973" spans="1:4" x14ac:dyDescent="0.55000000000000004">
      <c r="A973" s="6">
        <v>8.4191455298429901E+18</v>
      </c>
      <c r="B973">
        <v>1090</v>
      </c>
      <c r="C973">
        <v>1</v>
      </c>
      <c r="D973">
        <v>186</v>
      </c>
    </row>
    <row r="974" spans="1:4" x14ac:dyDescent="0.55000000000000004">
      <c r="A974" s="6">
        <v>8.4364873104592026E+18</v>
      </c>
      <c r="B974">
        <v>73</v>
      </c>
      <c r="C974">
        <v>1</v>
      </c>
      <c r="D974">
        <v>1090</v>
      </c>
    </row>
    <row r="975" spans="1:4" x14ac:dyDescent="0.55000000000000004">
      <c r="A975" s="6">
        <v>8.4465724405097103E+18</v>
      </c>
      <c r="B975">
        <v>296</v>
      </c>
      <c r="C975">
        <v>2</v>
      </c>
      <c r="D975">
        <v>6070</v>
      </c>
    </row>
    <row r="976" spans="1:4" x14ac:dyDescent="0.55000000000000004">
      <c r="A976" s="6">
        <v>8.4499611551842959E+18</v>
      </c>
      <c r="B976">
        <v>767</v>
      </c>
      <c r="C976">
        <v>1</v>
      </c>
      <c r="D976">
        <v>3627</v>
      </c>
    </row>
    <row r="977" spans="1:4" x14ac:dyDescent="0.55000000000000004">
      <c r="A977" s="6">
        <v>8.4525285881887816E+18</v>
      </c>
      <c r="B977">
        <v>302</v>
      </c>
      <c r="C977">
        <v>1</v>
      </c>
      <c r="D977">
        <v>289</v>
      </c>
    </row>
    <row r="978" spans="1:4" x14ac:dyDescent="0.55000000000000004">
      <c r="A978" s="6">
        <v>8.4543682969037445E+18</v>
      </c>
      <c r="B978">
        <v>361</v>
      </c>
      <c r="C978">
        <v>1</v>
      </c>
      <c r="D978">
        <v>207</v>
      </c>
    </row>
    <row r="979" spans="1:4" x14ac:dyDescent="0.55000000000000004">
      <c r="A979" s="6">
        <v>8.4571055573795328E+18</v>
      </c>
      <c r="B979">
        <v>794</v>
      </c>
      <c r="C979">
        <v>1</v>
      </c>
      <c r="D979">
        <v>3696</v>
      </c>
    </row>
    <row r="980" spans="1:4" x14ac:dyDescent="0.55000000000000004">
      <c r="A980" s="6">
        <v>8.4680920074105743E+18</v>
      </c>
      <c r="B980">
        <v>348</v>
      </c>
      <c r="C980">
        <v>1</v>
      </c>
      <c r="D980">
        <v>2040</v>
      </c>
    </row>
    <row r="981" spans="1:4" x14ac:dyDescent="0.55000000000000004">
      <c r="A981" s="6">
        <v>8.471699444273963E+18</v>
      </c>
      <c r="B981">
        <v>45</v>
      </c>
      <c r="C981">
        <v>1</v>
      </c>
      <c r="D981">
        <v>3781</v>
      </c>
    </row>
    <row r="982" spans="1:4" x14ac:dyDescent="0.55000000000000004">
      <c r="A982" s="6">
        <v>8.4806805688854006E+18</v>
      </c>
      <c r="B982">
        <v>915</v>
      </c>
      <c r="C982">
        <v>1</v>
      </c>
      <c r="D982">
        <v>299</v>
      </c>
    </row>
    <row r="983" spans="1:4" x14ac:dyDescent="0.55000000000000004">
      <c r="A983" s="6">
        <v>8.4862918808198564E+18</v>
      </c>
      <c r="B983">
        <v>1134</v>
      </c>
      <c r="C983">
        <v>1</v>
      </c>
      <c r="D983">
        <v>67</v>
      </c>
    </row>
    <row r="984" spans="1:4" x14ac:dyDescent="0.55000000000000004">
      <c r="A984" s="6">
        <v>8.4895610788208896E+18</v>
      </c>
      <c r="B984">
        <v>578</v>
      </c>
      <c r="C984">
        <v>1</v>
      </c>
      <c r="D984">
        <v>6990</v>
      </c>
    </row>
    <row r="985" spans="1:4" x14ac:dyDescent="0.55000000000000004">
      <c r="A985" s="6">
        <v>8.4915234036773478E+18</v>
      </c>
      <c r="B985">
        <v>77</v>
      </c>
      <c r="C985">
        <v>2</v>
      </c>
      <c r="D985">
        <v>1419</v>
      </c>
    </row>
    <row r="986" spans="1:4" x14ac:dyDescent="0.55000000000000004">
      <c r="A986" s="6">
        <v>8.4999954768623831E+18</v>
      </c>
      <c r="B986">
        <v>128</v>
      </c>
      <c r="C986">
        <v>1</v>
      </c>
      <c r="D986">
        <v>435</v>
      </c>
    </row>
    <row r="987" spans="1:4" x14ac:dyDescent="0.55000000000000004">
      <c r="A987" s="6">
        <v>8.5477181507552604E+18</v>
      </c>
      <c r="B987">
        <v>88</v>
      </c>
      <c r="C987">
        <v>1</v>
      </c>
      <c r="D987">
        <v>3276</v>
      </c>
    </row>
    <row r="988" spans="1:4" x14ac:dyDescent="0.55000000000000004">
      <c r="A988" s="6">
        <v>8.5679421323235338E+18</v>
      </c>
      <c r="B988">
        <v>29</v>
      </c>
      <c r="C988">
        <v>1</v>
      </c>
      <c r="D988">
        <v>329</v>
      </c>
    </row>
    <row r="989" spans="1:4" x14ac:dyDescent="0.55000000000000004">
      <c r="A989" s="6">
        <v>8.5831141854623764E+18</v>
      </c>
      <c r="B989">
        <v>667</v>
      </c>
      <c r="C989">
        <v>2</v>
      </c>
      <c r="D989">
        <v>1391</v>
      </c>
    </row>
    <row r="990" spans="1:4" x14ac:dyDescent="0.55000000000000004">
      <c r="A990" s="6">
        <v>8.5845141960176026E+18</v>
      </c>
      <c r="B990">
        <v>44</v>
      </c>
      <c r="C990">
        <v>1</v>
      </c>
      <c r="D990">
        <v>2700</v>
      </c>
    </row>
    <row r="991" spans="1:4" x14ac:dyDescent="0.55000000000000004">
      <c r="A991" s="6">
        <v>8.5868986495551754E+18</v>
      </c>
      <c r="B991">
        <v>68</v>
      </c>
      <c r="C991">
        <v>2</v>
      </c>
      <c r="D991">
        <v>5452</v>
      </c>
    </row>
    <row r="992" spans="1:4" x14ac:dyDescent="0.55000000000000004">
      <c r="A992" s="6">
        <v>8.5938988973577247E+18</v>
      </c>
      <c r="B992">
        <v>1156</v>
      </c>
      <c r="C992">
        <v>1</v>
      </c>
      <c r="D992">
        <v>1354</v>
      </c>
    </row>
    <row r="993" spans="1:4" x14ac:dyDescent="0.55000000000000004">
      <c r="A993" s="6">
        <v>8.6023041983098921E+18</v>
      </c>
      <c r="B993">
        <v>316</v>
      </c>
      <c r="C993">
        <v>1</v>
      </c>
      <c r="D993">
        <v>775</v>
      </c>
    </row>
    <row r="994" spans="1:4" x14ac:dyDescent="0.55000000000000004">
      <c r="A994" s="6">
        <v>8.6074183131094415E+18</v>
      </c>
      <c r="B994">
        <v>466</v>
      </c>
      <c r="C994">
        <v>1</v>
      </c>
      <c r="D994">
        <v>3310</v>
      </c>
    </row>
    <row r="995" spans="1:4" x14ac:dyDescent="0.55000000000000004">
      <c r="A995" s="6">
        <v>8.607613251301118E+18</v>
      </c>
      <c r="B995">
        <v>516</v>
      </c>
      <c r="C995">
        <v>2</v>
      </c>
      <c r="D995">
        <v>5063</v>
      </c>
    </row>
    <row r="996" spans="1:4" x14ac:dyDescent="0.55000000000000004">
      <c r="A996" s="6">
        <v>8.6127016178122445E+18</v>
      </c>
      <c r="B996">
        <v>1162</v>
      </c>
      <c r="C996">
        <v>1</v>
      </c>
      <c r="D996">
        <v>652</v>
      </c>
    </row>
    <row r="997" spans="1:4" x14ac:dyDescent="0.55000000000000004">
      <c r="A997" s="6">
        <v>8.615932288906793E+18</v>
      </c>
      <c r="B997">
        <v>1272</v>
      </c>
      <c r="C997">
        <v>1</v>
      </c>
      <c r="D997">
        <v>3981</v>
      </c>
    </row>
    <row r="998" spans="1:4" x14ac:dyDescent="0.55000000000000004">
      <c r="A998" s="6">
        <v>8.6532902772659466E+18</v>
      </c>
      <c r="B998">
        <v>994</v>
      </c>
      <c r="C998">
        <v>1</v>
      </c>
      <c r="D998">
        <v>388</v>
      </c>
    </row>
    <row r="999" spans="1:4" x14ac:dyDescent="0.55000000000000004">
      <c r="A999" s="6">
        <v>8.658126767473409E+18</v>
      </c>
      <c r="B999">
        <v>124</v>
      </c>
      <c r="C999">
        <v>1</v>
      </c>
      <c r="D999">
        <v>2465.0500000000002</v>
      </c>
    </row>
    <row r="1000" spans="1:4" x14ac:dyDescent="0.55000000000000004">
      <c r="A1000" s="6">
        <v>8.6609747857146327E+18</v>
      </c>
      <c r="B1000">
        <v>196</v>
      </c>
      <c r="C1000">
        <v>1</v>
      </c>
      <c r="D1000">
        <v>5091</v>
      </c>
    </row>
    <row r="1001" spans="1:4" x14ac:dyDescent="0.55000000000000004">
      <c r="A1001" s="6">
        <v>8.6671934304505836E+18</v>
      </c>
      <c r="B1001">
        <v>551</v>
      </c>
      <c r="C1001">
        <v>1</v>
      </c>
      <c r="D1001">
        <v>327</v>
      </c>
    </row>
    <row r="1002" spans="1:4" x14ac:dyDescent="0.55000000000000004">
      <c r="A1002" s="6">
        <v>8.6679631661829878E+18</v>
      </c>
      <c r="B1002">
        <v>598</v>
      </c>
      <c r="C1002">
        <v>1</v>
      </c>
      <c r="D1002">
        <v>355</v>
      </c>
    </row>
    <row r="1003" spans="1:4" x14ac:dyDescent="0.55000000000000004">
      <c r="A1003" s="6">
        <v>8.6727379281980047E+18</v>
      </c>
      <c r="B1003">
        <v>443</v>
      </c>
      <c r="C1003">
        <v>1</v>
      </c>
      <c r="D1003">
        <v>422</v>
      </c>
    </row>
    <row r="1004" spans="1:4" x14ac:dyDescent="0.55000000000000004">
      <c r="A1004" s="6">
        <v>8.6886831850354483E+18</v>
      </c>
      <c r="B1004">
        <v>10</v>
      </c>
      <c r="C1004">
        <v>2</v>
      </c>
      <c r="D1004">
        <v>1859</v>
      </c>
    </row>
    <row r="1005" spans="1:4" x14ac:dyDescent="0.55000000000000004">
      <c r="A1005" s="6">
        <v>8.6908928397613404E+18</v>
      </c>
      <c r="B1005">
        <v>1125</v>
      </c>
      <c r="C1005">
        <v>1</v>
      </c>
      <c r="D1005">
        <v>602</v>
      </c>
    </row>
    <row r="1006" spans="1:4" x14ac:dyDescent="0.55000000000000004">
      <c r="A1006" s="6">
        <v>8.7029438128184371E+18</v>
      </c>
      <c r="B1006">
        <v>477</v>
      </c>
      <c r="C1006">
        <v>1</v>
      </c>
      <c r="D1006">
        <v>134</v>
      </c>
    </row>
    <row r="1007" spans="1:4" x14ac:dyDescent="0.55000000000000004">
      <c r="A1007" s="6">
        <v>8.7283328542971044E+18</v>
      </c>
      <c r="B1007">
        <v>51</v>
      </c>
      <c r="C1007">
        <v>2</v>
      </c>
      <c r="D1007">
        <v>4996</v>
      </c>
    </row>
    <row r="1008" spans="1:4" x14ac:dyDescent="0.55000000000000004">
      <c r="A1008" s="6">
        <v>8.7509659763436114E+18</v>
      </c>
      <c r="B1008">
        <v>426</v>
      </c>
      <c r="C1008">
        <v>1</v>
      </c>
      <c r="D1008">
        <v>3056</v>
      </c>
    </row>
    <row r="1009" spans="1:4" x14ac:dyDescent="0.55000000000000004">
      <c r="A1009" s="6">
        <v>8.7531651469895475E+18</v>
      </c>
      <c r="B1009">
        <v>785</v>
      </c>
      <c r="C1009">
        <v>2</v>
      </c>
      <c r="D1009">
        <v>2273</v>
      </c>
    </row>
    <row r="1010" spans="1:4" x14ac:dyDescent="0.55000000000000004">
      <c r="A1010" s="6">
        <v>8.7554948243829422E+18</v>
      </c>
      <c r="B1010">
        <v>10</v>
      </c>
      <c r="C1010">
        <v>1</v>
      </c>
      <c r="D1010">
        <v>28</v>
      </c>
    </row>
    <row r="1011" spans="1:4" x14ac:dyDescent="0.55000000000000004">
      <c r="A1011" s="6">
        <v>8.7568087296080701E+18</v>
      </c>
      <c r="B1011">
        <v>496</v>
      </c>
      <c r="C1011">
        <v>1</v>
      </c>
      <c r="D1011">
        <v>2719</v>
      </c>
    </row>
    <row r="1012" spans="1:4" x14ac:dyDescent="0.55000000000000004">
      <c r="A1012" s="6">
        <v>8.7623730887348511E+18</v>
      </c>
      <c r="B1012">
        <v>530</v>
      </c>
      <c r="C1012">
        <v>1</v>
      </c>
      <c r="D1012">
        <v>144</v>
      </c>
    </row>
    <row r="1013" spans="1:4" x14ac:dyDescent="0.55000000000000004">
      <c r="A1013" s="6">
        <v>8.765305006201388E+18</v>
      </c>
      <c r="B1013">
        <v>748</v>
      </c>
      <c r="C1013">
        <v>1</v>
      </c>
      <c r="D1013">
        <v>2899</v>
      </c>
    </row>
    <row r="1014" spans="1:4" x14ac:dyDescent="0.55000000000000004">
      <c r="A1014" s="6">
        <v>8.7716318777703711E+18</v>
      </c>
      <c r="B1014">
        <v>131</v>
      </c>
      <c r="C1014">
        <v>2</v>
      </c>
      <c r="D1014">
        <v>842</v>
      </c>
    </row>
    <row r="1015" spans="1:4" x14ac:dyDescent="0.55000000000000004">
      <c r="A1015" s="6">
        <v>8.7935106791523226E+18</v>
      </c>
      <c r="B1015">
        <v>920</v>
      </c>
      <c r="C1015">
        <v>2</v>
      </c>
      <c r="D1015">
        <v>1417</v>
      </c>
    </row>
    <row r="1016" spans="1:4" x14ac:dyDescent="0.55000000000000004">
      <c r="A1016" s="6">
        <v>8.7981424033497037E+18</v>
      </c>
      <c r="B1016">
        <v>1058</v>
      </c>
      <c r="C1016">
        <v>1</v>
      </c>
      <c r="D1016">
        <v>245</v>
      </c>
    </row>
    <row r="1017" spans="1:4" x14ac:dyDescent="0.55000000000000004">
      <c r="A1017" s="6">
        <v>8.8021057141217864E+18</v>
      </c>
      <c r="B1017">
        <v>286</v>
      </c>
      <c r="C1017">
        <v>2</v>
      </c>
      <c r="D1017">
        <v>1164</v>
      </c>
    </row>
    <row r="1018" spans="1:4" x14ac:dyDescent="0.55000000000000004">
      <c r="A1018" s="6">
        <v>8.8209216732971704E+18</v>
      </c>
      <c r="B1018">
        <v>931</v>
      </c>
      <c r="C1018">
        <v>1</v>
      </c>
      <c r="D1018">
        <v>605</v>
      </c>
    </row>
    <row r="1019" spans="1:4" x14ac:dyDescent="0.55000000000000004">
      <c r="A1019" s="6">
        <v>8.8409319117374515E+18</v>
      </c>
      <c r="B1019">
        <v>274</v>
      </c>
      <c r="C1019">
        <v>2</v>
      </c>
      <c r="D1019">
        <v>9931</v>
      </c>
    </row>
    <row r="1020" spans="1:4" x14ac:dyDescent="0.55000000000000004">
      <c r="A1020" s="6">
        <v>8.8435373430543657E+18</v>
      </c>
      <c r="B1020">
        <v>618</v>
      </c>
      <c r="C1020">
        <v>3</v>
      </c>
      <c r="D1020">
        <v>1106</v>
      </c>
    </row>
    <row r="1021" spans="1:4" x14ac:dyDescent="0.55000000000000004">
      <c r="A1021" s="6">
        <v>8.8564151863028941E+18</v>
      </c>
      <c r="B1021">
        <v>907</v>
      </c>
      <c r="C1021">
        <v>1</v>
      </c>
      <c r="D1021">
        <v>1225</v>
      </c>
    </row>
    <row r="1022" spans="1:4" x14ac:dyDescent="0.55000000000000004">
      <c r="A1022" s="6">
        <v>8.8636156987287337E+18</v>
      </c>
      <c r="B1022">
        <v>287</v>
      </c>
      <c r="C1022">
        <v>2</v>
      </c>
      <c r="D1022">
        <v>3037</v>
      </c>
    </row>
    <row r="1023" spans="1:4" x14ac:dyDescent="0.55000000000000004">
      <c r="A1023" s="6">
        <v>8.864182973289599E+18</v>
      </c>
      <c r="B1023">
        <v>489</v>
      </c>
      <c r="C1023">
        <v>1</v>
      </c>
      <c r="D1023">
        <v>151</v>
      </c>
    </row>
    <row r="1024" spans="1:4" x14ac:dyDescent="0.55000000000000004">
      <c r="A1024" s="6">
        <v>8.8657964298209526E+18</v>
      </c>
      <c r="B1024">
        <v>790</v>
      </c>
      <c r="C1024">
        <v>1</v>
      </c>
      <c r="D1024">
        <v>497</v>
      </c>
    </row>
    <row r="1025" spans="1:4" x14ac:dyDescent="0.55000000000000004">
      <c r="A1025" s="6">
        <v>8.8673048398511145E+18</v>
      </c>
      <c r="B1025">
        <v>267</v>
      </c>
      <c r="C1025">
        <v>1</v>
      </c>
      <c r="D1025">
        <v>134</v>
      </c>
    </row>
    <row r="1026" spans="1:4" x14ac:dyDescent="0.55000000000000004">
      <c r="A1026" s="6">
        <v>8.8687396167415603E+18</v>
      </c>
      <c r="B1026">
        <v>675</v>
      </c>
      <c r="C1026">
        <v>1</v>
      </c>
      <c r="D1026">
        <v>3636</v>
      </c>
    </row>
    <row r="1027" spans="1:4" x14ac:dyDescent="0.55000000000000004">
      <c r="A1027" s="6">
        <v>8.8705274734315756E+18</v>
      </c>
      <c r="B1027">
        <v>226</v>
      </c>
      <c r="C1027">
        <v>3</v>
      </c>
      <c r="D1027">
        <v>6045</v>
      </c>
    </row>
    <row r="1028" spans="1:4" x14ac:dyDescent="0.55000000000000004">
      <c r="A1028" s="6">
        <v>8.8710352568516239E+18</v>
      </c>
      <c r="B1028">
        <v>5</v>
      </c>
      <c r="C1028">
        <v>1</v>
      </c>
      <c r="D1028">
        <v>3958</v>
      </c>
    </row>
    <row r="1029" spans="1:4" x14ac:dyDescent="0.55000000000000004">
      <c r="A1029" s="6">
        <v>8.8744046359264768E+18</v>
      </c>
      <c r="B1029">
        <v>667</v>
      </c>
      <c r="C1029">
        <v>1</v>
      </c>
      <c r="D1029">
        <v>354</v>
      </c>
    </row>
    <row r="1030" spans="1:4" x14ac:dyDescent="0.55000000000000004">
      <c r="A1030" s="6">
        <v>8.8800362200444713E+18</v>
      </c>
      <c r="B1030">
        <v>117</v>
      </c>
      <c r="C1030">
        <v>1</v>
      </c>
      <c r="D1030">
        <v>1190</v>
      </c>
    </row>
    <row r="1031" spans="1:4" x14ac:dyDescent="0.55000000000000004">
      <c r="A1031" s="6">
        <v>8.8812564427983503E+18</v>
      </c>
      <c r="B1031">
        <v>988</v>
      </c>
      <c r="C1031">
        <v>1</v>
      </c>
      <c r="D1031">
        <v>611</v>
      </c>
    </row>
    <row r="1032" spans="1:4" x14ac:dyDescent="0.55000000000000004">
      <c r="A1032" s="6">
        <v>8.8946240980239555E+18</v>
      </c>
      <c r="B1032">
        <v>189</v>
      </c>
      <c r="C1032">
        <v>1</v>
      </c>
      <c r="D1032">
        <v>139</v>
      </c>
    </row>
    <row r="1033" spans="1:4" x14ac:dyDescent="0.55000000000000004">
      <c r="A1033" s="6">
        <v>8.9006622298564833E+18</v>
      </c>
      <c r="B1033">
        <v>208</v>
      </c>
      <c r="C1033">
        <v>2</v>
      </c>
      <c r="D1033">
        <v>1239</v>
      </c>
    </row>
    <row r="1034" spans="1:4" x14ac:dyDescent="0.55000000000000004">
      <c r="A1034" s="6">
        <v>8.9186426008950723E+18</v>
      </c>
      <c r="B1034">
        <v>642</v>
      </c>
      <c r="C1034">
        <v>1</v>
      </c>
      <c r="D1034">
        <v>8989</v>
      </c>
    </row>
    <row r="1035" spans="1:4" x14ac:dyDescent="0.55000000000000004">
      <c r="A1035" s="6">
        <v>8.9215529394304563E+18</v>
      </c>
      <c r="B1035">
        <v>969</v>
      </c>
      <c r="C1035">
        <v>1</v>
      </c>
      <c r="D1035">
        <v>439</v>
      </c>
    </row>
    <row r="1036" spans="1:4" x14ac:dyDescent="0.55000000000000004">
      <c r="A1036" s="6">
        <v>8.9311490609348352E+18</v>
      </c>
      <c r="B1036">
        <v>131</v>
      </c>
      <c r="C1036">
        <v>1</v>
      </c>
      <c r="D1036">
        <v>285</v>
      </c>
    </row>
    <row r="1037" spans="1:4" x14ac:dyDescent="0.55000000000000004">
      <c r="A1037" s="6">
        <v>8.934561437004929E+18</v>
      </c>
      <c r="B1037">
        <v>144</v>
      </c>
      <c r="C1037">
        <v>3</v>
      </c>
      <c r="D1037">
        <v>3542</v>
      </c>
    </row>
    <row r="1038" spans="1:4" x14ac:dyDescent="0.55000000000000004">
      <c r="A1038" s="6">
        <v>8.9447154892374354E+18</v>
      </c>
      <c r="B1038">
        <v>756</v>
      </c>
      <c r="C1038">
        <v>1</v>
      </c>
      <c r="D1038">
        <v>2289</v>
      </c>
    </row>
    <row r="1039" spans="1:4" x14ac:dyDescent="0.55000000000000004">
      <c r="A1039" s="6">
        <v>8.9467332712201267E+18</v>
      </c>
      <c r="B1039">
        <v>500</v>
      </c>
      <c r="C1039">
        <v>2</v>
      </c>
      <c r="D1039">
        <v>9921</v>
      </c>
    </row>
    <row r="1040" spans="1:4" x14ac:dyDescent="0.55000000000000004">
      <c r="A1040" s="6">
        <v>8.9485107261010115E+18</v>
      </c>
      <c r="B1040">
        <v>221</v>
      </c>
      <c r="C1040">
        <v>1</v>
      </c>
      <c r="D1040">
        <v>99</v>
      </c>
    </row>
    <row r="1041" spans="1:4" x14ac:dyDescent="0.55000000000000004">
      <c r="A1041" s="6">
        <v>8.9683304329081651E+18</v>
      </c>
      <c r="B1041">
        <v>87</v>
      </c>
      <c r="C1041">
        <v>1</v>
      </c>
      <c r="D1041">
        <v>1102</v>
      </c>
    </row>
    <row r="1042" spans="1:4" x14ac:dyDescent="0.55000000000000004">
      <c r="A1042" s="6">
        <v>8.9703828931595837E+18</v>
      </c>
      <c r="B1042">
        <v>130</v>
      </c>
      <c r="C1042">
        <v>1</v>
      </c>
      <c r="D1042">
        <v>2787</v>
      </c>
    </row>
    <row r="1043" spans="1:4" x14ac:dyDescent="0.55000000000000004">
      <c r="A1043" s="6">
        <v>8.9832999901843036E+18</v>
      </c>
      <c r="B1043">
        <v>11</v>
      </c>
      <c r="C1043">
        <v>3</v>
      </c>
      <c r="D1043">
        <v>6045</v>
      </c>
    </row>
    <row r="1044" spans="1:4" x14ac:dyDescent="0.55000000000000004">
      <c r="A1044" s="6">
        <v>9.0023427849385574E+18</v>
      </c>
      <c r="B1044">
        <v>1199</v>
      </c>
      <c r="C1044">
        <v>1</v>
      </c>
      <c r="D1044">
        <v>707</v>
      </c>
    </row>
    <row r="1045" spans="1:4" x14ac:dyDescent="0.55000000000000004">
      <c r="A1045" s="6">
        <v>9.0073211666938911E+18</v>
      </c>
      <c r="B1045">
        <v>122</v>
      </c>
      <c r="C1045">
        <v>2</v>
      </c>
      <c r="D1045">
        <v>498</v>
      </c>
    </row>
    <row r="1046" spans="1:4" x14ac:dyDescent="0.55000000000000004">
      <c r="A1046" s="6">
        <v>9.0093056768248351E+18</v>
      </c>
      <c r="B1046">
        <v>331</v>
      </c>
      <c r="C1046">
        <v>3</v>
      </c>
      <c r="D1046">
        <v>27242</v>
      </c>
    </row>
    <row r="1047" spans="1:4" x14ac:dyDescent="0.55000000000000004">
      <c r="A1047" s="6">
        <v>9.0114498001082378E+18</v>
      </c>
      <c r="B1047">
        <v>135</v>
      </c>
      <c r="C1047">
        <v>2</v>
      </c>
      <c r="D1047">
        <v>2103</v>
      </c>
    </row>
    <row r="1048" spans="1:4" x14ac:dyDescent="0.55000000000000004">
      <c r="A1048" s="6">
        <v>9.0129078086439793E+18</v>
      </c>
      <c r="B1048">
        <v>105</v>
      </c>
      <c r="C1048">
        <v>1</v>
      </c>
      <c r="D1048">
        <v>1095</v>
      </c>
    </row>
    <row r="1049" spans="1:4" x14ac:dyDescent="0.55000000000000004">
      <c r="A1049" s="6">
        <v>9.0156401628928829E+18</v>
      </c>
      <c r="B1049">
        <v>772</v>
      </c>
      <c r="C1049">
        <v>1</v>
      </c>
      <c r="D1049">
        <v>99</v>
      </c>
    </row>
    <row r="1050" spans="1:4" x14ac:dyDescent="0.55000000000000004">
      <c r="A1050" s="6">
        <v>9.0181856789402378E+18</v>
      </c>
      <c r="B1050">
        <v>474</v>
      </c>
      <c r="C1050">
        <v>1</v>
      </c>
      <c r="D1050">
        <v>1615</v>
      </c>
    </row>
    <row r="1051" spans="1:4" x14ac:dyDescent="0.55000000000000004">
      <c r="A1051" s="6">
        <v>9.0432311214428508E+18</v>
      </c>
      <c r="B1051">
        <v>763</v>
      </c>
      <c r="C1051">
        <v>1</v>
      </c>
      <c r="D1051">
        <v>1438</v>
      </c>
    </row>
    <row r="1052" spans="1:4" x14ac:dyDescent="0.55000000000000004">
      <c r="A1052" s="6">
        <v>9.0474318240599982E+18</v>
      </c>
      <c r="B1052">
        <v>195</v>
      </c>
      <c r="C1052">
        <v>2</v>
      </c>
      <c r="D1052">
        <v>12090</v>
      </c>
    </row>
    <row r="1053" spans="1:4" x14ac:dyDescent="0.55000000000000004">
      <c r="A1053" s="6">
        <v>9.052495294912939E+18</v>
      </c>
      <c r="B1053">
        <v>592</v>
      </c>
      <c r="C1053">
        <v>1</v>
      </c>
      <c r="D1053">
        <v>449</v>
      </c>
    </row>
    <row r="1054" spans="1:4" x14ac:dyDescent="0.55000000000000004">
      <c r="A1054" s="6">
        <v>9.0657906959959194E+18</v>
      </c>
      <c r="B1054">
        <v>757</v>
      </c>
      <c r="C1054">
        <v>1</v>
      </c>
      <c r="D1054">
        <v>366</v>
      </c>
    </row>
    <row r="1055" spans="1:4" x14ac:dyDescent="0.55000000000000004">
      <c r="A1055" s="6">
        <v>9.0800793897535898E+18</v>
      </c>
      <c r="B1055">
        <v>753</v>
      </c>
      <c r="C1055">
        <v>2</v>
      </c>
      <c r="D1055">
        <v>632</v>
      </c>
    </row>
    <row r="1056" spans="1:4" x14ac:dyDescent="0.55000000000000004">
      <c r="A1056" s="6">
        <v>9.0899097415313111E+18</v>
      </c>
      <c r="B1056">
        <v>389</v>
      </c>
      <c r="C1056">
        <v>1</v>
      </c>
      <c r="D1056">
        <v>1595</v>
      </c>
    </row>
    <row r="1057" spans="1:4" x14ac:dyDescent="0.55000000000000004">
      <c r="A1057" s="6">
        <v>9.0986447618061926E+18</v>
      </c>
      <c r="B1057">
        <v>44</v>
      </c>
      <c r="C1057">
        <v>3</v>
      </c>
      <c r="D1057">
        <v>5375</v>
      </c>
    </row>
    <row r="1058" spans="1:4" x14ac:dyDescent="0.55000000000000004">
      <c r="A1058" s="6">
        <v>9.101764833279017E+18</v>
      </c>
      <c r="B1058">
        <v>990</v>
      </c>
      <c r="C1058">
        <v>1</v>
      </c>
      <c r="D1058">
        <v>445</v>
      </c>
    </row>
    <row r="1059" spans="1:4" x14ac:dyDescent="0.55000000000000004">
      <c r="A1059" s="6">
        <v>9.1084493047322593E+18</v>
      </c>
      <c r="B1059">
        <v>986</v>
      </c>
      <c r="C1059">
        <v>1</v>
      </c>
      <c r="D1059">
        <v>1298</v>
      </c>
    </row>
    <row r="1060" spans="1:4" x14ac:dyDescent="0.55000000000000004">
      <c r="A1060" s="6">
        <v>9.1212184918702653E+18</v>
      </c>
      <c r="B1060">
        <v>55</v>
      </c>
      <c r="C1060">
        <v>2</v>
      </c>
      <c r="D1060">
        <v>2786</v>
      </c>
    </row>
    <row r="1061" spans="1:4" x14ac:dyDescent="0.55000000000000004">
      <c r="A1061" s="6">
        <v>9.1256882912497848E+18</v>
      </c>
      <c r="B1061">
        <v>511</v>
      </c>
      <c r="C1061">
        <v>2</v>
      </c>
      <c r="D1061">
        <v>6558</v>
      </c>
    </row>
    <row r="1062" spans="1:4" x14ac:dyDescent="0.55000000000000004">
      <c r="A1062" s="6">
        <v>9.1291267439478784E+18</v>
      </c>
      <c r="B1062">
        <v>89</v>
      </c>
      <c r="C1062">
        <v>1</v>
      </c>
      <c r="D1062">
        <v>532</v>
      </c>
    </row>
    <row r="1063" spans="1:4" x14ac:dyDescent="0.55000000000000004">
      <c r="A1063" s="6">
        <v>9.1327467820469637E+18</v>
      </c>
      <c r="B1063">
        <v>646</v>
      </c>
      <c r="C1063">
        <v>1</v>
      </c>
      <c r="D1063">
        <v>3072</v>
      </c>
    </row>
    <row r="1064" spans="1:4" x14ac:dyDescent="0.55000000000000004">
      <c r="A1064" s="6">
        <v>9.1402792590415073E+18</v>
      </c>
      <c r="B1064">
        <v>1151</v>
      </c>
      <c r="C1064">
        <v>1</v>
      </c>
      <c r="D1064">
        <v>273</v>
      </c>
    </row>
    <row r="1065" spans="1:4" x14ac:dyDescent="0.55000000000000004">
      <c r="A1065" s="6">
        <v>9.1642390959083305E+18</v>
      </c>
      <c r="B1065">
        <v>555</v>
      </c>
      <c r="C1065">
        <v>1</v>
      </c>
      <c r="D1065">
        <v>5978</v>
      </c>
    </row>
    <row r="1066" spans="1:4" x14ac:dyDescent="0.55000000000000004">
      <c r="A1066" s="6">
        <v>9.1649542126402294E+18</v>
      </c>
      <c r="B1066">
        <v>268</v>
      </c>
      <c r="C1066">
        <v>2</v>
      </c>
      <c r="D1066">
        <v>537</v>
      </c>
    </row>
    <row r="1067" spans="1:4" x14ac:dyDescent="0.55000000000000004">
      <c r="A1067" s="6">
        <v>9.166708935569963E+18</v>
      </c>
      <c r="B1067">
        <v>217</v>
      </c>
      <c r="C1067">
        <v>2</v>
      </c>
      <c r="D1067">
        <v>3306</v>
      </c>
    </row>
    <row r="1068" spans="1:4" x14ac:dyDescent="0.55000000000000004">
      <c r="A1068" s="6">
        <v>9.1869005501774121E+18</v>
      </c>
      <c r="B1068">
        <v>1239</v>
      </c>
      <c r="C1068">
        <v>1</v>
      </c>
      <c r="D1068">
        <v>96</v>
      </c>
    </row>
    <row r="1069" spans="1:4" x14ac:dyDescent="0.55000000000000004">
      <c r="A1069" s="6">
        <v>9.1932094490426348E+18</v>
      </c>
      <c r="B1069">
        <v>1176</v>
      </c>
      <c r="C1069">
        <v>1</v>
      </c>
      <c r="D1069">
        <v>10959</v>
      </c>
    </row>
    <row r="1070" spans="1:4" x14ac:dyDescent="0.55000000000000004">
      <c r="A1070" s="6">
        <v>9.2021705122622024E+18</v>
      </c>
      <c r="B1070">
        <v>694</v>
      </c>
      <c r="C1070">
        <v>1</v>
      </c>
      <c r="D1070">
        <v>2151</v>
      </c>
    </row>
    <row r="1071" spans="1:4" x14ac:dyDescent="0.55000000000000004">
      <c r="A1071" s="6">
        <v>9.2042145550697564E+18</v>
      </c>
      <c r="B1071">
        <v>364</v>
      </c>
      <c r="C1071">
        <v>1</v>
      </c>
      <c r="D1071">
        <v>1688</v>
      </c>
    </row>
    <row r="1072" spans="1:4" x14ac:dyDescent="0.55000000000000004">
      <c r="A1072" s="6">
        <v>9.2043461364784036E+18</v>
      </c>
      <c r="B1072">
        <v>253</v>
      </c>
      <c r="C1072">
        <v>1</v>
      </c>
      <c r="D1072">
        <v>5000</v>
      </c>
    </row>
    <row r="1073" spans="1:4" x14ac:dyDescent="0.55000000000000004">
      <c r="A1073" s="6">
        <v>9.2092839124872847E+18</v>
      </c>
      <c r="B1073">
        <v>157</v>
      </c>
      <c r="C1073">
        <v>2</v>
      </c>
      <c r="D1073">
        <v>3790</v>
      </c>
    </row>
    <row r="1074" spans="1:4" x14ac:dyDescent="0.55000000000000004">
      <c r="A1074" s="6">
        <v>9.2147412065153024E+18</v>
      </c>
      <c r="B1074">
        <v>16</v>
      </c>
      <c r="C1074">
        <v>1</v>
      </c>
      <c r="D1074">
        <v>428</v>
      </c>
    </row>
    <row r="1075" spans="1:4" x14ac:dyDescent="0.55000000000000004">
      <c r="A1075" s="6">
        <v>9.2220926223088968E+18</v>
      </c>
      <c r="B1075">
        <v>40</v>
      </c>
      <c r="C1075">
        <v>2</v>
      </c>
      <c r="D1075">
        <v>9827</v>
      </c>
    </row>
    <row r="1076" spans="1:4" x14ac:dyDescent="0.55000000000000004">
      <c r="A1076" s="6">
        <v>9.2781126943122145E+18</v>
      </c>
      <c r="B1076">
        <v>1033</v>
      </c>
      <c r="C1076">
        <v>1</v>
      </c>
      <c r="D1076">
        <v>530</v>
      </c>
    </row>
    <row r="1077" spans="1:4" x14ac:dyDescent="0.55000000000000004">
      <c r="A1077" s="6">
        <v>9.2786993871629066E+18</v>
      </c>
      <c r="B1077">
        <v>907</v>
      </c>
      <c r="C1077">
        <v>1</v>
      </c>
      <c r="D1077">
        <v>42</v>
      </c>
    </row>
    <row r="1078" spans="1:4" x14ac:dyDescent="0.55000000000000004">
      <c r="A1078" s="6">
        <v>9.283264815651498E+18</v>
      </c>
      <c r="B1078">
        <v>67</v>
      </c>
      <c r="C1078">
        <v>2</v>
      </c>
      <c r="D1078">
        <v>4150</v>
      </c>
    </row>
    <row r="1079" spans="1:4" x14ac:dyDescent="0.55000000000000004">
      <c r="A1079" s="6">
        <v>9.2837641945690317E+18</v>
      </c>
      <c r="B1079">
        <v>994</v>
      </c>
      <c r="C1079">
        <v>1</v>
      </c>
      <c r="D1079">
        <v>990</v>
      </c>
    </row>
    <row r="1080" spans="1:4" x14ac:dyDescent="0.55000000000000004">
      <c r="A1080" s="6">
        <v>9.2940510925032448E+18</v>
      </c>
      <c r="B1080">
        <v>136</v>
      </c>
      <c r="C1080">
        <v>3</v>
      </c>
      <c r="D1080">
        <v>1603</v>
      </c>
    </row>
    <row r="1081" spans="1:4" x14ac:dyDescent="0.55000000000000004">
      <c r="A1081" s="6">
        <v>9.2989653906341827E+18</v>
      </c>
      <c r="B1081">
        <v>983</v>
      </c>
      <c r="C1081">
        <v>1</v>
      </c>
      <c r="D1081">
        <v>1185</v>
      </c>
    </row>
    <row r="1082" spans="1:4" x14ac:dyDescent="0.55000000000000004">
      <c r="A1082" s="6">
        <v>9.3011369724624343E+18</v>
      </c>
      <c r="B1082">
        <v>75</v>
      </c>
      <c r="C1082">
        <v>2</v>
      </c>
      <c r="D1082">
        <v>768</v>
      </c>
    </row>
    <row r="1083" spans="1:4" x14ac:dyDescent="0.55000000000000004">
      <c r="A1083" s="6">
        <v>9.3042969550292296E+18</v>
      </c>
      <c r="B1083">
        <v>327</v>
      </c>
      <c r="C1083">
        <v>1</v>
      </c>
      <c r="D1083">
        <v>2712</v>
      </c>
    </row>
    <row r="1084" spans="1:4" x14ac:dyDescent="0.55000000000000004">
      <c r="A1084" s="6">
        <v>9.3114124448562811E+18</v>
      </c>
      <c r="B1084">
        <v>220</v>
      </c>
      <c r="C1084">
        <v>2</v>
      </c>
      <c r="D1084">
        <v>2020</v>
      </c>
    </row>
    <row r="1085" spans="1:4" x14ac:dyDescent="0.55000000000000004">
      <c r="A1085" s="6">
        <v>9.3126309696455844E+18</v>
      </c>
      <c r="B1085">
        <v>469</v>
      </c>
      <c r="C1085">
        <v>1</v>
      </c>
      <c r="D1085">
        <v>4845</v>
      </c>
    </row>
    <row r="1086" spans="1:4" x14ac:dyDescent="0.55000000000000004">
      <c r="A1086" s="6">
        <v>9.3141173803419034E+18</v>
      </c>
      <c r="B1086">
        <v>262</v>
      </c>
      <c r="C1086">
        <v>1</v>
      </c>
      <c r="D1086">
        <v>211</v>
      </c>
    </row>
    <row r="1087" spans="1:4" x14ac:dyDescent="0.55000000000000004">
      <c r="A1087" s="6">
        <v>9.3420725521030205E+18</v>
      </c>
      <c r="B1087">
        <v>692</v>
      </c>
      <c r="C1087">
        <v>1</v>
      </c>
      <c r="D1087">
        <v>38433</v>
      </c>
    </row>
    <row r="1088" spans="1:4" x14ac:dyDescent="0.55000000000000004">
      <c r="A1088" s="6">
        <v>9.3519854972733747E+18</v>
      </c>
      <c r="B1088">
        <v>1231</v>
      </c>
      <c r="C1088">
        <v>1</v>
      </c>
      <c r="D1088">
        <v>235</v>
      </c>
    </row>
    <row r="1089" spans="1:4" x14ac:dyDescent="0.55000000000000004">
      <c r="A1089" s="6">
        <v>9.3618116621725962E+18</v>
      </c>
      <c r="B1089">
        <v>475</v>
      </c>
      <c r="C1089">
        <v>1</v>
      </c>
      <c r="D1089">
        <v>162</v>
      </c>
    </row>
    <row r="1090" spans="1:4" x14ac:dyDescent="0.55000000000000004">
      <c r="A1090" s="6">
        <v>9.3674319387431567E+18</v>
      </c>
      <c r="B1090">
        <v>559</v>
      </c>
      <c r="C1090">
        <v>1</v>
      </c>
      <c r="D1090">
        <v>69</v>
      </c>
    </row>
    <row r="1091" spans="1:4" x14ac:dyDescent="0.55000000000000004">
      <c r="A1091" s="6">
        <v>9.3721715798642401E+18</v>
      </c>
      <c r="B1091">
        <v>790</v>
      </c>
      <c r="C1091">
        <v>1</v>
      </c>
      <c r="D1091">
        <v>305</v>
      </c>
    </row>
    <row r="1092" spans="1:4" x14ac:dyDescent="0.55000000000000004">
      <c r="A1092" s="6">
        <v>9.3759268339452088E+18</v>
      </c>
      <c r="B1092">
        <v>450</v>
      </c>
      <c r="C1092">
        <v>2</v>
      </c>
      <c r="D1092">
        <v>1024</v>
      </c>
    </row>
    <row r="1093" spans="1:4" x14ac:dyDescent="0.55000000000000004">
      <c r="A1093" s="6">
        <v>9.3935191066238013E+18</v>
      </c>
      <c r="B1093">
        <v>822</v>
      </c>
      <c r="C1093">
        <v>1</v>
      </c>
      <c r="D1093">
        <v>3670</v>
      </c>
    </row>
    <row r="1094" spans="1:4" x14ac:dyDescent="0.55000000000000004">
      <c r="A1094" s="6">
        <v>9.4199328702490051E+18</v>
      </c>
      <c r="B1094">
        <v>456</v>
      </c>
      <c r="C1094">
        <v>1</v>
      </c>
      <c r="D1094">
        <v>25</v>
      </c>
    </row>
    <row r="1095" spans="1:4" x14ac:dyDescent="0.55000000000000004">
      <c r="A1095" s="6">
        <v>9.4208041421171077E+18</v>
      </c>
      <c r="B1095">
        <v>9</v>
      </c>
      <c r="C1095">
        <v>1</v>
      </c>
      <c r="D1095">
        <v>4034</v>
      </c>
    </row>
    <row r="1096" spans="1:4" x14ac:dyDescent="0.55000000000000004">
      <c r="A1096" s="6">
        <v>9.4244478564576563E+18</v>
      </c>
      <c r="B1096">
        <v>264</v>
      </c>
      <c r="C1096">
        <v>1</v>
      </c>
      <c r="D1096">
        <v>254</v>
      </c>
    </row>
    <row r="1097" spans="1:4" x14ac:dyDescent="0.55000000000000004">
      <c r="A1097" s="6">
        <v>9.4373128268996157E+18</v>
      </c>
      <c r="B1097">
        <v>37</v>
      </c>
      <c r="C1097">
        <v>1</v>
      </c>
      <c r="D1097">
        <v>1741</v>
      </c>
    </row>
    <row r="1098" spans="1:4" x14ac:dyDescent="0.55000000000000004">
      <c r="A1098" s="6">
        <v>9.4455062286359388E+18</v>
      </c>
      <c r="B1098">
        <v>313</v>
      </c>
      <c r="C1098">
        <v>1</v>
      </c>
      <c r="D1098">
        <v>1616</v>
      </c>
    </row>
    <row r="1099" spans="1:4" x14ac:dyDescent="0.55000000000000004">
      <c r="A1099" s="6">
        <v>9.4492502071620915E+18</v>
      </c>
      <c r="B1099">
        <v>418</v>
      </c>
      <c r="C1099">
        <v>1</v>
      </c>
      <c r="D1099">
        <v>299</v>
      </c>
    </row>
    <row r="1100" spans="1:4" x14ac:dyDescent="0.55000000000000004">
      <c r="A1100" s="6">
        <v>9.4514269476234404E+18</v>
      </c>
      <c r="B1100">
        <v>142</v>
      </c>
      <c r="C1100">
        <v>3</v>
      </c>
      <c r="D1100">
        <v>8047</v>
      </c>
    </row>
    <row r="1101" spans="1:4" x14ac:dyDescent="0.55000000000000004">
      <c r="A1101" s="6">
        <v>9.4530084499309056E+18</v>
      </c>
      <c r="B1101">
        <v>660</v>
      </c>
      <c r="C1101">
        <v>1</v>
      </c>
      <c r="D1101">
        <v>1335</v>
      </c>
    </row>
    <row r="1102" spans="1:4" x14ac:dyDescent="0.55000000000000004">
      <c r="A1102" s="6">
        <v>9.4643369197105684E+18</v>
      </c>
      <c r="B1102">
        <v>860</v>
      </c>
      <c r="C1102">
        <v>1</v>
      </c>
      <c r="D1102">
        <v>640</v>
      </c>
    </row>
    <row r="1103" spans="1:4" x14ac:dyDescent="0.55000000000000004">
      <c r="A1103" s="6">
        <v>9.4676140967001108E+18</v>
      </c>
      <c r="B1103">
        <v>46</v>
      </c>
      <c r="C1103">
        <v>2</v>
      </c>
      <c r="D1103">
        <v>6820</v>
      </c>
    </row>
    <row r="1104" spans="1:4" x14ac:dyDescent="0.55000000000000004">
      <c r="A1104" s="6">
        <v>9.4799035867052339E+18</v>
      </c>
      <c r="B1104">
        <v>1114</v>
      </c>
      <c r="C1104">
        <v>1</v>
      </c>
      <c r="D1104">
        <v>635</v>
      </c>
    </row>
    <row r="1105" spans="1:4" x14ac:dyDescent="0.55000000000000004">
      <c r="A1105" s="6">
        <v>9.4805907407423304E+18</v>
      </c>
      <c r="B1105">
        <v>45</v>
      </c>
      <c r="C1105">
        <v>7</v>
      </c>
      <c r="D1105">
        <v>5496</v>
      </c>
    </row>
    <row r="1106" spans="1:4" x14ac:dyDescent="0.55000000000000004">
      <c r="A1106" s="6">
        <v>9.485476403040895E+18</v>
      </c>
      <c r="B1106">
        <v>58</v>
      </c>
      <c r="C1106">
        <v>1</v>
      </c>
      <c r="D1106">
        <v>2594</v>
      </c>
    </row>
    <row r="1107" spans="1:4" x14ac:dyDescent="0.55000000000000004">
      <c r="A1107" s="6">
        <v>9.530727924031914E+18</v>
      </c>
      <c r="B1107">
        <v>489</v>
      </c>
      <c r="C1107">
        <v>1</v>
      </c>
      <c r="D1107">
        <v>455</v>
      </c>
    </row>
    <row r="1108" spans="1:4" x14ac:dyDescent="0.55000000000000004">
      <c r="A1108" s="6">
        <v>9.5406745447199293E+18</v>
      </c>
      <c r="B1108">
        <v>440</v>
      </c>
      <c r="C1108">
        <v>2</v>
      </c>
      <c r="D1108">
        <v>5179</v>
      </c>
    </row>
    <row r="1109" spans="1:4" x14ac:dyDescent="0.55000000000000004">
      <c r="A1109" s="6">
        <v>9.5486237307164324E+18</v>
      </c>
      <c r="B1109">
        <v>41</v>
      </c>
      <c r="C1109">
        <v>1</v>
      </c>
      <c r="D1109">
        <v>960</v>
      </c>
    </row>
    <row r="1110" spans="1:4" x14ac:dyDescent="0.55000000000000004">
      <c r="A1110" s="6">
        <v>9.5516477578069279E+18</v>
      </c>
      <c r="B1110">
        <v>884</v>
      </c>
      <c r="C1110">
        <v>1</v>
      </c>
      <c r="D1110">
        <v>3558</v>
      </c>
    </row>
    <row r="1111" spans="1:4" x14ac:dyDescent="0.55000000000000004">
      <c r="A1111" s="6">
        <v>9.5591234173917E+18</v>
      </c>
      <c r="B1111">
        <v>877</v>
      </c>
      <c r="C1111">
        <v>1</v>
      </c>
      <c r="D1111">
        <v>238</v>
      </c>
    </row>
    <row r="1112" spans="1:4" x14ac:dyDescent="0.55000000000000004">
      <c r="A1112" s="6">
        <v>9.5659590855992033E+18</v>
      </c>
      <c r="B1112">
        <v>35</v>
      </c>
      <c r="C1112">
        <v>1</v>
      </c>
      <c r="D1112">
        <v>309</v>
      </c>
    </row>
    <row r="1113" spans="1:4" x14ac:dyDescent="0.55000000000000004">
      <c r="A1113" s="6">
        <v>9.5853742423765955E+18</v>
      </c>
      <c r="B1113">
        <v>643</v>
      </c>
      <c r="C1113">
        <v>1</v>
      </c>
      <c r="D1113">
        <v>312</v>
      </c>
    </row>
    <row r="1114" spans="1:4" x14ac:dyDescent="0.55000000000000004">
      <c r="A1114" s="6">
        <v>9.5933404343184896E+18</v>
      </c>
      <c r="B1114">
        <v>412</v>
      </c>
      <c r="C1114">
        <v>1</v>
      </c>
      <c r="D1114">
        <v>147</v>
      </c>
    </row>
    <row r="1115" spans="1:4" x14ac:dyDescent="0.55000000000000004">
      <c r="A1115" s="6">
        <v>9.6017999578407936E+18</v>
      </c>
      <c r="B1115">
        <v>494</v>
      </c>
      <c r="C1115">
        <v>1</v>
      </c>
      <c r="D1115">
        <v>1420</v>
      </c>
    </row>
    <row r="1116" spans="1:4" x14ac:dyDescent="0.55000000000000004">
      <c r="A1116" s="6">
        <v>9.6122222484694364E+18</v>
      </c>
      <c r="B1116">
        <v>347</v>
      </c>
      <c r="C1116">
        <v>2</v>
      </c>
      <c r="D1116">
        <v>2144</v>
      </c>
    </row>
    <row r="1117" spans="1:4" x14ac:dyDescent="0.55000000000000004">
      <c r="A1117" s="6">
        <v>9.6222725376012984E+18</v>
      </c>
      <c r="B1117">
        <v>82</v>
      </c>
      <c r="C1117">
        <v>1</v>
      </c>
      <c r="D1117">
        <v>2380</v>
      </c>
    </row>
    <row r="1118" spans="1:4" x14ac:dyDescent="0.55000000000000004">
      <c r="A1118" s="6">
        <v>9.6234067619688038E+18</v>
      </c>
      <c r="B1118">
        <v>268</v>
      </c>
      <c r="C1118">
        <v>2</v>
      </c>
      <c r="D1118">
        <v>1830</v>
      </c>
    </row>
    <row r="1119" spans="1:4" x14ac:dyDescent="0.55000000000000004">
      <c r="A1119" s="6">
        <v>9.6290341339779236E+18</v>
      </c>
      <c r="B1119">
        <v>683</v>
      </c>
      <c r="C1119">
        <v>1</v>
      </c>
      <c r="D1119">
        <v>9477</v>
      </c>
    </row>
    <row r="1120" spans="1:4" x14ac:dyDescent="0.55000000000000004">
      <c r="A1120" s="6">
        <v>9.6321694814680187E+18</v>
      </c>
      <c r="B1120">
        <v>516</v>
      </c>
      <c r="C1120">
        <v>1</v>
      </c>
      <c r="D1120">
        <v>282</v>
      </c>
    </row>
    <row r="1121" spans="1:4" x14ac:dyDescent="0.55000000000000004">
      <c r="A1121" s="6">
        <v>9.6345036687614505E+18</v>
      </c>
      <c r="B1121">
        <v>693</v>
      </c>
      <c r="C1121">
        <v>1</v>
      </c>
      <c r="D1121">
        <v>867</v>
      </c>
    </row>
    <row r="1122" spans="1:4" x14ac:dyDescent="0.55000000000000004">
      <c r="A1122" s="6">
        <v>9.6368420175897559E+18</v>
      </c>
      <c r="B1122">
        <v>179</v>
      </c>
      <c r="C1122">
        <v>1</v>
      </c>
      <c r="D1122">
        <v>632</v>
      </c>
    </row>
    <row r="1123" spans="1:4" x14ac:dyDescent="0.55000000000000004">
      <c r="A1123" s="6">
        <v>9.6386809581655101E+18</v>
      </c>
      <c r="B1123">
        <v>428</v>
      </c>
      <c r="C1123">
        <v>1</v>
      </c>
      <c r="D1123">
        <v>869</v>
      </c>
    </row>
    <row r="1124" spans="1:4" x14ac:dyDescent="0.55000000000000004">
      <c r="A1124" s="6">
        <v>9.6444022899638211E+18</v>
      </c>
      <c r="B1124">
        <v>310</v>
      </c>
      <c r="C1124">
        <v>1</v>
      </c>
      <c r="D1124">
        <v>146</v>
      </c>
    </row>
    <row r="1125" spans="1:4" x14ac:dyDescent="0.55000000000000004">
      <c r="A1125" s="6">
        <v>9.6483656327770194E+18</v>
      </c>
      <c r="B1125">
        <v>219</v>
      </c>
      <c r="C1125">
        <v>2</v>
      </c>
      <c r="D1125">
        <v>830</v>
      </c>
    </row>
    <row r="1126" spans="1:4" x14ac:dyDescent="0.55000000000000004">
      <c r="A1126" s="6">
        <v>9.6642641141780828E+18</v>
      </c>
      <c r="B1126">
        <v>610</v>
      </c>
      <c r="C1126">
        <v>1</v>
      </c>
      <c r="D1126">
        <v>5580</v>
      </c>
    </row>
    <row r="1127" spans="1:4" x14ac:dyDescent="0.55000000000000004">
      <c r="A1127" s="6">
        <v>9.6644451978526269E+18</v>
      </c>
      <c r="B1127">
        <v>138</v>
      </c>
      <c r="C1127">
        <v>2</v>
      </c>
      <c r="D1127">
        <v>2820</v>
      </c>
    </row>
    <row r="1128" spans="1:4" x14ac:dyDescent="0.55000000000000004">
      <c r="A1128" s="6">
        <v>9.6984337750557348E+18</v>
      </c>
      <c r="B1128">
        <v>299</v>
      </c>
      <c r="C1128">
        <v>1</v>
      </c>
      <c r="D1128">
        <v>2260</v>
      </c>
    </row>
    <row r="1129" spans="1:4" x14ac:dyDescent="0.55000000000000004">
      <c r="A1129" s="6">
        <v>9.7040377157444792E+18</v>
      </c>
      <c r="B1129">
        <v>337</v>
      </c>
      <c r="C1129">
        <v>1</v>
      </c>
      <c r="D1129">
        <v>1839</v>
      </c>
    </row>
    <row r="1130" spans="1:4" x14ac:dyDescent="0.55000000000000004">
      <c r="A1130" s="6">
        <v>9.7042332944123105E+18</v>
      </c>
      <c r="B1130">
        <v>228</v>
      </c>
      <c r="C1130">
        <v>3</v>
      </c>
      <c r="D1130">
        <v>34200</v>
      </c>
    </row>
    <row r="1131" spans="1:4" x14ac:dyDescent="0.55000000000000004">
      <c r="A1131" s="6">
        <v>9.7256486500598088E+18</v>
      </c>
      <c r="B1131">
        <v>265</v>
      </c>
      <c r="C1131">
        <v>1</v>
      </c>
      <c r="D1131">
        <v>1359</v>
      </c>
    </row>
    <row r="1132" spans="1:4" x14ac:dyDescent="0.55000000000000004">
      <c r="A1132" s="6">
        <v>9.7425249189334835E+18</v>
      </c>
      <c r="B1132">
        <v>566</v>
      </c>
      <c r="C1132">
        <v>2</v>
      </c>
      <c r="D1132">
        <v>25686</v>
      </c>
    </row>
    <row r="1133" spans="1:4" x14ac:dyDescent="0.55000000000000004">
      <c r="A1133" s="6">
        <v>9.7528196234259067E+18</v>
      </c>
      <c r="B1133">
        <v>447</v>
      </c>
      <c r="C1133">
        <v>1</v>
      </c>
      <c r="D1133">
        <v>390</v>
      </c>
    </row>
    <row r="1134" spans="1:4" x14ac:dyDescent="0.55000000000000004">
      <c r="A1134" s="6">
        <v>9.7566304659651379E+18</v>
      </c>
      <c r="B1134">
        <v>574</v>
      </c>
      <c r="C1134">
        <v>1</v>
      </c>
      <c r="D1134">
        <v>37</v>
      </c>
    </row>
    <row r="1135" spans="1:4" x14ac:dyDescent="0.55000000000000004">
      <c r="A1135" s="6">
        <v>9.771607642693548E+18</v>
      </c>
      <c r="B1135">
        <v>504</v>
      </c>
      <c r="C1135">
        <v>2</v>
      </c>
      <c r="D1135">
        <v>6278</v>
      </c>
    </row>
    <row r="1136" spans="1:4" x14ac:dyDescent="0.55000000000000004">
      <c r="A1136" s="6">
        <v>9.7780975587307356E+18</v>
      </c>
      <c r="B1136">
        <v>844</v>
      </c>
      <c r="C1136">
        <v>2</v>
      </c>
      <c r="D1136">
        <v>2515</v>
      </c>
    </row>
    <row r="1137" spans="1:4" x14ac:dyDescent="0.55000000000000004">
      <c r="A1137" s="6">
        <v>9.7783392705113784E+18</v>
      </c>
      <c r="B1137">
        <v>248</v>
      </c>
      <c r="C1137">
        <v>3</v>
      </c>
      <c r="D1137">
        <v>1361</v>
      </c>
    </row>
    <row r="1138" spans="1:4" x14ac:dyDescent="0.55000000000000004">
      <c r="A1138" s="6">
        <v>9.7965584736728637E+18</v>
      </c>
      <c r="B1138">
        <v>137</v>
      </c>
      <c r="C1138">
        <v>1</v>
      </c>
      <c r="D1138">
        <v>4632</v>
      </c>
    </row>
    <row r="1139" spans="1:4" x14ac:dyDescent="0.55000000000000004">
      <c r="A1139" s="6">
        <v>9.8017052863253606E+18</v>
      </c>
      <c r="B1139">
        <v>1296</v>
      </c>
      <c r="C1139">
        <v>1</v>
      </c>
      <c r="D1139">
        <v>1374</v>
      </c>
    </row>
    <row r="1140" spans="1:4" x14ac:dyDescent="0.55000000000000004">
      <c r="A1140" s="6">
        <v>9.8054516504646656E+18</v>
      </c>
      <c r="B1140">
        <v>597</v>
      </c>
      <c r="C1140">
        <v>1</v>
      </c>
      <c r="D1140">
        <v>3399</v>
      </c>
    </row>
    <row r="1141" spans="1:4" x14ac:dyDescent="0.55000000000000004">
      <c r="A1141" s="6">
        <v>9.8164444941960991E+18</v>
      </c>
      <c r="B1141">
        <v>500</v>
      </c>
      <c r="C1141">
        <v>2</v>
      </c>
      <c r="D1141">
        <v>3842</v>
      </c>
    </row>
    <row r="1142" spans="1:4" x14ac:dyDescent="0.55000000000000004">
      <c r="A1142" s="6">
        <v>9.8187111120081879E+18</v>
      </c>
      <c r="B1142">
        <v>215</v>
      </c>
      <c r="C1142">
        <v>1</v>
      </c>
      <c r="D1142">
        <v>2690</v>
      </c>
    </row>
    <row r="1143" spans="1:4" x14ac:dyDescent="0.55000000000000004">
      <c r="A1143" s="6">
        <v>9.8205187287879721E+18</v>
      </c>
      <c r="B1143">
        <v>722</v>
      </c>
      <c r="C1143">
        <v>1</v>
      </c>
      <c r="D1143">
        <v>3081</v>
      </c>
    </row>
    <row r="1144" spans="1:4" x14ac:dyDescent="0.55000000000000004">
      <c r="A1144" s="6">
        <v>9.8583348048057221E+18</v>
      </c>
      <c r="B1144">
        <v>1274</v>
      </c>
      <c r="C1144">
        <v>1</v>
      </c>
      <c r="D1144">
        <v>55</v>
      </c>
    </row>
    <row r="1145" spans="1:4" x14ac:dyDescent="0.55000000000000004">
      <c r="A1145" s="6">
        <v>9.8594125700887286E+18</v>
      </c>
      <c r="B1145">
        <v>1135</v>
      </c>
      <c r="C1145">
        <v>1</v>
      </c>
      <c r="D1145">
        <v>1307</v>
      </c>
    </row>
    <row r="1146" spans="1:4" x14ac:dyDescent="0.55000000000000004">
      <c r="A1146" s="6">
        <v>9.876101599355945E+18</v>
      </c>
      <c r="B1146">
        <v>731</v>
      </c>
      <c r="C1146">
        <v>1</v>
      </c>
      <c r="D1146">
        <v>490</v>
      </c>
    </row>
    <row r="1147" spans="1:4" x14ac:dyDescent="0.55000000000000004">
      <c r="A1147" s="6">
        <v>9.8779459301162066E+18</v>
      </c>
      <c r="B1147">
        <v>445</v>
      </c>
      <c r="C1147">
        <v>1</v>
      </c>
      <c r="D1147">
        <v>690</v>
      </c>
    </row>
    <row r="1148" spans="1:4" x14ac:dyDescent="0.55000000000000004">
      <c r="A1148" s="6">
        <v>9.8964021860478259E+18</v>
      </c>
      <c r="B1148">
        <v>1035</v>
      </c>
      <c r="C1148">
        <v>1</v>
      </c>
      <c r="D1148">
        <v>156</v>
      </c>
    </row>
    <row r="1149" spans="1:4" x14ac:dyDescent="0.55000000000000004">
      <c r="A1149" s="6">
        <v>9.9012415893607588E+18</v>
      </c>
      <c r="B1149">
        <v>40</v>
      </c>
      <c r="C1149">
        <v>2</v>
      </c>
      <c r="D1149">
        <v>1577</v>
      </c>
    </row>
    <row r="1150" spans="1:4" x14ac:dyDescent="0.55000000000000004">
      <c r="A1150" s="6">
        <v>9.9043953447114916E+18</v>
      </c>
      <c r="B1150">
        <v>104</v>
      </c>
      <c r="C1150">
        <v>2</v>
      </c>
      <c r="D1150">
        <v>2521</v>
      </c>
    </row>
    <row r="1151" spans="1:4" x14ac:dyDescent="0.55000000000000004">
      <c r="A1151" s="6">
        <v>9.9205548463903089E+18</v>
      </c>
      <c r="B1151">
        <v>1069</v>
      </c>
      <c r="C1151">
        <v>1</v>
      </c>
      <c r="D1151">
        <v>331</v>
      </c>
    </row>
    <row r="1152" spans="1:4" x14ac:dyDescent="0.55000000000000004">
      <c r="A1152" s="6">
        <v>9.925676577248469E+18</v>
      </c>
      <c r="B1152">
        <v>1130</v>
      </c>
      <c r="C1152">
        <v>1</v>
      </c>
      <c r="D1152">
        <v>206</v>
      </c>
    </row>
    <row r="1153" spans="1:4" x14ac:dyDescent="0.55000000000000004">
      <c r="A1153" s="6">
        <v>9.946256903831636E+18</v>
      </c>
      <c r="B1153">
        <v>386</v>
      </c>
      <c r="C1153">
        <v>1</v>
      </c>
      <c r="D1153">
        <v>141</v>
      </c>
    </row>
    <row r="1154" spans="1:4" x14ac:dyDescent="0.55000000000000004">
      <c r="A1154" s="6">
        <v>9.9662904005672284E+18</v>
      </c>
      <c r="B1154">
        <v>299</v>
      </c>
      <c r="C1154">
        <v>1</v>
      </c>
      <c r="D1154">
        <v>3966</v>
      </c>
    </row>
    <row r="1155" spans="1:4" x14ac:dyDescent="0.55000000000000004">
      <c r="A1155" s="6">
        <v>9.968207945847255E+18</v>
      </c>
      <c r="B1155">
        <v>1083</v>
      </c>
      <c r="C1155">
        <v>1</v>
      </c>
      <c r="D1155">
        <v>407</v>
      </c>
    </row>
    <row r="1156" spans="1:4" x14ac:dyDescent="0.55000000000000004">
      <c r="A1156" s="6">
        <v>9.9765413218044355E+18</v>
      </c>
      <c r="B1156">
        <v>366</v>
      </c>
      <c r="C1156">
        <v>1</v>
      </c>
      <c r="D1156">
        <v>494</v>
      </c>
    </row>
    <row r="1157" spans="1:4" x14ac:dyDescent="0.55000000000000004">
      <c r="A1157" s="6">
        <v>9.9885827118705459E+18</v>
      </c>
      <c r="B1157">
        <v>635</v>
      </c>
      <c r="C1157">
        <v>1</v>
      </c>
      <c r="D1157">
        <v>8547</v>
      </c>
    </row>
    <row r="1158" spans="1:4" x14ac:dyDescent="0.55000000000000004">
      <c r="A1158" s="6">
        <v>9.9893236953326203E+18</v>
      </c>
      <c r="B1158">
        <v>24</v>
      </c>
      <c r="C1158">
        <v>1</v>
      </c>
      <c r="D1158">
        <v>1440</v>
      </c>
    </row>
    <row r="1159" spans="1:4" x14ac:dyDescent="0.55000000000000004">
      <c r="A1159" s="6">
        <v>1.0004754062795839E+19</v>
      </c>
      <c r="B1159">
        <v>157</v>
      </c>
      <c r="C1159">
        <v>1</v>
      </c>
      <c r="D1159">
        <v>1947</v>
      </c>
    </row>
    <row r="1160" spans="1:4" x14ac:dyDescent="0.55000000000000004">
      <c r="A1160" s="6">
        <v>1.000893489261431E+19</v>
      </c>
      <c r="B1160">
        <v>45</v>
      </c>
      <c r="C1160">
        <v>2</v>
      </c>
      <c r="D1160">
        <v>1996</v>
      </c>
    </row>
    <row r="1161" spans="1:4" x14ac:dyDescent="0.55000000000000004">
      <c r="A1161" s="6">
        <v>1.002818524851295E+19</v>
      </c>
      <c r="B1161">
        <v>43</v>
      </c>
      <c r="C1161">
        <v>2</v>
      </c>
      <c r="D1161">
        <v>14647</v>
      </c>
    </row>
    <row r="1162" spans="1:4" x14ac:dyDescent="0.55000000000000004">
      <c r="A1162" s="6">
        <v>1.0033077588166869E+19</v>
      </c>
      <c r="B1162">
        <v>319</v>
      </c>
      <c r="C1162">
        <v>1</v>
      </c>
      <c r="D1162">
        <v>199</v>
      </c>
    </row>
    <row r="1163" spans="1:4" x14ac:dyDescent="0.55000000000000004">
      <c r="A1163" s="6">
        <v>1.0033289922119229E+19</v>
      </c>
      <c r="B1163">
        <v>516</v>
      </c>
      <c r="C1163">
        <v>1</v>
      </c>
      <c r="D1163">
        <v>1319</v>
      </c>
    </row>
    <row r="1164" spans="1:4" x14ac:dyDescent="0.55000000000000004">
      <c r="A1164" s="6">
        <v>1.004436856264552E+19</v>
      </c>
      <c r="B1164">
        <v>173</v>
      </c>
      <c r="C1164">
        <v>4</v>
      </c>
      <c r="D1164">
        <v>7152</v>
      </c>
    </row>
    <row r="1165" spans="1:4" x14ac:dyDescent="0.55000000000000004">
      <c r="A1165" s="6">
        <v>1.006248546800275E+19</v>
      </c>
      <c r="B1165">
        <v>775</v>
      </c>
      <c r="C1165">
        <v>1</v>
      </c>
      <c r="D1165">
        <v>1320</v>
      </c>
    </row>
    <row r="1166" spans="1:4" x14ac:dyDescent="0.55000000000000004">
      <c r="A1166" s="6">
        <v>1.0069732117183441E+19</v>
      </c>
      <c r="B1166">
        <v>112</v>
      </c>
      <c r="C1166">
        <v>1</v>
      </c>
      <c r="D1166">
        <v>2670</v>
      </c>
    </row>
    <row r="1167" spans="1:4" x14ac:dyDescent="0.55000000000000004">
      <c r="A1167" s="6">
        <v>1.008134325216351E+19</v>
      </c>
      <c r="B1167">
        <v>325</v>
      </c>
      <c r="C1167">
        <v>1</v>
      </c>
      <c r="D1167">
        <v>718</v>
      </c>
    </row>
    <row r="1168" spans="1:4" x14ac:dyDescent="0.55000000000000004">
      <c r="A1168" s="6">
        <v>1.008690972992922E+19</v>
      </c>
      <c r="B1168">
        <v>1147</v>
      </c>
      <c r="C1168">
        <v>1</v>
      </c>
      <c r="D1168">
        <v>3591</v>
      </c>
    </row>
    <row r="1169" spans="1:4" x14ac:dyDescent="0.55000000000000004">
      <c r="A1169" s="6">
        <v>1.0094740595714761E+19</v>
      </c>
      <c r="B1169">
        <v>314</v>
      </c>
      <c r="C1169">
        <v>1</v>
      </c>
      <c r="D1169">
        <v>270</v>
      </c>
    </row>
    <row r="1170" spans="1:4" x14ac:dyDescent="0.55000000000000004">
      <c r="A1170" s="6">
        <v>1.010084852275994E+19</v>
      </c>
      <c r="B1170">
        <v>120</v>
      </c>
      <c r="C1170">
        <v>5</v>
      </c>
      <c r="D1170">
        <v>11574</v>
      </c>
    </row>
    <row r="1171" spans="1:4" x14ac:dyDescent="0.55000000000000004">
      <c r="A1171" s="6">
        <v>1.0101712164839559E+19</v>
      </c>
      <c r="B1171">
        <v>423</v>
      </c>
      <c r="C1171">
        <v>1</v>
      </c>
      <c r="D1171">
        <v>363</v>
      </c>
    </row>
    <row r="1172" spans="1:4" x14ac:dyDescent="0.55000000000000004">
      <c r="A1172" s="6">
        <v>1.010356609631957E+19</v>
      </c>
      <c r="B1172">
        <v>253</v>
      </c>
      <c r="C1172">
        <v>3</v>
      </c>
      <c r="D1172">
        <v>1573</v>
      </c>
    </row>
    <row r="1173" spans="1:4" x14ac:dyDescent="0.55000000000000004">
      <c r="A1173" s="6">
        <v>1.0106165432899029E+19</v>
      </c>
      <c r="B1173">
        <v>486</v>
      </c>
      <c r="C1173">
        <v>1</v>
      </c>
      <c r="D1173">
        <v>803</v>
      </c>
    </row>
    <row r="1174" spans="1:4" x14ac:dyDescent="0.55000000000000004">
      <c r="A1174" s="6">
        <v>1.0124995188450449E+19</v>
      </c>
      <c r="B1174">
        <v>398</v>
      </c>
      <c r="C1174">
        <v>2</v>
      </c>
      <c r="D1174">
        <v>24766</v>
      </c>
    </row>
    <row r="1175" spans="1:4" x14ac:dyDescent="0.55000000000000004">
      <c r="A1175" s="6">
        <v>1.0142052197562481E+19</v>
      </c>
      <c r="B1175">
        <v>60</v>
      </c>
      <c r="C1175">
        <v>2</v>
      </c>
      <c r="D1175">
        <v>7940</v>
      </c>
    </row>
    <row r="1176" spans="1:4" x14ac:dyDescent="0.55000000000000004">
      <c r="A1176" s="6">
        <v>1.0144809785486309E+19</v>
      </c>
      <c r="B1176">
        <v>660</v>
      </c>
      <c r="C1176">
        <v>1</v>
      </c>
      <c r="D1176">
        <v>13815</v>
      </c>
    </row>
    <row r="1177" spans="1:4" x14ac:dyDescent="0.55000000000000004">
      <c r="A1177" s="6">
        <v>1.015165737764199E+19</v>
      </c>
      <c r="B1177">
        <v>104</v>
      </c>
      <c r="C1177">
        <v>2</v>
      </c>
      <c r="D1177">
        <v>4522</v>
      </c>
    </row>
    <row r="1178" spans="1:4" x14ac:dyDescent="0.55000000000000004">
      <c r="A1178" s="6">
        <v>1.0162945802526751E+19</v>
      </c>
      <c r="B1178">
        <v>389</v>
      </c>
      <c r="C1178">
        <v>1</v>
      </c>
      <c r="D1178">
        <v>565</v>
      </c>
    </row>
    <row r="1179" spans="1:4" x14ac:dyDescent="0.55000000000000004">
      <c r="A1179" s="6">
        <v>1.017263899543826E+19</v>
      </c>
      <c r="B1179">
        <v>27</v>
      </c>
      <c r="C1179">
        <v>1</v>
      </c>
      <c r="D1179">
        <v>1152</v>
      </c>
    </row>
    <row r="1180" spans="1:4" x14ac:dyDescent="0.55000000000000004">
      <c r="A1180" s="6">
        <v>1.0205499400559471E+19</v>
      </c>
      <c r="B1180">
        <v>699</v>
      </c>
      <c r="C1180">
        <v>1</v>
      </c>
      <c r="D1180">
        <v>3977</v>
      </c>
    </row>
    <row r="1181" spans="1:4" x14ac:dyDescent="0.55000000000000004">
      <c r="A1181" s="6">
        <v>1.0208256641071489E+19</v>
      </c>
      <c r="B1181">
        <v>412</v>
      </c>
      <c r="C1181">
        <v>3</v>
      </c>
      <c r="D1181">
        <v>3917</v>
      </c>
    </row>
    <row r="1182" spans="1:4" x14ac:dyDescent="0.55000000000000004">
      <c r="A1182" s="6">
        <v>1.0208362165942811E+19</v>
      </c>
      <c r="B1182">
        <v>762</v>
      </c>
      <c r="C1182">
        <v>1</v>
      </c>
      <c r="D1182">
        <v>403</v>
      </c>
    </row>
    <row r="1183" spans="1:4" x14ac:dyDescent="0.55000000000000004">
      <c r="A1183" s="6">
        <v>1.02172950625995E+19</v>
      </c>
      <c r="B1183">
        <v>62</v>
      </c>
      <c r="C1183">
        <v>1</v>
      </c>
      <c r="D1183">
        <v>1500</v>
      </c>
    </row>
    <row r="1184" spans="1:4" x14ac:dyDescent="0.55000000000000004">
      <c r="A1184" s="6">
        <v>1.0219666372856611E+19</v>
      </c>
      <c r="B1184">
        <v>464</v>
      </c>
      <c r="C1184">
        <v>1</v>
      </c>
      <c r="D1184">
        <v>338</v>
      </c>
    </row>
    <row r="1185" spans="1:4" x14ac:dyDescent="0.55000000000000004">
      <c r="A1185" s="6">
        <v>1.023326339046786E+19</v>
      </c>
      <c r="B1185">
        <v>258</v>
      </c>
      <c r="C1185">
        <v>4</v>
      </c>
      <c r="D1185">
        <v>12153</v>
      </c>
    </row>
    <row r="1186" spans="1:4" x14ac:dyDescent="0.55000000000000004">
      <c r="A1186" s="6">
        <v>1.02390262991266E+19</v>
      </c>
      <c r="B1186">
        <v>251</v>
      </c>
      <c r="C1186">
        <v>1</v>
      </c>
      <c r="D1186">
        <v>1271</v>
      </c>
    </row>
    <row r="1187" spans="1:4" x14ac:dyDescent="0.55000000000000004">
      <c r="A1187" s="6">
        <v>1.0248370963254919E+19</v>
      </c>
      <c r="B1187">
        <v>704</v>
      </c>
      <c r="C1187">
        <v>1</v>
      </c>
      <c r="D1187">
        <v>389</v>
      </c>
    </row>
    <row r="1188" spans="1:4" x14ac:dyDescent="0.55000000000000004">
      <c r="A1188" s="6">
        <v>1.025795227830743E+19</v>
      </c>
      <c r="B1188">
        <v>436</v>
      </c>
      <c r="C1188">
        <v>1</v>
      </c>
      <c r="D1188">
        <v>1028</v>
      </c>
    </row>
    <row r="1189" spans="1:4" x14ac:dyDescent="0.55000000000000004">
      <c r="A1189" s="6">
        <v>1.02766341055186E+19</v>
      </c>
      <c r="B1189">
        <v>505</v>
      </c>
      <c r="C1189">
        <v>1</v>
      </c>
      <c r="D1189">
        <v>179</v>
      </c>
    </row>
    <row r="1190" spans="1:4" x14ac:dyDescent="0.55000000000000004">
      <c r="A1190" s="6">
        <v>1.0304751137086179E+19</v>
      </c>
      <c r="B1190">
        <v>119</v>
      </c>
      <c r="C1190">
        <v>2</v>
      </c>
      <c r="D1190">
        <v>3845</v>
      </c>
    </row>
    <row r="1191" spans="1:4" x14ac:dyDescent="0.55000000000000004">
      <c r="A1191" s="6">
        <v>1.0338236646254201E+19</v>
      </c>
      <c r="B1191">
        <v>1041</v>
      </c>
      <c r="C1191">
        <v>1</v>
      </c>
      <c r="D1191">
        <v>568</v>
      </c>
    </row>
    <row r="1192" spans="1:4" x14ac:dyDescent="0.55000000000000004">
      <c r="A1192" s="6">
        <v>1.0338627140176869E+19</v>
      </c>
      <c r="B1192">
        <v>283</v>
      </c>
      <c r="C1192">
        <v>1</v>
      </c>
      <c r="D1192">
        <v>1552</v>
      </c>
    </row>
    <row r="1193" spans="1:4" x14ac:dyDescent="0.55000000000000004">
      <c r="A1193" s="6">
        <v>1.034546681665433E+19</v>
      </c>
      <c r="B1193">
        <v>401</v>
      </c>
      <c r="C1193">
        <v>1</v>
      </c>
      <c r="D1193">
        <v>1138</v>
      </c>
    </row>
    <row r="1194" spans="1:4" x14ac:dyDescent="0.55000000000000004">
      <c r="A1194" s="6">
        <v>1.035327787919958E+19</v>
      </c>
      <c r="B1194">
        <v>1275</v>
      </c>
      <c r="C1194">
        <v>1</v>
      </c>
      <c r="D1194">
        <v>1700</v>
      </c>
    </row>
    <row r="1195" spans="1:4" x14ac:dyDescent="0.55000000000000004">
      <c r="A1195" s="6">
        <v>1.035827534613317E+19</v>
      </c>
      <c r="B1195">
        <v>63</v>
      </c>
      <c r="C1195">
        <v>2</v>
      </c>
      <c r="D1195">
        <v>5619</v>
      </c>
    </row>
    <row r="1196" spans="1:4" x14ac:dyDescent="0.55000000000000004">
      <c r="A1196" s="6">
        <v>1.0359063996735889E+19</v>
      </c>
      <c r="B1196">
        <v>239</v>
      </c>
      <c r="C1196">
        <v>2</v>
      </c>
      <c r="D1196">
        <v>9922</v>
      </c>
    </row>
    <row r="1197" spans="1:4" x14ac:dyDescent="0.55000000000000004">
      <c r="A1197" s="6">
        <v>1.036004001663831E+19</v>
      </c>
      <c r="B1197">
        <v>71</v>
      </c>
      <c r="C1197">
        <v>1</v>
      </c>
      <c r="D1197">
        <v>4153</v>
      </c>
    </row>
    <row r="1198" spans="1:4" x14ac:dyDescent="0.55000000000000004">
      <c r="A1198" s="6">
        <v>1.0360110391397169E+19</v>
      </c>
      <c r="B1198">
        <v>316</v>
      </c>
      <c r="C1198">
        <v>1</v>
      </c>
      <c r="D1198">
        <v>898</v>
      </c>
    </row>
    <row r="1199" spans="1:4" x14ac:dyDescent="0.55000000000000004">
      <c r="A1199" s="6">
        <v>1.0364042101909621E+19</v>
      </c>
      <c r="B1199">
        <v>1085</v>
      </c>
      <c r="C1199">
        <v>1</v>
      </c>
      <c r="D1199">
        <v>1410</v>
      </c>
    </row>
    <row r="1200" spans="1:4" x14ac:dyDescent="0.55000000000000004">
      <c r="A1200" s="6">
        <v>1.0390051833668731E+19</v>
      </c>
      <c r="B1200">
        <v>754</v>
      </c>
      <c r="C1200">
        <v>1</v>
      </c>
      <c r="D1200">
        <v>3184</v>
      </c>
    </row>
    <row r="1201" spans="1:4" x14ac:dyDescent="0.55000000000000004">
      <c r="A1201" s="6">
        <v>1.039255605560328E+19</v>
      </c>
      <c r="B1201">
        <v>868</v>
      </c>
      <c r="C1201">
        <v>2</v>
      </c>
      <c r="D1201">
        <v>2987</v>
      </c>
    </row>
    <row r="1202" spans="1:4" x14ac:dyDescent="0.55000000000000004">
      <c r="A1202" s="6">
        <v>1.0394272471463299E+19</v>
      </c>
      <c r="B1202">
        <v>226</v>
      </c>
      <c r="C1202">
        <v>1</v>
      </c>
      <c r="D1202">
        <v>9045</v>
      </c>
    </row>
    <row r="1203" spans="1:4" x14ac:dyDescent="0.55000000000000004">
      <c r="A1203" s="6">
        <v>1.040412174818116E+19</v>
      </c>
      <c r="B1203">
        <v>1078</v>
      </c>
      <c r="C1203">
        <v>1</v>
      </c>
      <c r="D1203">
        <v>1100</v>
      </c>
    </row>
    <row r="1204" spans="1:4" x14ac:dyDescent="0.55000000000000004">
      <c r="A1204" s="6">
        <v>1.041325585662787E+19</v>
      </c>
      <c r="B1204">
        <v>240</v>
      </c>
      <c r="C1204">
        <v>1</v>
      </c>
      <c r="D1204">
        <v>3771</v>
      </c>
    </row>
    <row r="1205" spans="1:4" x14ac:dyDescent="0.55000000000000004">
      <c r="A1205" s="6">
        <v>1.042579710060724E+19</v>
      </c>
      <c r="B1205">
        <v>259</v>
      </c>
      <c r="C1205">
        <v>1</v>
      </c>
      <c r="D1205">
        <v>2310</v>
      </c>
    </row>
    <row r="1206" spans="1:4" x14ac:dyDescent="0.55000000000000004">
      <c r="A1206" s="6">
        <v>1.0432509521820989E+19</v>
      </c>
      <c r="B1206">
        <v>923</v>
      </c>
      <c r="C1206">
        <v>1</v>
      </c>
      <c r="D1206">
        <v>1190</v>
      </c>
    </row>
    <row r="1207" spans="1:4" x14ac:dyDescent="0.55000000000000004">
      <c r="A1207" s="6">
        <v>1.0442949896467859E+19</v>
      </c>
      <c r="B1207">
        <v>472</v>
      </c>
      <c r="C1207">
        <v>2</v>
      </c>
      <c r="D1207">
        <v>2215</v>
      </c>
    </row>
    <row r="1208" spans="1:4" x14ac:dyDescent="0.55000000000000004">
      <c r="A1208" s="6">
        <v>1.0445950144183841E+19</v>
      </c>
      <c r="B1208">
        <v>932</v>
      </c>
      <c r="C1208">
        <v>1</v>
      </c>
      <c r="D1208">
        <v>153</v>
      </c>
    </row>
    <row r="1209" spans="1:4" x14ac:dyDescent="0.55000000000000004">
      <c r="A1209" s="6">
        <v>1.045491442995763E+19</v>
      </c>
      <c r="B1209">
        <v>206</v>
      </c>
      <c r="C1209">
        <v>1</v>
      </c>
      <c r="D1209">
        <v>1719</v>
      </c>
    </row>
    <row r="1210" spans="1:4" x14ac:dyDescent="0.55000000000000004">
      <c r="A1210" s="6">
        <v>1.0456691425489639E+19</v>
      </c>
      <c r="B1210">
        <v>778</v>
      </c>
      <c r="C1210">
        <v>1</v>
      </c>
      <c r="D1210">
        <v>4760</v>
      </c>
    </row>
    <row r="1211" spans="1:4" x14ac:dyDescent="0.55000000000000004">
      <c r="A1211" s="6">
        <v>1.046090249916964E+19</v>
      </c>
      <c r="B1211">
        <v>516</v>
      </c>
      <c r="C1211">
        <v>1</v>
      </c>
      <c r="D1211">
        <v>1161</v>
      </c>
    </row>
    <row r="1212" spans="1:4" x14ac:dyDescent="0.55000000000000004">
      <c r="A1212" s="6">
        <v>1.0464603795510839E+19</v>
      </c>
      <c r="B1212">
        <v>1</v>
      </c>
      <c r="C1212">
        <v>2</v>
      </c>
      <c r="D1212">
        <v>3357</v>
      </c>
    </row>
    <row r="1213" spans="1:4" x14ac:dyDescent="0.55000000000000004">
      <c r="A1213" s="6">
        <v>1.049243531480115E+19</v>
      </c>
      <c r="B1213">
        <v>255</v>
      </c>
      <c r="C1213">
        <v>1</v>
      </c>
      <c r="D1213">
        <v>2970</v>
      </c>
    </row>
    <row r="1214" spans="1:4" x14ac:dyDescent="0.55000000000000004">
      <c r="A1214" s="6">
        <v>1.049400920101052E+19</v>
      </c>
      <c r="B1214">
        <v>310</v>
      </c>
      <c r="C1214">
        <v>1</v>
      </c>
      <c r="D1214">
        <v>1430</v>
      </c>
    </row>
    <row r="1215" spans="1:4" x14ac:dyDescent="0.55000000000000004">
      <c r="A1215" s="6">
        <v>1.050741933674392E+19</v>
      </c>
      <c r="B1215">
        <v>75</v>
      </c>
      <c r="C1215">
        <v>1</v>
      </c>
      <c r="D1215">
        <v>180</v>
      </c>
    </row>
    <row r="1216" spans="1:4" x14ac:dyDescent="0.55000000000000004">
      <c r="A1216" s="6">
        <v>1.0512258066659389E+19</v>
      </c>
      <c r="B1216">
        <v>354</v>
      </c>
      <c r="C1216">
        <v>1</v>
      </c>
      <c r="D1216">
        <v>780</v>
      </c>
    </row>
    <row r="1217" spans="1:4" x14ac:dyDescent="0.55000000000000004">
      <c r="A1217" s="6">
        <v>1.0527404073253321E+19</v>
      </c>
      <c r="B1217">
        <v>564</v>
      </c>
      <c r="C1217">
        <v>1</v>
      </c>
      <c r="D1217">
        <v>1490</v>
      </c>
    </row>
    <row r="1218" spans="1:4" x14ac:dyDescent="0.55000000000000004">
      <c r="A1218" s="6">
        <v>1.052882320833083E+19</v>
      </c>
      <c r="B1218">
        <v>21</v>
      </c>
      <c r="C1218">
        <v>1</v>
      </c>
      <c r="D1218">
        <v>1060</v>
      </c>
    </row>
    <row r="1219" spans="1:4" x14ac:dyDescent="0.55000000000000004">
      <c r="A1219" s="6">
        <v>1.0536985698884211E+19</v>
      </c>
      <c r="B1219">
        <v>169</v>
      </c>
      <c r="C1219">
        <v>2</v>
      </c>
      <c r="D1219">
        <v>2989</v>
      </c>
    </row>
    <row r="1220" spans="1:4" x14ac:dyDescent="0.55000000000000004">
      <c r="A1220" s="6">
        <v>1.0541013610742131E+19</v>
      </c>
      <c r="B1220">
        <v>126</v>
      </c>
      <c r="C1220">
        <v>2</v>
      </c>
      <c r="D1220">
        <v>5020</v>
      </c>
    </row>
    <row r="1221" spans="1:4" x14ac:dyDescent="0.55000000000000004">
      <c r="A1221" s="6">
        <v>1.054310189520607E+19</v>
      </c>
      <c r="B1221">
        <v>795</v>
      </c>
      <c r="C1221">
        <v>1</v>
      </c>
      <c r="D1221">
        <v>1994</v>
      </c>
    </row>
    <row r="1222" spans="1:4" x14ac:dyDescent="0.55000000000000004">
      <c r="A1222" s="6">
        <v>1.0554479503926821E+19</v>
      </c>
      <c r="B1222">
        <v>324</v>
      </c>
      <c r="C1222">
        <v>1</v>
      </c>
      <c r="D1222">
        <v>1639</v>
      </c>
    </row>
    <row r="1223" spans="1:4" x14ac:dyDescent="0.55000000000000004">
      <c r="A1223" s="6">
        <v>1.057129571162514E+19</v>
      </c>
      <c r="B1223">
        <v>919</v>
      </c>
      <c r="C1223">
        <v>1</v>
      </c>
      <c r="D1223">
        <v>1947</v>
      </c>
    </row>
    <row r="1224" spans="1:4" x14ac:dyDescent="0.55000000000000004">
      <c r="A1224" s="6">
        <v>1.0611866942011081E+19</v>
      </c>
      <c r="B1224">
        <v>176</v>
      </c>
      <c r="C1224">
        <v>2</v>
      </c>
      <c r="D1224">
        <v>1748</v>
      </c>
    </row>
    <row r="1225" spans="1:4" x14ac:dyDescent="0.55000000000000004">
      <c r="A1225" s="6">
        <v>1.0616930994602881E+19</v>
      </c>
      <c r="B1225">
        <v>786</v>
      </c>
      <c r="C1225">
        <v>1</v>
      </c>
      <c r="D1225">
        <v>1810</v>
      </c>
    </row>
    <row r="1226" spans="1:4" x14ac:dyDescent="0.55000000000000004">
      <c r="A1226" s="6">
        <v>1.0617792466776351E+19</v>
      </c>
      <c r="B1226">
        <v>277</v>
      </c>
      <c r="C1226">
        <v>1</v>
      </c>
      <c r="D1226">
        <v>931</v>
      </c>
    </row>
    <row r="1227" spans="1:4" x14ac:dyDescent="0.55000000000000004">
      <c r="A1227" s="6">
        <v>1.0637602183882199E+19</v>
      </c>
      <c r="B1227">
        <v>284</v>
      </c>
      <c r="C1227">
        <v>1</v>
      </c>
      <c r="D1227">
        <v>212</v>
      </c>
    </row>
    <row r="1228" spans="1:4" x14ac:dyDescent="0.55000000000000004">
      <c r="A1228" s="6">
        <v>1.064043722580318E+19</v>
      </c>
      <c r="B1228">
        <v>76</v>
      </c>
      <c r="C1228">
        <v>1</v>
      </c>
      <c r="D1228">
        <v>897</v>
      </c>
    </row>
    <row r="1229" spans="1:4" x14ac:dyDescent="0.55000000000000004">
      <c r="A1229" s="6">
        <v>1.064432394007756E+19</v>
      </c>
      <c r="B1229">
        <v>681</v>
      </c>
      <c r="C1229">
        <v>2</v>
      </c>
      <c r="D1229">
        <v>10877</v>
      </c>
    </row>
    <row r="1230" spans="1:4" x14ac:dyDescent="0.55000000000000004">
      <c r="A1230" s="6">
        <v>1.065258126072278E+19</v>
      </c>
      <c r="B1230">
        <v>89</v>
      </c>
      <c r="C1230">
        <v>1</v>
      </c>
      <c r="D1230">
        <v>3870</v>
      </c>
    </row>
    <row r="1231" spans="1:4" x14ac:dyDescent="0.55000000000000004">
      <c r="A1231" s="6">
        <v>1.0672287716018579E+19</v>
      </c>
      <c r="B1231">
        <v>522</v>
      </c>
      <c r="C1231">
        <v>2</v>
      </c>
      <c r="D1231">
        <v>3843</v>
      </c>
    </row>
    <row r="1232" spans="1:4" x14ac:dyDescent="0.55000000000000004">
      <c r="A1232" s="6">
        <v>1.069061187023498E+19</v>
      </c>
      <c r="B1232">
        <v>230</v>
      </c>
      <c r="C1232">
        <v>1</v>
      </c>
      <c r="D1232">
        <v>446</v>
      </c>
    </row>
    <row r="1233" spans="1:4" x14ac:dyDescent="0.55000000000000004">
      <c r="A1233" s="6">
        <v>1.069659610045831E+19</v>
      </c>
      <c r="B1233">
        <v>114</v>
      </c>
      <c r="C1233">
        <v>1</v>
      </c>
      <c r="D1233">
        <v>1690</v>
      </c>
    </row>
    <row r="1234" spans="1:4" x14ac:dyDescent="0.55000000000000004">
      <c r="A1234" s="6">
        <v>1.071092417031841E+19</v>
      </c>
      <c r="B1234">
        <v>130</v>
      </c>
      <c r="C1234">
        <v>1</v>
      </c>
      <c r="D1234">
        <v>258</v>
      </c>
    </row>
    <row r="1235" spans="1:4" x14ac:dyDescent="0.55000000000000004">
      <c r="A1235" s="6">
        <v>1.0732763130336319E+19</v>
      </c>
      <c r="B1235">
        <v>541</v>
      </c>
      <c r="C1235">
        <v>1</v>
      </c>
      <c r="D1235">
        <v>72</v>
      </c>
    </row>
    <row r="1236" spans="1:4" x14ac:dyDescent="0.55000000000000004">
      <c r="A1236" s="6">
        <v>1.073968906688454E+19</v>
      </c>
      <c r="B1236">
        <v>1074</v>
      </c>
      <c r="C1236">
        <v>1</v>
      </c>
      <c r="D1236">
        <v>393</v>
      </c>
    </row>
    <row r="1237" spans="1:4" x14ac:dyDescent="0.55000000000000004">
      <c r="A1237" s="6">
        <v>1.0761137595070679E+19</v>
      </c>
      <c r="B1237">
        <v>599</v>
      </c>
      <c r="C1237">
        <v>1</v>
      </c>
      <c r="D1237">
        <v>2142</v>
      </c>
    </row>
    <row r="1238" spans="1:4" x14ac:dyDescent="0.55000000000000004">
      <c r="A1238" s="6">
        <v>1.0762135343377629E+19</v>
      </c>
      <c r="B1238">
        <v>169</v>
      </c>
      <c r="C1238">
        <v>2</v>
      </c>
      <c r="D1238">
        <v>1729</v>
      </c>
    </row>
    <row r="1239" spans="1:4" x14ac:dyDescent="0.55000000000000004">
      <c r="A1239" s="6">
        <v>1.0796066666527969E+19</v>
      </c>
      <c r="B1239">
        <v>493</v>
      </c>
      <c r="C1239">
        <v>2</v>
      </c>
      <c r="D1239">
        <v>4235</v>
      </c>
    </row>
    <row r="1240" spans="1:4" x14ac:dyDescent="0.55000000000000004">
      <c r="A1240" s="6">
        <v>1.0797882498486391E+19</v>
      </c>
      <c r="B1240">
        <v>1170</v>
      </c>
      <c r="C1240">
        <v>1</v>
      </c>
      <c r="D1240">
        <v>118</v>
      </c>
    </row>
    <row r="1241" spans="1:4" x14ac:dyDescent="0.55000000000000004">
      <c r="A1241" s="6">
        <v>1.0825347330381611E+19</v>
      </c>
      <c r="B1241">
        <v>405</v>
      </c>
      <c r="C1241">
        <v>1</v>
      </c>
      <c r="D1241">
        <v>58</v>
      </c>
    </row>
    <row r="1242" spans="1:4" x14ac:dyDescent="0.55000000000000004">
      <c r="A1242" s="6">
        <v>1.082616171172949E+19</v>
      </c>
      <c r="B1242">
        <v>664</v>
      </c>
      <c r="C1242">
        <v>2</v>
      </c>
      <c r="D1242">
        <v>1329</v>
      </c>
    </row>
    <row r="1243" spans="1:4" x14ac:dyDescent="0.55000000000000004">
      <c r="A1243" s="6">
        <v>1.086420106069846E+19</v>
      </c>
      <c r="B1243">
        <v>125</v>
      </c>
      <c r="C1243">
        <v>1</v>
      </c>
      <c r="D1243">
        <v>4890</v>
      </c>
    </row>
    <row r="1244" spans="1:4" x14ac:dyDescent="0.55000000000000004">
      <c r="A1244" s="6">
        <v>1.0890539801545841E+19</v>
      </c>
      <c r="B1244">
        <v>662</v>
      </c>
      <c r="C1244">
        <v>1</v>
      </c>
      <c r="D1244">
        <v>299</v>
      </c>
    </row>
    <row r="1245" spans="1:4" x14ac:dyDescent="0.55000000000000004">
      <c r="A1245" s="6">
        <v>1.08985227499706E+19</v>
      </c>
      <c r="B1245">
        <v>221</v>
      </c>
      <c r="C1245">
        <v>2</v>
      </c>
      <c r="D1245">
        <v>7040</v>
      </c>
    </row>
    <row r="1246" spans="1:4" x14ac:dyDescent="0.55000000000000004">
      <c r="A1246" s="6">
        <v>1.090260083347797E+19</v>
      </c>
      <c r="B1246">
        <v>1306</v>
      </c>
      <c r="C1246">
        <v>1</v>
      </c>
      <c r="D1246">
        <v>220</v>
      </c>
    </row>
    <row r="1247" spans="1:4" x14ac:dyDescent="0.55000000000000004">
      <c r="A1247" s="6">
        <v>1.090496647383765E+19</v>
      </c>
      <c r="B1247">
        <v>501</v>
      </c>
      <c r="C1247">
        <v>1</v>
      </c>
      <c r="D1247">
        <v>295</v>
      </c>
    </row>
    <row r="1248" spans="1:4" x14ac:dyDescent="0.55000000000000004">
      <c r="A1248" s="6">
        <v>1.090739695224781E+19</v>
      </c>
      <c r="B1248">
        <v>119</v>
      </c>
      <c r="C1248">
        <v>2</v>
      </c>
      <c r="D1248">
        <v>1074</v>
      </c>
    </row>
    <row r="1249" spans="1:4" x14ac:dyDescent="0.55000000000000004">
      <c r="A1249" s="6">
        <v>1.0914199203292729E+19</v>
      </c>
      <c r="B1249">
        <v>1113</v>
      </c>
      <c r="C1249">
        <v>1</v>
      </c>
      <c r="D1249">
        <v>3180</v>
      </c>
    </row>
    <row r="1250" spans="1:4" x14ac:dyDescent="0.55000000000000004">
      <c r="A1250" s="6">
        <v>1.0915671750120159E+19</v>
      </c>
      <c r="B1250">
        <v>287</v>
      </c>
      <c r="C1250">
        <v>1</v>
      </c>
      <c r="D1250">
        <v>6334</v>
      </c>
    </row>
    <row r="1251" spans="1:4" x14ac:dyDescent="0.55000000000000004">
      <c r="A1251" s="6">
        <v>1.0918317965913139E+19</v>
      </c>
      <c r="B1251">
        <v>367</v>
      </c>
      <c r="C1251">
        <v>2</v>
      </c>
      <c r="D1251">
        <v>4466</v>
      </c>
    </row>
    <row r="1252" spans="1:4" x14ac:dyDescent="0.55000000000000004">
      <c r="A1252" s="6">
        <v>1.0924272414218809E+19</v>
      </c>
      <c r="B1252">
        <v>404</v>
      </c>
      <c r="C1252">
        <v>1</v>
      </c>
      <c r="D1252">
        <v>289</v>
      </c>
    </row>
    <row r="1253" spans="1:4" x14ac:dyDescent="0.55000000000000004">
      <c r="A1253" s="6">
        <v>1.092949294617218E+19</v>
      </c>
      <c r="B1253">
        <v>731</v>
      </c>
      <c r="C1253">
        <v>2</v>
      </c>
      <c r="D1253">
        <v>4566</v>
      </c>
    </row>
    <row r="1254" spans="1:4" x14ac:dyDescent="0.55000000000000004">
      <c r="A1254" s="6">
        <v>1.0929560473596459E+19</v>
      </c>
      <c r="B1254">
        <v>214</v>
      </c>
      <c r="C1254">
        <v>1</v>
      </c>
      <c r="D1254">
        <v>1448</v>
      </c>
    </row>
    <row r="1255" spans="1:4" x14ac:dyDescent="0.55000000000000004">
      <c r="A1255" s="6">
        <v>1.094188770247988E+19</v>
      </c>
      <c r="B1255">
        <v>999</v>
      </c>
      <c r="C1255">
        <v>1</v>
      </c>
      <c r="D1255">
        <v>2210</v>
      </c>
    </row>
    <row r="1256" spans="1:4" x14ac:dyDescent="0.55000000000000004">
      <c r="A1256" s="6">
        <v>1.0950746766661911E+19</v>
      </c>
      <c r="B1256">
        <v>547</v>
      </c>
      <c r="C1256">
        <v>1</v>
      </c>
      <c r="D1256">
        <v>6297</v>
      </c>
    </row>
    <row r="1257" spans="1:4" x14ac:dyDescent="0.55000000000000004">
      <c r="A1257" s="6">
        <v>1.095561435546692E+19</v>
      </c>
      <c r="B1257">
        <v>962</v>
      </c>
      <c r="C1257">
        <v>1</v>
      </c>
      <c r="D1257">
        <v>2187</v>
      </c>
    </row>
    <row r="1258" spans="1:4" x14ac:dyDescent="0.55000000000000004">
      <c r="A1258" s="6">
        <v>1.0956343846870319E+19</v>
      </c>
      <c r="B1258">
        <v>658</v>
      </c>
      <c r="C1258">
        <v>1</v>
      </c>
      <c r="D1258">
        <v>1944</v>
      </c>
    </row>
    <row r="1259" spans="1:4" x14ac:dyDescent="0.55000000000000004">
      <c r="A1259" s="6">
        <v>1.0966372242911189E+19</v>
      </c>
      <c r="B1259">
        <v>437</v>
      </c>
      <c r="C1259">
        <v>1</v>
      </c>
      <c r="D1259">
        <v>375</v>
      </c>
    </row>
    <row r="1260" spans="1:4" x14ac:dyDescent="0.55000000000000004">
      <c r="A1260" s="6">
        <v>1.096725877363165E+19</v>
      </c>
      <c r="B1260">
        <v>620</v>
      </c>
      <c r="C1260">
        <v>1</v>
      </c>
      <c r="D1260">
        <v>473</v>
      </c>
    </row>
    <row r="1261" spans="1:4" x14ac:dyDescent="0.55000000000000004">
      <c r="A1261" s="6">
        <v>1.0981158295790479E+19</v>
      </c>
      <c r="B1261">
        <v>302</v>
      </c>
      <c r="C1261">
        <v>1</v>
      </c>
      <c r="D1261">
        <v>152</v>
      </c>
    </row>
    <row r="1262" spans="1:4" x14ac:dyDescent="0.55000000000000004">
      <c r="A1262" s="6">
        <v>1.0985004871977071E+19</v>
      </c>
      <c r="B1262">
        <v>154</v>
      </c>
      <c r="C1262">
        <v>1</v>
      </c>
      <c r="D1262">
        <v>609</v>
      </c>
    </row>
    <row r="1263" spans="1:4" x14ac:dyDescent="0.55000000000000004">
      <c r="A1263" s="6">
        <v>1.0986192490940271E+19</v>
      </c>
      <c r="B1263">
        <v>204</v>
      </c>
      <c r="C1263">
        <v>1</v>
      </c>
      <c r="D1263">
        <v>158</v>
      </c>
    </row>
    <row r="1264" spans="1:4" x14ac:dyDescent="0.55000000000000004">
      <c r="A1264" s="6">
        <v>1.098847880524816E+19</v>
      </c>
      <c r="B1264">
        <v>681</v>
      </c>
      <c r="C1264">
        <v>1</v>
      </c>
      <c r="D1264">
        <v>6714</v>
      </c>
    </row>
    <row r="1265" spans="1:4" x14ac:dyDescent="0.55000000000000004">
      <c r="A1265" s="6">
        <v>1.099566546605065E+19</v>
      </c>
      <c r="B1265">
        <v>1058</v>
      </c>
      <c r="C1265">
        <v>1</v>
      </c>
      <c r="D1265">
        <v>147</v>
      </c>
    </row>
    <row r="1266" spans="1:4" x14ac:dyDescent="0.55000000000000004">
      <c r="A1266" s="6">
        <v>1.099903876814099E+19</v>
      </c>
      <c r="B1266">
        <v>29</v>
      </c>
      <c r="C1266">
        <v>1</v>
      </c>
      <c r="D1266">
        <v>6705</v>
      </c>
    </row>
    <row r="1267" spans="1:4" x14ac:dyDescent="0.55000000000000004">
      <c r="A1267" s="6">
        <v>1.1029201639594459E+19</v>
      </c>
      <c r="B1267">
        <v>421</v>
      </c>
      <c r="C1267">
        <v>1</v>
      </c>
      <c r="D1267">
        <v>950</v>
      </c>
    </row>
    <row r="1268" spans="1:4" x14ac:dyDescent="0.55000000000000004">
      <c r="A1268" s="6">
        <v>1.1031905768337531E+19</v>
      </c>
      <c r="B1268">
        <v>191</v>
      </c>
      <c r="C1268">
        <v>2</v>
      </c>
      <c r="D1268">
        <v>2773</v>
      </c>
    </row>
    <row r="1269" spans="1:4" x14ac:dyDescent="0.55000000000000004">
      <c r="A1269" s="6">
        <v>1.104004682932333E+19</v>
      </c>
      <c r="B1269">
        <v>132</v>
      </c>
      <c r="C1269">
        <v>1</v>
      </c>
      <c r="D1269">
        <v>747</v>
      </c>
    </row>
    <row r="1270" spans="1:4" x14ac:dyDescent="0.55000000000000004">
      <c r="A1270" s="6">
        <v>1.1055199992902341E+19</v>
      </c>
      <c r="B1270">
        <v>699</v>
      </c>
      <c r="C1270">
        <v>2</v>
      </c>
      <c r="D1270">
        <v>3780</v>
      </c>
    </row>
    <row r="1271" spans="1:4" x14ac:dyDescent="0.55000000000000004">
      <c r="A1271" s="6">
        <v>1.1067767840657379E+19</v>
      </c>
      <c r="B1271">
        <v>653</v>
      </c>
      <c r="C1271">
        <v>2</v>
      </c>
      <c r="D1271">
        <v>249</v>
      </c>
    </row>
    <row r="1272" spans="1:4" x14ac:dyDescent="0.55000000000000004">
      <c r="A1272" s="6">
        <v>1.107480986434713E+19</v>
      </c>
      <c r="B1272">
        <v>747</v>
      </c>
      <c r="C1272">
        <v>2</v>
      </c>
      <c r="D1272">
        <v>1136</v>
      </c>
    </row>
    <row r="1273" spans="1:4" x14ac:dyDescent="0.55000000000000004">
      <c r="A1273" s="6">
        <v>1.107980342040841E+19</v>
      </c>
      <c r="B1273">
        <v>297</v>
      </c>
      <c r="C1273">
        <v>1</v>
      </c>
      <c r="D1273">
        <v>2370</v>
      </c>
    </row>
    <row r="1274" spans="1:4" x14ac:dyDescent="0.55000000000000004">
      <c r="A1274" s="6">
        <v>1.1080176800444951E+19</v>
      </c>
      <c r="B1274">
        <v>970</v>
      </c>
      <c r="C1274">
        <v>1</v>
      </c>
      <c r="D1274">
        <v>1108</v>
      </c>
    </row>
    <row r="1275" spans="1:4" x14ac:dyDescent="0.55000000000000004">
      <c r="A1275" s="6">
        <v>1.1084907403611501E+19</v>
      </c>
      <c r="B1275">
        <v>100</v>
      </c>
      <c r="C1275">
        <v>3</v>
      </c>
      <c r="D1275">
        <v>7375</v>
      </c>
    </row>
    <row r="1276" spans="1:4" x14ac:dyDescent="0.55000000000000004">
      <c r="A1276" s="6">
        <v>1.110002113022685E+19</v>
      </c>
      <c r="B1276">
        <v>578</v>
      </c>
      <c r="C1276">
        <v>1</v>
      </c>
      <c r="D1276">
        <v>1677</v>
      </c>
    </row>
    <row r="1277" spans="1:4" x14ac:dyDescent="0.55000000000000004">
      <c r="A1277" s="6">
        <v>1.1126621026109131E+19</v>
      </c>
      <c r="B1277">
        <v>457</v>
      </c>
      <c r="C1277">
        <v>3</v>
      </c>
      <c r="D1277">
        <v>17212</v>
      </c>
    </row>
    <row r="1278" spans="1:4" x14ac:dyDescent="0.55000000000000004">
      <c r="A1278" s="6">
        <v>1.1132565473107669E+19</v>
      </c>
      <c r="B1278">
        <v>90</v>
      </c>
      <c r="C1278">
        <v>1</v>
      </c>
      <c r="D1278">
        <v>11277</v>
      </c>
    </row>
    <row r="1279" spans="1:4" x14ac:dyDescent="0.55000000000000004">
      <c r="A1279" s="6">
        <v>1.114228487803357E+19</v>
      </c>
      <c r="B1279">
        <v>161</v>
      </c>
      <c r="C1279">
        <v>1</v>
      </c>
      <c r="D1279">
        <v>3122</v>
      </c>
    </row>
    <row r="1280" spans="1:4" x14ac:dyDescent="0.55000000000000004">
      <c r="A1280" s="6">
        <v>1.115799380323557E+19</v>
      </c>
      <c r="B1280">
        <v>483</v>
      </c>
      <c r="C1280">
        <v>2</v>
      </c>
      <c r="D1280">
        <v>10089</v>
      </c>
    </row>
    <row r="1281" spans="1:4" x14ac:dyDescent="0.55000000000000004">
      <c r="A1281" s="6">
        <v>1.1170997202852631E+19</v>
      </c>
      <c r="B1281">
        <v>886</v>
      </c>
      <c r="C1281">
        <v>1</v>
      </c>
      <c r="D1281">
        <v>659</v>
      </c>
    </row>
    <row r="1282" spans="1:4" x14ac:dyDescent="0.55000000000000004">
      <c r="A1282" s="6">
        <v>1.117688049237956E+19</v>
      </c>
      <c r="B1282">
        <v>850</v>
      </c>
      <c r="C1282">
        <v>1</v>
      </c>
      <c r="D1282">
        <v>2304</v>
      </c>
    </row>
    <row r="1283" spans="1:4" x14ac:dyDescent="0.55000000000000004">
      <c r="A1283" s="6">
        <v>1.1178009049025339E+19</v>
      </c>
      <c r="B1283">
        <v>625</v>
      </c>
      <c r="C1283">
        <v>1</v>
      </c>
      <c r="D1283">
        <v>219</v>
      </c>
    </row>
    <row r="1284" spans="1:4" x14ac:dyDescent="0.55000000000000004">
      <c r="A1284" s="6">
        <v>1.118007060145205E+19</v>
      </c>
      <c r="B1284">
        <v>1071</v>
      </c>
      <c r="C1284">
        <v>1</v>
      </c>
      <c r="D1284">
        <v>1790</v>
      </c>
    </row>
    <row r="1285" spans="1:4" x14ac:dyDescent="0.55000000000000004">
      <c r="A1285" s="6">
        <v>1.1186317702052059E+19</v>
      </c>
      <c r="B1285">
        <v>328</v>
      </c>
      <c r="C1285">
        <v>2</v>
      </c>
      <c r="D1285">
        <v>460</v>
      </c>
    </row>
    <row r="1286" spans="1:4" x14ac:dyDescent="0.55000000000000004">
      <c r="A1286" s="6">
        <v>1.119319007137118E+19</v>
      </c>
      <c r="B1286">
        <v>182</v>
      </c>
      <c r="C1286">
        <v>1</v>
      </c>
      <c r="D1286">
        <v>600</v>
      </c>
    </row>
    <row r="1287" spans="1:4" x14ac:dyDescent="0.55000000000000004">
      <c r="A1287" s="6">
        <v>1.1199090371459011E+19</v>
      </c>
      <c r="B1287">
        <v>408</v>
      </c>
      <c r="C1287">
        <v>1</v>
      </c>
      <c r="D1287">
        <v>442</v>
      </c>
    </row>
    <row r="1288" spans="1:4" x14ac:dyDescent="0.55000000000000004">
      <c r="A1288" s="6">
        <v>1.1202250609199221E+19</v>
      </c>
      <c r="B1288">
        <v>146</v>
      </c>
      <c r="C1288">
        <v>1</v>
      </c>
      <c r="D1288">
        <v>420</v>
      </c>
    </row>
    <row r="1289" spans="1:4" x14ac:dyDescent="0.55000000000000004">
      <c r="A1289" s="6">
        <v>1.1207670893265261E+19</v>
      </c>
      <c r="B1289">
        <v>90</v>
      </c>
      <c r="C1289">
        <v>1</v>
      </c>
      <c r="D1289">
        <v>3070</v>
      </c>
    </row>
    <row r="1290" spans="1:4" x14ac:dyDescent="0.55000000000000004">
      <c r="A1290" s="6">
        <v>1.1241629119637049E+19</v>
      </c>
      <c r="B1290">
        <v>300</v>
      </c>
      <c r="C1290">
        <v>1</v>
      </c>
      <c r="D1290">
        <v>1279</v>
      </c>
    </row>
    <row r="1291" spans="1:4" x14ac:dyDescent="0.55000000000000004">
      <c r="A1291" s="6">
        <v>1.1243664569943089E+19</v>
      </c>
      <c r="B1291">
        <v>585</v>
      </c>
      <c r="C1291">
        <v>1</v>
      </c>
      <c r="D1291">
        <v>3639</v>
      </c>
    </row>
    <row r="1292" spans="1:4" x14ac:dyDescent="0.55000000000000004">
      <c r="A1292" s="6">
        <v>1.126781882181503E+19</v>
      </c>
      <c r="B1292">
        <v>1019</v>
      </c>
      <c r="C1292">
        <v>1</v>
      </c>
      <c r="D1292">
        <v>309</v>
      </c>
    </row>
    <row r="1293" spans="1:4" x14ac:dyDescent="0.55000000000000004">
      <c r="A1293" s="6">
        <v>1.1267827626651091E+19</v>
      </c>
      <c r="B1293">
        <v>71</v>
      </c>
      <c r="C1293">
        <v>2</v>
      </c>
      <c r="D1293">
        <v>5556</v>
      </c>
    </row>
    <row r="1294" spans="1:4" x14ac:dyDescent="0.55000000000000004">
      <c r="A1294" s="6">
        <v>1.1270285578073041E+19</v>
      </c>
      <c r="B1294">
        <v>969</v>
      </c>
      <c r="C1294">
        <v>1</v>
      </c>
      <c r="D1294">
        <v>1600</v>
      </c>
    </row>
    <row r="1295" spans="1:4" x14ac:dyDescent="0.55000000000000004">
      <c r="A1295" s="6">
        <v>1.1286749485820361E+19</v>
      </c>
      <c r="B1295">
        <v>104</v>
      </c>
      <c r="C1295">
        <v>2</v>
      </c>
      <c r="D1295">
        <v>6715</v>
      </c>
    </row>
    <row r="1296" spans="1:4" x14ac:dyDescent="0.55000000000000004">
      <c r="A1296" s="6">
        <v>1.128739452807603E+19</v>
      </c>
      <c r="B1296">
        <v>561</v>
      </c>
      <c r="C1296">
        <v>2</v>
      </c>
      <c r="D1296">
        <v>3520</v>
      </c>
    </row>
    <row r="1297" spans="1:4" x14ac:dyDescent="0.55000000000000004">
      <c r="A1297" s="6">
        <v>1.1294433590603149E+19</v>
      </c>
      <c r="B1297">
        <v>11</v>
      </c>
      <c r="C1297">
        <v>2</v>
      </c>
      <c r="D1297">
        <v>1243</v>
      </c>
    </row>
    <row r="1298" spans="1:4" x14ac:dyDescent="0.55000000000000004">
      <c r="A1298" s="6">
        <v>1.1303649973130521E+19</v>
      </c>
      <c r="B1298">
        <v>527</v>
      </c>
      <c r="C1298">
        <v>1</v>
      </c>
      <c r="D1298">
        <v>870</v>
      </c>
    </row>
    <row r="1299" spans="1:4" x14ac:dyDescent="0.55000000000000004">
      <c r="A1299" s="6">
        <v>1.131142693729382E+19</v>
      </c>
      <c r="B1299">
        <v>538</v>
      </c>
      <c r="C1299">
        <v>2</v>
      </c>
      <c r="D1299">
        <v>3404</v>
      </c>
    </row>
    <row r="1300" spans="1:4" x14ac:dyDescent="0.55000000000000004">
      <c r="A1300" s="6">
        <v>1.1319362061343341E+19</v>
      </c>
      <c r="B1300">
        <v>716</v>
      </c>
      <c r="C1300">
        <v>1</v>
      </c>
      <c r="D1300">
        <v>449</v>
      </c>
    </row>
    <row r="1301" spans="1:4" x14ac:dyDescent="0.55000000000000004">
      <c r="A1301" s="6">
        <v>1.133390963730451E+19</v>
      </c>
      <c r="B1301">
        <v>94</v>
      </c>
      <c r="C1301">
        <v>1</v>
      </c>
      <c r="D1301">
        <v>12760</v>
      </c>
    </row>
    <row r="1302" spans="1:4" x14ac:dyDescent="0.55000000000000004">
      <c r="A1302" s="6">
        <v>1.1338584012558399E+19</v>
      </c>
      <c r="B1302">
        <v>162</v>
      </c>
      <c r="C1302">
        <v>1</v>
      </c>
      <c r="D1302">
        <v>2990</v>
      </c>
    </row>
    <row r="1303" spans="1:4" x14ac:dyDescent="0.55000000000000004">
      <c r="A1303" s="6">
        <v>1.134533715575798E+19</v>
      </c>
      <c r="B1303">
        <v>942</v>
      </c>
      <c r="C1303">
        <v>1</v>
      </c>
      <c r="D1303">
        <v>184</v>
      </c>
    </row>
    <row r="1304" spans="1:4" x14ac:dyDescent="0.55000000000000004">
      <c r="A1304" s="6">
        <v>1.134540150975931E+19</v>
      </c>
      <c r="B1304">
        <v>1053</v>
      </c>
      <c r="C1304">
        <v>2</v>
      </c>
      <c r="D1304">
        <v>5399</v>
      </c>
    </row>
    <row r="1305" spans="1:4" x14ac:dyDescent="0.55000000000000004">
      <c r="A1305" s="6">
        <v>1.1358988740140071E+19</v>
      </c>
      <c r="B1305">
        <v>36</v>
      </c>
      <c r="C1305">
        <v>1</v>
      </c>
      <c r="D1305">
        <v>19170</v>
      </c>
    </row>
    <row r="1306" spans="1:4" x14ac:dyDescent="0.55000000000000004">
      <c r="A1306" s="6">
        <v>1.1360906724565379E+19</v>
      </c>
      <c r="B1306">
        <v>32</v>
      </c>
      <c r="C1306">
        <v>2</v>
      </c>
      <c r="D1306">
        <v>3540</v>
      </c>
    </row>
    <row r="1307" spans="1:4" x14ac:dyDescent="0.55000000000000004">
      <c r="A1307" s="6">
        <v>1.1372774529424939E+19</v>
      </c>
      <c r="B1307">
        <v>103</v>
      </c>
      <c r="C1307">
        <v>1</v>
      </c>
      <c r="D1307">
        <v>9672</v>
      </c>
    </row>
    <row r="1308" spans="1:4" x14ac:dyDescent="0.55000000000000004">
      <c r="A1308" s="6">
        <v>1.137483445246679E+19</v>
      </c>
      <c r="B1308">
        <v>300</v>
      </c>
      <c r="C1308">
        <v>2</v>
      </c>
      <c r="D1308">
        <v>2476</v>
      </c>
    </row>
    <row r="1309" spans="1:4" x14ac:dyDescent="0.55000000000000004">
      <c r="A1309" s="6">
        <v>1.1385402060610189E+19</v>
      </c>
      <c r="B1309">
        <v>670</v>
      </c>
      <c r="C1309">
        <v>1</v>
      </c>
      <c r="D1309">
        <v>6856</v>
      </c>
    </row>
    <row r="1310" spans="1:4" x14ac:dyDescent="0.55000000000000004">
      <c r="A1310" s="6">
        <v>1.142685925263751E+19</v>
      </c>
      <c r="B1310">
        <v>886</v>
      </c>
      <c r="C1310">
        <v>2</v>
      </c>
      <c r="D1310">
        <v>1221</v>
      </c>
    </row>
    <row r="1311" spans="1:4" x14ac:dyDescent="0.55000000000000004">
      <c r="A1311" s="6">
        <v>1.1427219249676179E+19</v>
      </c>
      <c r="B1311">
        <v>419</v>
      </c>
      <c r="C1311">
        <v>1</v>
      </c>
      <c r="D1311">
        <v>476</v>
      </c>
    </row>
    <row r="1312" spans="1:4" x14ac:dyDescent="0.55000000000000004">
      <c r="A1312" s="6">
        <v>1.143367781385737E+19</v>
      </c>
      <c r="B1312">
        <v>252</v>
      </c>
      <c r="C1312">
        <v>1</v>
      </c>
      <c r="D1312">
        <v>13140</v>
      </c>
    </row>
    <row r="1313" spans="1:4" x14ac:dyDescent="0.55000000000000004">
      <c r="A1313" s="6">
        <v>1.145588362923189E+19</v>
      </c>
      <c r="B1313">
        <v>600</v>
      </c>
      <c r="C1313">
        <v>3</v>
      </c>
      <c r="D1313">
        <v>3125</v>
      </c>
    </row>
    <row r="1314" spans="1:4" x14ac:dyDescent="0.55000000000000004">
      <c r="A1314" s="6">
        <v>1.1459300322875841E+19</v>
      </c>
      <c r="B1314">
        <v>502</v>
      </c>
      <c r="C1314">
        <v>1</v>
      </c>
      <c r="D1314">
        <v>2187</v>
      </c>
    </row>
    <row r="1315" spans="1:4" x14ac:dyDescent="0.55000000000000004">
      <c r="A1315" s="6">
        <v>1.1460152469481581E+19</v>
      </c>
      <c r="B1315">
        <v>37</v>
      </c>
      <c r="C1315">
        <v>1</v>
      </c>
      <c r="D1315">
        <v>4163</v>
      </c>
    </row>
    <row r="1316" spans="1:4" x14ac:dyDescent="0.55000000000000004">
      <c r="A1316" s="6">
        <v>1.1466666695778251E+19</v>
      </c>
      <c r="B1316">
        <v>26</v>
      </c>
      <c r="C1316">
        <v>2</v>
      </c>
      <c r="D1316">
        <v>1019</v>
      </c>
    </row>
    <row r="1317" spans="1:4" x14ac:dyDescent="0.55000000000000004">
      <c r="A1317" s="6">
        <v>1.146959185110059E+19</v>
      </c>
      <c r="B1317">
        <v>452</v>
      </c>
      <c r="C1317">
        <v>1</v>
      </c>
      <c r="D1317">
        <v>287</v>
      </c>
    </row>
    <row r="1318" spans="1:4" x14ac:dyDescent="0.55000000000000004">
      <c r="A1318" s="6">
        <v>1.14696528733557E+19</v>
      </c>
      <c r="B1318">
        <v>445</v>
      </c>
      <c r="C1318">
        <v>1</v>
      </c>
      <c r="D1318">
        <v>776</v>
      </c>
    </row>
    <row r="1319" spans="1:4" x14ac:dyDescent="0.55000000000000004">
      <c r="A1319" s="6">
        <v>1.14714685135289E+19</v>
      </c>
      <c r="B1319">
        <v>549</v>
      </c>
      <c r="C1319">
        <v>2</v>
      </c>
      <c r="D1319">
        <v>3003</v>
      </c>
    </row>
    <row r="1320" spans="1:4" x14ac:dyDescent="0.55000000000000004">
      <c r="A1320" s="6">
        <v>1.147967475040103E+19</v>
      </c>
      <c r="B1320">
        <v>157</v>
      </c>
      <c r="C1320">
        <v>3</v>
      </c>
      <c r="D1320">
        <v>5568</v>
      </c>
    </row>
    <row r="1321" spans="1:4" x14ac:dyDescent="0.55000000000000004">
      <c r="A1321" s="6">
        <v>1.148626856843024E+19</v>
      </c>
      <c r="B1321">
        <v>984</v>
      </c>
      <c r="C1321">
        <v>1</v>
      </c>
      <c r="D1321">
        <v>162</v>
      </c>
    </row>
    <row r="1322" spans="1:4" x14ac:dyDescent="0.55000000000000004">
      <c r="A1322" s="6">
        <v>1.1491400822540571E+19</v>
      </c>
      <c r="B1322">
        <v>220</v>
      </c>
      <c r="C1322">
        <v>2</v>
      </c>
      <c r="D1322">
        <v>4256</v>
      </c>
    </row>
    <row r="1323" spans="1:4" x14ac:dyDescent="0.55000000000000004">
      <c r="A1323" s="6">
        <v>1.1493028239600341E+19</v>
      </c>
      <c r="B1323">
        <v>121</v>
      </c>
      <c r="C1323">
        <v>2</v>
      </c>
      <c r="D1323">
        <v>2836</v>
      </c>
    </row>
    <row r="1324" spans="1:4" x14ac:dyDescent="0.55000000000000004">
      <c r="A1324" s="6">
        <v>1.149354572414932E+19</v>
      </c>
      <c r="B1324">
        <v>48</v>
      </c>
      <c r="C1324">
        <v>1</v>
      </c>
      <c r="D1324">
        <v>2220</v>
      </c>
    </row>
    <row r="1325" spans="1:4" x14ac:dyDescent="0.55000000000000004">
      <c r="A1325" s="6">
        <v>1.152119540767922E+19</v>
      </c>
      <c r="B1325">
        <v>599</v>
      </c>
      <c r="C1325">
        <v>1</v>
      </c>
      <c r="D1325">
        <v>4130</v>
      </c>
    </row>
    <row r="1326" spans="1:4" x14ac:dyDescent="0.55000000000000004">
      <c r="A1326" s="6">
        <v>1.1521822572636701E+19</v>
      </c>
      <c r="B1326">
        <v>1143</v>
      </c>
      <c r="C1326">
        <v>1</v>
      </c>
      <c r="D1326">
        <v>154</v>
      </c>
    </row>
    <row r="1327" spans="1:4" x14ac:dyDescent="0.55000000000000004">
      <c r="A1327" s="6">
        <v>1.1523051514952149E+19</v>
      </c>
      <c r="B1327">
        <v>85</v>
      </c>
      <c r="C1327">
        <v>1</v>
      </c>
      <c r="D1327">
        <v>1125</v>
      </c>
    </row>
    <row r="1328" spans="1:4" x14ac:dyDescent="0.55000000000000004">
      <c r="A1328" s="6">
        <v>1.1528292962030739E+19</v>
      </c>
      <c r="B1328">
        <v>984</v>
      </c>
      <c r="C1328">
        <v>1</v>
      </c>
      <c r="D1328">
        <v>1053</v>
      </c>
    </row>
    <row r="1329" spans="1:4" x14ac:dyDescent="0.55000000000000004">
      <c r="A1329" s="6">
        <v>1.153629071735875E+19</v>
      </c>
      <c r="B1329">
        <v>37</v>
      </c>
      <c r="C1329">
        <v>1</v>
      </c>
      <c r="D1329">
        <v>897</v>
      </c>
    </row>
    <row r="1330" spans="1:4" x14ac:dyDescent="0.55000000000000004">
      <c r="A1330" s="6">
        <v>1.154366778486877E+19</v>
      </c>
      <c r="B1330">
        <v>825</v>
      </c>
      <c r="C1330">
        <v>2</v>
      </c>
      <c r="D1330">
        <v>1914</v>
      </c>
    </row>
    <row r="1331" spans="1:4" x14ac:dyDescent="0.55000000000000004">
      <c r="A1331" s="6">
        <v>1.1544241182249429E+19</v>
      </c>
      <c r="B1331">
        <v>333</v>
      </c>
      <c r="C1331">
        <v>1</v>
      </c>
      <c r="D1331">
        <v>597</v>
      </c>
    </row>
    <row r="1332" spans="1:4" x14ac:dyDescent="0.55000000000000004">
      <c r="A1332" s="6">
        <v>1.154938793058756E+19</v>
      </c>
      <c r="B1332">
        <v>547</v>
      </c>
      <c r="C1332">
        <v>1</v>
      </c>
      <c r="D1332">
        <v>567</v>
      </c>
    </row>
    <row r="1333" spans="1:4" x14ac:dyDescent="0.55000000000000004">
      <c r="A1333" s="6">
        <v>1.1550104643117511E+19</v>
      </c>
      <c r="B1333">
        <v>295</v>
      </c>
      <c r="C1333">
        <v>2</v>
      </c>
      <c r="D1333">
        <v>1663</v>
      </c>
    </row>
    <row r="1334" spans="1:4" x14ac:dyDescent="0.55000000000000004">
      <c r="A1334" s="6">
        <v>1.1557647190012129E+19</v>
      </c>
      <c r="B1334">
        <v>197</v>
      </c>
      <c r="C1334">
        <v>1</v>
      </c>
      <c r="D1334">
        <v>38.65</v>
      </c>
    </row>
    <row r="1335" spans="1:4" x14ac:dyDescent="0.55000000000000004">
      <c r="A1335" s="6">
        <v>1.1568497718834631E+19</v>
      </c>
      <c r="B1335">
        <v>987</v>
      </c>
      <c r="C1335">
        <v>1</v>
      </c>
      <c r="D1335">
        <v>1266</v>
      </c>
    </row>
    <row r="1336" spans="1:4" x14ac:dyDescent="0.55000000000000004">
      <c r="A1336" s="6">
        <v>1.1574956872702231E+19</v>
      </c>
      <c r="B1336">
        <v>11</v>
      </c>
      <c r="C1336">
        <v>1</v>
      </c>
      <c r="D1336">
        <v>2785</v>
      </c>
    </row>
    <row r="1337" spans="1:4" x14ac:dyDescent="0.55000000000000004">
      <c r="A1337" s="6">
        <v>1.158674241786845E+19</v>
      </c>
      <c r="B1337">
        <v>531</v>
      </c>
      <c r="C1337">
        <v>1</v>
      </c>
      <c r="D1337">
        <v>513</v>
      </c>
    </row>
    <row r="1338" spans="1:4" x14ac:dyDescent="0.55000000000000004">
      <c r="A1338" s="6">
        <v>1.1605953265774209E+19</v>
      </c>
      <c r="B1338">
        <v>32</v>
      </c>
      <c r="C1338">
        <v>1</v>
      </c>
      <c r="D1338">
        <v>1074</v>
      </c>
    </row>
    <row r="1339" spans="1:4" x14ac:dyDescent="0.55000000000000004">
      <c r="A1339" s="6">
        <v>1.160766389248658E+19</v>
      </c>
      <c r="B1339">
        <v>317</v>
      </c>
      <c r="C1339">
        <v>2</v>
      </c>
      <c r="D1339">
        <v>879</v>
      </c>
    </row>
    <row r="1340" spans="1:4" x14ac:dyDescent="0.55000000000000004">
      <c r="A1340" s="6">
        <v>1.161247205855633E+19</v>
      </c>
      <c r="B1340">
        <v>252</v>
      </c>
      <c r="C1340">
        <v>1</v>
      </c>
      <c r="D1340">
        <v>32</v>
      </c>
    </row>
    <row r="1341" spans="1:4" x14ac:dyDescent="0.55000000000000004">
      <c r="A1341" s="6">
        <v>1.16270284136449E+19</v>
      </c>
      <c r="B1341">
        <v>708</v>
      </c>
      <c r="C1341">
        <v>1</v>
      </c>
      <c r="D1341">
        <v>2157</v>
      </c>
    </row>
    <row r="1342" spans="1:4" x14ac:dyDescent="0.55000000000000004">
      <c r="A1342" s="6">
        <v>1.162860962495036E+19</v>
      </c>
      <c r="B1342">
        <v>371</v>
      </c>
      <c r="C1342">
        <v>1</v>
      </c>
      <c r="D1342">
        <v>4390</v>
      </c>
    </row>
    <row r="1343" spans="1:4" x14ac:dyDescent="0.55000000000000004">
      <c r="A1343" s="6">
        <v>1.164141837793793E+19</v>
      </c>
      <c r="B1343">
        <v>366</v>
      </c>
      <c r="C1343">
        <v>2</v>
      </c>
      <c r="D1343">
        <v>3819</v>
      </c>
    </row>
    <row r="1344" spans="1:4" x14ac:dyDescent="0.55000000000000004">
      <c r="A1344" s="6">
        <v>1.1647961490567899E+19</v>
      </c>
      <c r="B1344">
        <v>703</v>
      </c>
      <c r="C1344">
        <v>1</v>
      </c>
      <c r="D1344">
        <v>645</v>
      </c>
    </row>
    <row r="1345" spans="1:4" x14ac:dyDescent="0.55000000000000004">
      <c r="A1345" s="6">
        <v>1.165017654819591E+19</v>
      </c>
      <c r="B1345">
        <v>602</v>
      </c>
      <c r="C1345">
        <v>1</v>
      </c>
      <c r="D1345">
        <v>209</v>
      </c>
    </row>
    <row r="1346" spans="1:4" x14ac:dyDescent="0.55000000000000004">
      <c r="A1346" s="6">
        <v>1.1655005617193689E+19</v>
      </c>
      <c r="B1346">
        <v>152</v>
      </c>
      <c r="C1346">
        <v>1</v>
      </c>
      <c r="D1346">
        <v>6096</v>
      </c>
    </row>
    <row r="1347" spans="1:4" x14ac:dyDescent="0.55000000000000004">
      <c r="A1347" s="6">
        <v>1.16581003153309E+19</v>
      </c>
      <c r="B1347">
        <v>888</v>
      </c>
      <c r="C1347">
        <v>1</v>
      </c>
      <c r="D1347">
        <v>2325</v>
      </c>
    </row>
    <row r="1348" spans="1:4" x14ac:dyDescent="0.55000000000000004">
      <c r="A1348" s="6">
        <v>1.168101444233914E+19</v>
      </c>
      <c r="B1348">
        <v>138</v>
      </c>
      <c r="C1348">
        <v>3</v>
      </c>
      <c r="D1348">
        <v>1402</v>
      </c>
    </row>
    <row r="1349" spans="1:4" x14ac:dyDescent="0.55000000000000004">
      <c r="A1349" s="6">
        <v>1.16829863872798E+19</v>
      </c>
      <c r="B1349">
        <v>574</v>
      </c>
      <c r="C1349">
        <v>1</v>
      </c>
      <c r="D1349">
        <v>969</v>
      </c>
    </row>
    <row r="1350" spans="1:4" x14ac:dyDescent="0.55000000000000004">
      <c r="A1350" s="6">
        <v>1.1684577053237201E+19</v>
      </c>
      <c r="B1350">
        <v>474</v>
      </c>
      <c r="C1350">
        <v>1</v>
      </c>
      <c r="D1350">
        <v>509</v>
      </c>
    </row>
    <row r="1351" spans="1:4" x14ac:dyDescent="0.55000000000000004">
      <c r="A1351" s="6">
        <v>1.169399923837425E+19</v>
      </c>
      <c r="B1351">
        <v>472</v>
      </c>
      <c r="C1351">
        <v>2</v>
      </c>
      <c r="D1351">
        <v>3006</v>
      </c>
    </row>
    <row r="1352" spans="1:4" x14ac:dyDescent="0.55000000000000004">
      <c r="A1352" s="6">
        <v>1.169476368133078E+19</v>
      </c>
      <c r="B1352">
        <v>42</v>
      </c>
      <c r="C1352">
        <v>1</v>
      </c>
      <c r="D1352">
        <v>3122</v>
      </c>
    </row>
    <row r="1353" spans="1:4" x14ac:dyDescent="0.55000000000000004">
      <c r="A1353" s="6">
        <v>1.1702806551466799E+19</v>
      </c>
      <c r="B1353">
        <v>970</v>
      </c>
      <c r="C1353">
        <v>1</v>
      </c>
      <c r="D1353">
        <v>64</v>
      </c>
    </row>
    <row r="1354" spans="1:4" x14ac:dyDescent="0.55000000000000004">
      <c r="A1354" s="6">
        <v>1.170635260655601E+19</v>
      </c>
      <c r="B1354">
        <v>745</v>
      </c>
      <c r="C1354">
        <v>1</v>
      </c>
      <c r="D1354">
        <v>30</v>
      </c>
    </row>
    <row r="1355" spans="1:4" x14ac:dyDescent="0.55000000000000004">
      <c r="A1355" s="6">
        <v>1.1707371591004559E+19</v>
      </c>
      <c r="B1355">
        <v>303</v>
      </c>
      <c r="C1355">
        <v>1</v>
      </c>
      <c r="D1355">
        <v>442</v>
      </c>
    </row>
    <row r="1356" spans="1:4" x14ac:dyDescent="0.55000000000000004">
      <c r="A1356" s="6">
        <v>1.17134894204842E+19</v>
      </c>
      <c r="B1356">
        <v>1021</v>
      </c>
      <c r="C1356">
        <v>1</v>
      </c>
      <c r="D1356">
        <v>2150</v>
      </c>
    </row>
    <row r="1357" spans="1:4" x14ac:dyDescent="0.55000000000000004">
      <c r="A1357" s="6">
        <v>1.1738439999794471E+19</v>
      </c>
      <c r="B1357">
        <v>104</v>
      </c>
      <c r="C1357">
        <v>1</v>
      </c>
      <c r="D1357">
        <v>3684</v>
      </c>
    </row>
    <row r="1358" spans="1:4" x14ac:dyDescent="0.55000000000000004">
      <c r="A1358" s="6">
        <v>1.1747066878444419E+19</v>
      </c>
      <c r="B1358">
        <v>146</v>
      </c>
      <c r="C1358">
        <v>2</v>
      </c>
      <c r="D1358">
        <v>539</v>
      </c>
    </row>
    <row r="1359" spans="1:4" x14ac:dyDescent="0.55000000000000004">
      <c r="A1359" s="6">
        <v>1.1747785999368579E+19</v>
      </c>
      <c r="B1359">
        <v>1063</v>
      </c>
      <c r="C1359">
        <v>1</v>
      </c>
      <c r="D1359">
        <v>1256</v>
      </c>
    </row>
    <row r="1360" spans="1:4" x14ac:dyDescent="0.55000000000000004">
      <c r="A1360" s="6">
        <v>1.1748387589311001E+19</v>
      </c>
      <c r="B1360">
        <v>39</v>
      </c>
      <c r="C1360">
        <v>1</v>
      </c>
      <c r="D1360">
        <v>636</v>
      </c>
    </row>
    <row r="1361" spans="1:4" x14ac:dyDescent="0.55000000000000004">
      <c r="A1361" s="6">
        <v>1.175758375020364E+19</v>
      </c>
      <c r="B1361">
        <v>637</v>
      </c>
      <c r="C1361">
        <v>1</v>
      </c>
      <c r="D1361">
        <v>229</v>
      </c>
    </row>
    <row r="1362" spans="1:4" x14ac:dyDescent="0.55000000000000004">
      <c r="A1362" s="6">
        <v>1.178237675493468E+19</v>
      </c>
      <c r="B1362">
        <v>1172</v>
      </c>
      <c r="C1362">
        <v>2</v>
      </c>
      <c r="D1362">
        <v>1236</v>
      </c>
    </row>
    <row r="1363" spans="1:4" x14ac:dyDescent="0.55000000000000004">
      <c r="A1363" s="6">
        <v>1.1785683981004911E+19</v>
      </c>
      <c r="B1363">
        <v>87</v>
      </c>
      <c r="C1363">
        <v>1</v>
      </c>
      <c r="D1363">
        <v>232</v>
      </c>
    </row>
    <row r="1364" spans="1:4" x14ac:dyDescent="0.55000000000000004">
      <c r="A1364" s="6">
        <v>1.178645923819018E+19</v>
      </c>
      <c r="B1364">
        <v>540</v>
      </c>
      <c r="C1364">
        <v>1</v>
      </c>
      <c r="D1364">
        <v>1405</v>
      </c>
    </row>
    <row r="1365" spans="1:4" x14ac:dyDescent="0.55000000000000004">
      <c r="A1365" s="6">
        <v>1.179369254274715E+19</v>
      </c>
      <c r="B1365">
        <v>295</v>
      </c>
      <c r="C1365">
        <v>1</v>
      </c>
      <c r="D1365">
        <v>80</v>
      </c>
    </row>
    <row r="1366" spans="1:4" x14ac:dyDescent="0.55000000000000004">
      <c r="A1366" s="6">
        <v>1.1804135673327311E+19</v>
      </c>
      <c r="B1366">
        <v>22</v>
      </c>
      <c r="C1366">
        <v>1</v>
      </c>
      <c r="D1366">
        <v>4251</v>
      </c>
    </row>
    <row r="1367" spans="1:4" x14ac:dyDescent="0.55000000000000004">
      <c r="A1367" s="6">
        <v>1.1808268645207179E+19</v>
      </c>
      <c r="B1367">
        <v>359</v>
      </c>
      <c r="C1367">
        <v>1</v>
      </c>
      <c r="D1367">
        <v>538</v>
      </c>
    </row>
    <row r="1368" spans="1:4" x14ac:dyDescent="0.55000000000000004">
      <c r="A1368" s="6">
        <v>1.181448947375495E+19</v>
      </c>
      <c r="B1368">
        <v>1161</v>
      </c>
      <c r="C1368">
        <v>1</v>
      </c>
      <c r="D1368">
        <v>5535</v>
      </c>
    </row>
    <row r="1369" spans="1:4" x14ac:dyDescent="0.55000000000000004">
      <c r="A1369" s="6">
        <v>1.1816606548421321E+19</v>
      </c>
      <c r="B1369">
        <v>976</v>
      </c>
      <c r="C1369">
        <v>1</v>
      </c>
      <c r="D1369">
        <v>2086</v>
      </c>
    </row>
    <row r="1370" spans="1:4" x14ac:dyDescent="0.55000000000000004">
      <c r="A1370" s="6">
        <v>1.183332280575514E+19</v>
      </c>
      <c r="B1370">
        <v>1253</v>
      </c>
      <c r="C1370">
        <v>1</v>
      </c>
      <c r="D1370">
        <v>3627</v>
      </c>
    </row>
    <row r="1371" spans="1:4" x14ac:dyDescent="0.55000000000000004">
      <c r="A1371" s="6">
        <v>1.1864184727117269E+19</v>
      </c>
      <c r="B1371">
        <v>84</v>
      </c>
      <c r="C1371">
        <v>2</v>
      </c>
      <c r="D1371">
        <v>1528</v>
      </c>
    </row>
    <row r="1372" spans="1:4" x14ac:dyDescent="0.55000000000000004">
      <c r="A1372" s="6">
        <v>1.1866731439402271E+19</v>
      </c>
      <c r="B1372">
        <v>332</v>
      </c>
      <c r="C1372">
        <v>1</v>
      </c>
      <c r="D1372">
        <v>4593</v>
      </c>
    </row>
    <row r="1373" spans="1:4" x14ac:dyDescent="0.55000000000000004">
      <c r="A1373" s="6">
        <v>1.1868077272663519E+19</v>
      </c>
      <c r="B1373">
        <v>807</v>
      </c>
      <c r="C1373">
        <v>3</v>
      </c>
      <c r="D1373">
        <v>3408</v>
      </c>
    </row>
    <row r="1374" spans="1:4" x14ac:dyDescent="0.55000000000000004">
      <c r="A1374" s="6">
        <v>1.188150367275085E+19</v>
      </c>
      <c r="B1374">
        <v>1293</v>
      </c>
      <c r="C1374">
        <v>1</v>
      </c>
      <c r="D1374">
        <v>4395</v>
      </c>
    </row>
    <row r="1375" spans="1:4" x14ac:dyDescent="0.55000000000000004">
      <c r="A1375" s="6">
        <v>1.1883551131589671E+19</v>
      </c>
      <c r="B1375">
        <v>940</v>
      </c>
      <c r="C1375">
        <v>1</v>
      </c>
      <c r="D1375">
        <v>399</v>
      </c>
    </row>
    <row r="1376" spans="1:4" x14ac:dyDescent="0.55000000000000004">
      <c r="A1376" s="6">
        <v>1.1886913938454659E+19</v>
      </c>
      <c r="B1376">
        <v>648</v>
      </c>
      <c r="C1376">
        <v>2</v>
      </c>
      <c r="D1376">
        <v>371</v>
      </c>
    </row>
    <row r="1377" spans="1:4" x14ac:dyDescent="0.55000000000000004">
      <c r="A1377" s="6">
        <v>1.1886972157497281E+19</v>
      </c>
      <c r="B1377">
        <v>957</v>
      </c>
      <c r="C1377">
        <v>1</v>
      </c>
      <c r="D1377">
        <v>2856</v>
      </c>
    </row>
    <row r="1378" spans="1:4" x14ac:dyDescent="0.55000000000000004">
      <c r="A1378" s="6">
        <v>1.1892397586174779E+19</v>
      </c>
      <c r="B1378">
        <v>191</v>
      </c>
      <c r="C1378">
        <v>1</v>
      </c>
      <c r="D1378">
        <v>1306</v>
      </c>
    </row>
    <row r="1379" spans="1:4" x14ac:dyDescent="0.55000000000000004">
      <c r="A1379" s="6">
        <v>1.189424107996723E+19</v>
      </c>
      <c r="B1379">
        <v>938</v>
      </c>
      <c r="C1379">
        <v>1</v>
      </c>
      <c r="D1379">
        <v>240</v>
      </c>
    </row>
    <row r="1380" spans="1:4" x14ac:dyDescent="0.55000000000000004">
      <c r="A1380" s="6">
        <v>1.1903747901253439E+19</v>
      </c>
      <c r="B1380">
        <v>160</v>
      </c>
      <c r="C1380">
        <v>1</v>
      </c>
      <c r="D1380">
        <v>0</v>
      </c>
    </row>
    <row r="1381" spans="1:4" x14ac:dyDescent="0.55000000000000004">
      <c r="A1381" s="6">
        <v>1.190565954692455E+19</v>
      </c>
      <c r="B1381">
        <v>47</v>
      </c>
      <c r="C1381">
        <v>1</v>
      </c>
      <c r="D1381">
        <v>9140</v>
      </c>
    </row>
    <row r="1382" spans="1:4" x14ac:dyDescent="0.55000000000000004">
      <c r="A1382" s="6">
        <v>1.190775768037523E+19</v>
      </c>
      <c r="B1382">
        <v>254</v>
      </c>
      <c r="C1382">
        <v>1</v>
      </c>
      <c r="D1382">
        <v>435</v>
      </c>
    </row>
    <row r="1383" spans="1:4" x14ac:dyDescent="0.55000000000000004">
      <c r="A1383" s="6">
        <v>1.192291517149329E+19</v>
      </c>
      <c r="B1383">
        <v>794</v>
      </c>
      <c r="C1383">
        <v>1</v>
      </c>
      <c r="D1383">
        <v>1871</v>
      </c>
    </row>
    <row r="1384" spans="1:4" x14ac:dyDescent="0.55000000000000004">
      <c r="A1384" s="6">
        <v>1.1925262759840299E+19</v>
      </c>
      <c r="B1384">
        <v>506</v>
      </c>
      <c r="C1384">
        <v>1</v>
      </c>
      <c r="D1384">
        <v>78</v>
      </c>
    </row>
    <row r="1385" spans="1:4" x14ac:dyDescent="0.55000000000000004">
      <c r="A1385" s="6">
        <v>1.193444999446759E+19</v>
      </c>
      <c r="B1385">
        <v>165</v>
      </c>
      <c r="C1385">
        <v>2</v>
      </c>
      <c r="D1385">
        <v>1032</v>
      </c>
    </row>
    <row r="1386" spans="1:4" x14ac:dyDescent="0.55000000000000004">
      <c r="A1386" s="6">
        <v>1.194566090307909E+19</v>
      </c>
      <c r="B1386">
        <v>690</v>
      </c>
      <c r="C1386">
        <v>1</v>
      </c>
      <c r="D1386">
        <v>2223</v>
      </c>
    </row>
    <row r="1387" spans="1:4" x14ac:dyDescent="0.55000000000000004">
      <c r="A1387" s="6">
        <v>1.1955962298200941E+19</v>
      </c>
      <c r="B1387">
        <v>564</v>
      </c>
      <c r="C1387">
        <v>1</v>
      </c>
      <c r="D1387">
        <v>655</v>
      </c>
    </row>
    <row r="1388" spans="1:4" x14ac:dyDescent="0.55000000000000004">
      <c r="A1388" s="6">
        <v>1.195913589439642E+19</v>
      </c>
      <c r="B1388">
        <v>881</v>
      </c>
      <c r="C1388">
        <v>1</v>
      </c>
      <c r="D1388">
        <v>1933</v>
      </c>
    </row>
    <row r="1389" spans="1:4" x14ac:dyDescent="0.55000000000000004">
      <c r="A1389" s="6">
        <v>1.196519488682964E+19</v>
      </c>
      <c r="B1389">
        <v>806</v>
      </c>
      <c r="C1389">
        <v>2</v>
      </c>
      <c r="D1389">
        <v>1631</v>
      </c>
    </row>
    <row r="1390" spans="1:4" x14ac:dyDescent="0.55000000000000004">
      <c r="A1390" s="6">
        <v>1.1982221732938629E+19</v>
      </c>
      <c r="B1390">
        <v>491</v>
      </c>
      <c r="C1390">
        <v>1</v>
      </c>
      <c r="D1390">
        <v>7250</v>
      </c>
    </row>
    <row r="1391" spans="1:4" x14ac:dyDescent="0.55000000000000004">
      <c r="A1391" s="6">
        <v>1.19876887863512E+19</v>
      </c>
      <c r="B1391">
        <v>18</v>
      </c>
      <c r="C1391">
        <v>3</v>
      </c>
      <c r="D1391">
        <v>3092</v>
      </c>
    </row>
    <row r="1392" spans="1:4" x14ac:dyDescent="0.55000000000000004">
      <c r="A1392" s="6">
        <v>1.1993843456880841E+19</v>
      </c>
      <c r="B1392">
        <v>825</v>
      </c>
      <c r="C1392">
        <v>2</v>
      </c>
      <c r="D1392">
        <v>1960</v>
      </c>
    </row>
    <row r="1393" spans="1:4" x14ac:dyDescent="0.55000000000000004">
      <c r="A1393" s="6">
        <v>1.2023383622054459E+19</v>
      </c>
      <c r="B1393">
        <v>757</v>
      </c>
      <c r="C1393">
        <v>1</v>
      </c>
      <c r="D1393">
        <v>834</v>
      </c>
    </row>
    <row r="1394" spans="1:4" x14ac:dyDescent="0.55000000000000004">
      <c r="A1394" s="6">
        <v>1.2036271954815109E+19</v>
      </c>
      <c r="B1394">
        <v>1178</v>
      </c>
      <c r="C1394">
        <v>1</v>
      </c>
      <c r="D1394">
        <v>259</v>
      </c>
    </row>
    <row r="1395" spans="1:4" x14ac:dyDescent="0.55000000000000004">
      <c r="A1395" s="6">
        <v>1.2044647442963249E+19</v>
      </c>
      <c r="B1395">
        <v>41</v>
      </c>
      <c r="C1395">
        <v>1</v>
      </c>
      <c r="D1395">
        <v>759</v>
      </c>
    </row>
    <row r="1396" spans="1:4" x14ac:dyDescent="0.55000000000000004">
      <c r="A1396" s="6">
        <v>1.2061853660397591E+19</v>
      </c>
      <c r="B1396">
        <v>1139</v>
      </c>
      <c r="C1396">
        <v>1</v>
      </c>
      <c r="D1396">
        <v>282</v>
      </c>
    </row>
    <row r="1397" spans="1:4" x14ac:dyDescent="0.55000000000000004">
      <c r="A1397" s="6">
        <v>1.2061880677718579E+19</v>
      </c>
      <c r="B1397">
        <v>358</v>
      </c>
      <c r="C1397">
        <v>2</v>
      </c>
      <c r="D1397">
        <v>13185</v>
      </c>
    </row>
    <row r="1398" spans="1:4" x14ac:dyDescent="0.55000000000000004">
      <c r="A1398" s="6">
        <v>1.2067782144635619E+19</v>
      </c>
      <c r="B1398">
        <v>337</v>
      </c>
      <c r="C1398">
        <v>1</v>
      </c>
      <c r="D1398">
        <v>580</v>
      </c>
    </row>
    <row r="1399" spans="1:4" x14ac:dyDescent="0.55000000000000004">
      <c r="A1399" s="6">
        <v>1.207189860297103E+19</v>
      </c>
      <c r="B1399">
        <v>247</v>
      </c>
      <c r="C1399">
        <v>1</v>
      </c>
      <c r="D1399">
        <v>1752</v>
      </c>
    </row>
    <row r="1400" spans="1:4" x14ac:dyDescent="0.55000000000000004">
      <c r="A1400" s="6">
        <v>1.207683323886489E+19</v>
      </c>
      <c r="B1400">
        <v>12</v>
      </c>
      <c r="C1400">
        <v>2</v>
      </c>
      <c r="D1400">
        <v>2957</v>
      </c>
    </row>
    <row r="1401" spans="1:4" x14ac:dyDescent="0.55000000000000004">
      <c r="A1401" s="6">
        <v>1.207908146795667E+19</v>
      </c>
      <c r="B1401">
        <v>929</v>
      </c>
      <c r="C1401">
        <v>2</v>
      </c>
      <c r="D1401">
        <v>390</v>
      </c>
    </row>
    <row r="1402" spans="1:4" x14ac:dyDescent="0.55000000000000004">
      <c r="A1402" s="6">
        <v>1.2110034943482069E+19</v>
      </c>
      <c r="B1402">
        <v>40</v>
      </c>
      <c r="C1402">
        <v>1</v>
      </c>
      <c r="D1402">
        <v>4047</v>
      </c>
    </row>
    <row r="1403" spans="1:4" x14ac:dyDescent="0.55000000000000004">
      <c r="A1403" s="6">
        <v>1.211089913460737E+19</v>
      </c>
      <c r="B1403">
        <v>510</v>
      </c>
      <c r="C1403">
        <v>1</v>
      </c>
      <c r="D1403">
        <v>248</v>
      </c>
    </row>
    <row r="1404" spans="1:4" x14ac:dyDescent="0.55000000000000004">
      <c r="A1404" s="6">
        <v>1.211195581225029E+19</v>
      </c>
      <c r="B1404">
        <v>361</v>
      </c>
      <c r="C1404">
        <v>3</v>
      </c>
      <c r="D1404">
        <v>24452</v>
      </c>
    </row>
    <row r="1405" spans="1:4" x14ac:dyDescent="0.55000000000000004">
      <c r="A1405" s="6">
        <v>1.2135474904153309E+19</v>
      </c>
      <c r="B1405">
        <v>42</v>
      </c>
      <c r="C1405">
        <v>2</v>
      </c>
      <c r="D1405">
        <v>6410</v>
      </c>
    </row>
    <row r="1406" spans="1:4" x14ac:dyDescent="0.55000000000000004">
      <c r="A1406" s="6">
        <v>1.21417257486778E+19</v>
      </c>
      <c r="B1406">
        <v>564</v>
      </c>
      <c r="C1406">
        <v>1</v>
      </c>
      <c r="D1406">
        <v>673</v>
      </c>
    </row>
    <row r="1407" spans="1:4" x14ac:dyDescent="0.55000000000000004">
      <c r="A1407" s="6">
        <v>1.215655521005091E+19</v>
      </c>
      <c r="B1407">
        <v>111</v>
      </c>
      <c r="C1407">
        <v>1</v>
      </c>
      <c r="D1407">
        <v>1790</v>
      </c>
    </row>
    <row r="1408" spans="1:4" x14ac:dyDescent="0.55000000000000004">
      <c r="A1408" s="6">
        <v>1.2160854978433571E+19</v>
      </c>
      <c r="B1408">
        <v>386</v>
      </c>
      <c r="C1408">
        <v>1</v>
      </c>
      <c r="D1408">
        <v>2572</v>
      </c>
    </row>
    <row r="1409" spans="1:4" x14ac:dyDescent="0.55000000000000004">
      <c r="A1409" s="6">
        <v>1.216474359270146E+19</v>
      </c>
      <c r="B1409">
        <v>37</v>
      </c>
      <c r="C1409">
        <v>1</v>
      </c>
      <c r="D1409">
        <v>2592</v>
      </c>
    </row>
    <row r="1410" spans="1:4" x14ac:dyDescent="0.55000000000000004">
      <c r="A1410" s="6">
        <v>1.216780842409685E+19</v>
      </c>
      <c r="B1410">
        <v>1107</v>
      </c>
      <c r="C1410">
        <v>1</v>
      </c>
      <c r="D1410">
        <v>349</v>
      </c>
    </row>
    <row r="1411" spans="1:4" x14ac:dyDescent="0.55000000000000004">
      <c r="A1411" s="6">
        <v>1.218819727349224E+19</v>
      </c>
      <c r="B1411">
        <v>384</v>
      </c>
      <c r="C1411">
        <v>2</v>
      </c>
      <c r="D1411">
        <v>371</v>
      </c>
    </row>
    <row r="1412" spans="1:4" x14ac:dyDescent="0.55000000000000004">
      <c r="A1412" s="6">
        <v>1.22051270992175E+19</v>
      </c>
      <c r="B1412">
        <v>8</v>
      </c>
      <c r="C1412">
        <v>1</v>
      </c>
      <c r="D1412">
        <v>3900</v>
      </c>
    </row>
    <row r="1413" spans="1:4" x14ac:dyDescent="0.55000000000000004">
      <c r="A1413" s="6">
        <v>1.2231084717582371E+19</v>
      </c>
      <c r="B1413">
        <v>659</v>
      </c>
      <c r="C1413">
        <v>1</v>
      </c>
      <c r="D1413">
        <v>906</v>
      </c>
    </row>
    <row r="1414" spans="1:4" x14ac:dyDescent="0.55000000000000004">
      <c r="A1414" s="6">
        <v>1.2242322411880839E+19</v>
      </c>
      <c r="B1414">
        <v>74</v>
      </c>
      <c r="C1414">
        <v>3</v>
      </c>
      <c r="D1414">
        <v>13019</v>
      </c>
    </row>
    <row r="1415" spans="1:4" x14ac:dyDescent="0.55000000000000004">
      <c r="A1415" s="6">
        <v>1.2278171695575269E+19</v>
      </c>
      <c r="B1415">
        <v>724</v>
      </c>
      <c r="C1415">
        <v>1</v>
      </c>
      <c r="D1415">
        <v>722</v>
      </c>
    </row>
    <row r="1416" spans="1:4" x14ac:dyDescent="0.55000000000000004">
      <c r="A1416" s="6">
        <v>1.22809657059362E+19</v>
      </c>
      <c r="B1416">
        <v>435</v>
      </c>
      <c r="C1416">
        <v>1</v>
      </c>
      <c r="D1416">
        <v>1730</v>
      </c>
    </row>
    <row r="1417" spans="1:4" x14ac:dyDescent="0.55000000000000004">
      <c r="A1417" s="6">
        <v>1.228500511889546E+19</v>
      </c>
      <c r="B1417">
        <v>1228</v>
      </c>
      <c r="C1417">
        <v>1</v>
      </c>
      <c r="D1417">
        <v>385</v>
      </c>
    </row>
    <row r="1418" spans="1:4" x14ac:dyDescent="0.55000000000000004">
      <c r="A1418" s="6">
        <v>1.229276804746035E+19</v>
      </c>
      <c r="B1418">
        <v>1120</v>
      </c>
      <c r="C1418">
        <v>1</v>
      </c>
      <c r="D1418">
        <v>224</v>
      </c>
    </row>
    <row r="1419" spans="1:4" x14ac:dyDescent="0.55000000000000004">
      <c r="A1419" s="6">
        <v>1.2294883668211849E+19</v>
      </c>
      <c r="B1419">
        <v>1240</v>
      </c>
      <c r="C1419">
        <v>1</v>
      </c>
      <c r="D1419">
        <v>15714</v>
      </c>
    </row>
    <row r="1420" spans="1:4" x14ac:dyDescent="0.55000000000000004">
      <c r="A1420" s="6">
        <v>1.2302739047481971E+19</v>
      </c>
      <c r="B1420">
        <v>594</v>
      </c>
      <c r="C1420">
        <v>1</v>
      </c>
      <c r="D1420">
        <v>1359</v>
      </c>
    </row>
    <row r="1421" spans="1:4" x14ac:dyDescent="0.55000000000000004">
      <c r="A1421" s="6">
        <v>1.2325779343734329E+19</v>
      </c>
      <c r="B1421">
        <v>40</v>
      </c>
      <c r="C1421">
        <v>2</v>
      </c>
      <c r="D1421">
        <v>3567</v>
      </c>
    </row>
    <row r="1422" spans="1:4" x14ac:dyDescent="0.55000000000000004">
      <c r="A1422" s="6">
        <v>1.234620301174427E+19</v>
      </c>
      <c r="B1422">
        <v>265</v>
      </c>
      <c r="C1422">
        <v>2</v>
      </c>
      <c r="D1422">
        <v>1859</v>
      </c>
    </row>
    <row r="1423" spans="1:4" x14ac:dyDescent="0.55000000000000004">
      <c r="A1423" s="6">
        <v>1.2350054782657731E+19</v>
      </c>
      <c r="B1423">
        <v>959</v>
      </c>
      <c r="C1423">
        <v>1</v>
      </c>
      <c r="D1423">
        <v>661</v>
      </c>
    </row>
    <row r="1424" spans="1:4" x14ac:dyDescent="0.55000000000000004">
      <c r="A1424" s="6">
        <v>1.2356092702888061E+19</v>
      </c>
      <c r="B1424">
        <v>153</v>
      </c>
      <c r="C1424">
        <v>2</v>
      </c>
      <c r="D1424">
        <v>7393</v>
      </c>
    </row>
    <row r="1425" spans="1:4" x14ac:dyDescent="0.55000000000000004">
      <c r="A1425" s="6">
        <v>1.23702259131362E+19</v>
      </c>
      <c r="B1425">
        <v>31</v>
      </c>
      <c r="C1425">
        <v>1</v>
      </c>
      <c r="D1425">
        <v>2352</v>
      </c>
    </row>
    <row r="1426" spans="1:4" x14ac:dyDescent="0.55000000000000004">
      <c r="A1426" s="6">
        <v>1.23873043178089E+19</v>
      </c>
      <c r="B1426">
        <v>533</v>
      </c>
      <c r="C1426">
        <v>1</v>
      </c>
      <c r="D1426">
        <v>586</v>
      </c>
    </row>
    <row r="1427" spans="1:4" x14ac:dyDescent="0.55000000000000004">
      <c r="A1427" s="6">
        <v>1.2388158799828779E+19</v>
      </c>
      <c r="B1427">
        <v>735</v>
      </c>
      <c r="C1427">
        <v>1</v>
      </c>
      <c r="D1427">
        <v>269</v>
      </c>
    </row>
    <row r="1428" spans="1:4" x14ac:dyDescent="0.55000000000000004">
      <c r="A1428" s="6">
        <v>1.238916070570668E+19</v>
      </c>
      <c r="B1428">
        <v>607</v>
      </c>
      <c r="C1428">
        <v>2</v>
      </c>
      <c r="D1428">
        <v>2146</v>
      </c>
    </row>
    <row r="1429" spans="1:4" x14ac:dyDescent="0.55000000000000004">
      <c r="A1429" s="6">
        <v>1.239974817970707E+19</v>
      </c>
      <c r="B1429">
        <v>1072</v>
      </c>
      <c r="C1429">
        <v>1</v>
      </c>
      <c r="D1429">
        <v>490</v>
      </c>
    </row>
    <row r="1430" spans="1:4" x14ac:dyDescent="0.55000000000000004">
      <c r="A1430" s="6">
        <v>1.24032174026972E+19</v>
      </c>
      <c r="B1430">
        <v>134</v>
      </c>
      <c r="C1430">
        <v>1</v>
      </c>
      <c r="D1430">
        <v>1696</v>
      </c>
    </row>
    <row r="1431" spans="1:4" x14ac:dyDescent="0.55000000000000004">
      <c r="A1431" s="6">
        <v>1.240325528226262E+19</v>
      </c>
      <c r="B1431">
        <v>719</v>
      </c>
      <c r="C1431">
        <v>1</v>
      </c>
      <c r="D1431">
        <v>939</v>
      </c>
    </row>
    <row r="1432" spans="1:4" x14ac:dyDescent="0.55000000000000004">
      <c r="A1432" s="6">
        <v>1.2405799779277251E+19</v>
      </c>
      <c r="B1432">
        <v>713</v>
      </c>
      <c r="C1432">
        <v>2</v>
      </c>
      <c r="D1432">
        <v>7390</v>
      </c>
    </row>
    <row r="1433" spans="1:4" x14ac:dyDescent="0.55000000000000004">
      <c r="A1433" s="6">
        <v>1.2418058850637941E+19</v>
      </c>
      <c r="B1433">
        <v>203</v>
      </c>
      <c r="C1433">
        <v>3</v>
      </c>
      <c r="D1433">
        <v>8487</v>
      </c>
    </row>
    <row r="1434" spans="1:4" x14ac:dyDescent="0.55000000000000004">
      <c r="A1434" s="6">
        <v>1.2420661798939331E+19</v>
      </c>
      <c r="B1434">
        <v>1053</v>
      </c>
      <c r="C1434">
        <v>1</v>
      </c>
      <c r="D1434">
        <v>180</v>
      </c>
    </row>
    <row r="1435" spans="1:4" x14ac:dyDescent="0.55000000000000004">
      <c r="A1435" s="6">
        <v>1.2425575693366991E+19</v>
      </c>
      <c r="B1435">
        <v>839</v>
      </c>
      <c r="C1435">
        <v>1</v>
      </c>
      <c r="D1435">
        <v>117</v>
      </c>
    </row>
    <row r="1436" spans="1:4" x14ac:dyDescent="0.55000000000000004">
      <c r="A1436" s="6">
        <v>1.243201166146015E+19</v>
      </c>
      <c r="B1436">
        <v>289</v>
      </c>
      <c r="C1436">
        <v>1</v>
      </c>
      <c r="D1436">
        <v>824</v>
      </c>
    </row>
    <row r="1437" spans="1:4" x14ac:dyDescent="0.55000000000000004">
      <c r="A1437" s="6">
        <v>1.2438126385230721E+19</v>
      </c>
      <c r="B1437">
        <v>440</v>
      </c>
      <c r="C1437">
        <v>1</v>
      </c>
      <c r="D1437">
        <v>862</v>
      </c>
    </row>
    <row r="1438" spans="1:4" x14ac:dyDescent="0.55000000000000004">
      <c r="A1438" s="6">
        <v>1.2443034443621161E+19</v>
      </c>
      <c r="B1438">
        <v>48</v>
      </c>
      <c r="C1438">
        <v>1</v>
      </c>
      <c r="D1438">
        <v>633</v>
      </c>
    </row>
    <row r="1439" spans="1:4" x14ac:dyDescent="0.55000000000000004">
      <c r="A1439" s="6">
        <v>1.24462809513251E+19</v>
      </c>
      <c r="B1439">
        <v>396</v>
      </c>
      <c r="C1439">
        <v>1</v>
      </c>
      <c r="D1439">
        <v>1890</v>
      </c>
    </row>
    <row r="1440" spans="1:4" x14ac:dyDescent="0.55000000000000004">
      <c r="A1440" s="6">
        <v>1.24468035397837E+19</v>
      </c>
      <c r="B1440">
        <v>1094</v>
      </c>
      <c r="C1440">
        <v>1</v>
      </c>
      <c r="D1440">
        <v>846</v>
      </c>
    </row>
    <row r="1441" spans="1:4" x14ac:dyDescent="0.55000000000000004">
      <c r="A1441" s="6">
        <v>1.2447460537077559E+19</v>
      </c>
      <c r="B1441">
        <v>50</v>
      </c>
      <c r="C1441">
        <v>1</v>
      </c>
      <c r="D1441">
        <v>249</v>
      </c>
    </row>
    <row r="1442" spans="1:4" x14ac:dyDescent="0.55000000000000004">
      <c r="A1442" s="6">
        <v>1.2447495074817901E+19</v>
      </c>
      <c r="B1442">
        <v>1255</v>
      </c>
      <c r="C1442">
        <v>1</v>
      </c>
      <c r="D1442">
        <v>138</v>
      </c>
    </row>
    <row r="1443" spans="1:4" x14ac:dyDescent="0.55000000000000004">
      <c r="A1443" s="6">
        <v>1.244898343219859E+19</v>
      </c>
      <c r="B1443">
        <v>820</v>
      </c>
      <c r="C1443">
        <v>1</v>
      </c>
      <c r="D1443">
        <v>919</v>
      </c>
    </row>
    <row r="1444" spans="1:4" x14ac:dyDescent="0.55000000000000004">
      <c r="A1444" s="6">
        <v>1.2470295368778029E+19</v>
      </c>
      <c r="B1444">
        <v>911</v>
      </c>
      <c r="C1444">
        <v>1</v>
      </c>
      <c r="D1444">
        <v>432</v>
      </c>
    </row>
    <row r="1445" spans="1:4" x14ac:dyDescent="0.55000000000000004">
      <c r="A1445" s="6">
        <v>1.247375959022874E+19</v>
      </c>
      <c r="B1445">
        <v>505</v>
      </c>
      <c r="C1445">
        <v>1</v>
      </c>
      <c r="D1445">
        <v>99</v>
      </c>
    </row>
    <row r="1446" spans="1:4" x14ac:dyDescent="0.55000000000000004">
      <c r="A1446" s="6">
        <v>1.2480650001792049E+19</v>
      </c>
      <c r="B1446">
        <v>338</v>
      </c>
      <c r="C1446">
        <v>1</v>
      </c>
      <c r="D1446">
        <v>226</v>
      </c>
    </row>
    <row r="1447" spans="1:4" x14ac:dyDescent="0.55000000000000004">
      <c r="A1447" s="6">
        <v>1.248812592215986E+19</v>
      </c>
      <c r="B1447">
        <v>593</v>
      </c>
      <c r="C1447">
        <v>1</v>
      </c>
      <c r="D1447">
        <v>302</v>
      </c>
    </row>
    <row r="1448" spans="1:4" x14ac:dyDescent="0.55000000000000004">
      <c r="A1448" s="6">
        <v>1.2488241262194881E+19</v>
      </c>
      <c r="B1448">
        <v>652</v>
      </c>
      <c r="C1448">
        <v>1</v>
      </c>
      <c r="D1448">
        <v>69</v>
      </c>
    </row>
    <row r="1449" spans="1:4" x14ac:dyDescent="0.55000000000000004">
      <c r="A1449" s="6">
        <v>1.2491910575003779E+19</v>
      </c>
      <c r="B1449">
        <v>747</v>
      </c>
      <c r="C1449">
        <v>1</v>
      </c>
      <c r="D1449">
        <v>2070</v>
      </c>
    </row>
    <row r="1450" spans="1:4" x14ac:dyDescent="0.55000000000000004">
      <c r="A1450" s="6">
        <v>1.2530939074231751E+19</v>
      </c>
      <c r="B1450">
        <v>470</v>
      </c>
      <c r="C1450">
        <v>2</v>
      </c>
      <c r="D1450">
        <v>52204</v>
      </c>
    </row>
    <row r="1451" spans="1:4" x14ac:dyDescent="0.55000000000000004">
      <c r="A1451" s="6">
        <v>1.2539100529691179E+19</v>
      </c>
      <c r="B1451">
        <v>1215</v>
      </c>
      <c r="C1451">
        <v>1</v>
      </c>
      <c r="D1451">
        <v>443</v>
      </c>
    </row>
    <row r="1452" spans="1:4" x14ac:dyDescent="0.55000000000000004">
      <c r="A1452" s="6">
        <v>1.2557420658904809E+19</v>
      </c>
      <c r="B1452">
        <v>321</v>
      </c>
      <c r="C1452">
        <v>2</v>
      </c>
      <c r="D1452">
        <v>4109</v>
      </c>
    </row>
    <row r="1453" spans="1:4" x14ac:dyDescent="0.55000000000000004">
      <c r="A1453" s="6">
        <v>1.256053743708636E+19</v>
      </c>
      <c r="B1453">
        <v>372</v>
      </c>
      <c r="C1453">
        <v>2</v>
      </c>
      <c r="D1453">
        <v>13666</v>
      </c>
    </row>
    <row r="1454" spans="1:4" x14ac:dyDescent="0.55000000000000004">
      <c r="A1454" s="6">
        <v>1.256304617985765E+19</v>
      </c>
      <c r="B1454">
        <v>796</v>
      </c>
      <c r="C1454">
        <v>2</v>
      </c>
      <c r="D1454">
        <v>1500</v>
      </c>
    </row>
    <row r="1455" spans="1:4" x14ac:dyDescent="0.55000000000000004">
      <c r="A1455" s="6">
        <v>1.2563713193918501E+19</v>
      </c>
      <c r="B1455">
        <v>470</v>
      </c>
      <c r="C1455">
        <v>3</v>
      </c>
      <c r="D1455">
        <v>357</v>
      </c>
    </row>
    <row r="1456" spans="1:4" x14ac:dyDescent="0.55000000000000004">
      <c r="A1456" s="6">
        <v>1.2573059671095509E+19</v>
      </c>
      <c r="B1456">
        <v>121</v>
      </c>
      <c r="C1456">
        <v>1</v>
      </c>
      <c r="D1456">
        <v>713</v>
      </c>
    </row>
    <row r="1457" spans="1:4" x14ac:dyDescent="0.55000000000000004">
      <c r="A1457" s="6">
        <v>1.2590142741476041E+19</v>
      </c>
      <c r="B1457">
        <v>517</v>
      </c>
      <c r="C1457">
        <v>1</v>
      </c>
      <c r="D1457">
        <v>617</v>
      </c>
    </row>
    <row r="1458" spans="1:4" x14ac:dyDescent="0.55000000000000004">
      <c r="A1458" s="6">
        <v>1.25975856000808E+19</v>
      </c>
      <c r="B1458">
        <v>706</v>
      </c>
      <c r="C1458">
        <v>2</v>
      </c>
      <c r="D1458">
        <v>1304</v>
      </c>
    </row>
    <row r="1459" spans="1:4" x14ac:dyDescent="0.55000000000000004">
      <c r="A1459" s="6">
        <v>1.2598501340074549E+19</v>
      </c>
      <c r="B1459">
        <v>101</v>
      </c>
      <c r="C1459">
        <v>1</v>
      </c>
      <c r="D1459">
        <v>1295</v>
      </c>
    </row>
    <row r="1460" spans="1:4" x14ac:dyDescent="0.55000000000000004">
      <c r="A1460" s="6">
        <v>1.261100388683049E+19</v>
      </c>
      <c r="B1460">
        <v>475</v>
      </c>
      <c r="C1460">
        <v>1</v>
      </c>
      <c r="D1460">
        <v>13970</v>
      </c>
    </row>
    <row r="1461" spans="1:4" x14ac:dyDescent="0.55000000000000004">
      <c r="A1461" s="6">
        <v>1.262209318827511E+19</v>
      </c>
      <c r="B1461">
        <v>759</v>
      </c>
      <c r="C1461">
        <v>2</v>
      </c>
      <c r="D1461">
        <v>17513</v>
      </c>
    </row>
    <row r="1462" spans="1:4" x14ac:dyDescent="0.55000000000000004">
      <c r="A1462" s="6">
        <v>1.262800564840045E+19</v>
      </c>
      <c r="B1462">
        <v>409</v>
      </c>
      <c r="C1462">
        <v>2</v>
      </c>
      <c r="D1462">
        <v>776</v>
      </c>
    </row>
    <row r="1463" spans="1:4" x14ac:dyDescent="0.55000000000000004">
      <c r="A1463" s="6">
        <v>1.262989142060767E+19</v>
      </c>
      <c r="B1463">
        <v>552</v>
      </c>
      <c r="C1463">
        <v>1</v>
      </c>
      <c r="D1463">
        <v>1026</v>
      </c>
    </row>
    <row r="1464" spans="1:4" x14ac:dyDescent="0.55000000000000004">
      <c r="A1464" s="6">
        <v>1.263360759711471E+19</v>
      </c>
      <c r="B1464">
        <v>895</v>
      </c>
      <c r="C1464">
        <v>1</v>
      </c>
      <c r="D1464">
        <v>2367</v>
      </c>
    </row>
    <row r="1465" spans="1:4" x14ac:dyDescent="0.55000000000000004">
      <c r="A1465" s="6">
        <v>1.2650068257878211E+19</v>
      </c>
      <c r="B1465">
        <v>292</v>
      </c>
      <c r="C1465">
        <v>1</v>
      </c>
      <c r="D1465">
        <v>498</v>
      </c>
    </row>
    <row r="1466" spans="1:4" x14ac:dyDescent="0.55000000000000004">
      <c r="A1466" s="6">
        <v>1.265391923995298E+19</v>
      </c>
      <c r="B1466">
        <v>205</v>
      </c>
      <c r="C1466">
        <v>2</v>
      </c>
      <c r="D1466">
        <v>2863</v>
      </c>
    </row>
    <row r="1467" spans="1:4" x14ac:dyDescent="0.55000000000000004">
      <c r="A1467" s="6">
        <v>1.266730028235143E+19</v>
      </c>
      <c r="B1467">
        <v>819</v>
      </c>
      <c r="C1467">
        <v>1</v>
      </c>
      <c r="D1467">
        <v>2075</v>
      </c>
    </row>
    <row r="1468" spans="1:4" x14ac:dyDescent="0.55000000000000004">
      <c r="A1468" s="6">
        <v>1.267152939092461E+19</v>
      </c>
      <c r="B1468">
        <v>258</v>
      </c>
      <c r="C1468">
        <v>2</v>
      </c>
      <c r="D1468">
        <v>1795</v>
      </c>
    </row>
    <row r="1469" spans="1:4" x14ac:dyDescent="0.55000000000000004">
      <c r="A1469" s="6">
        <v>1.2672251890430099E+19</v>
      </c>
      <c r="B1469">
        <v>19</v>
      </c>
      <c r="C1469">
        <v>2</v>
      </c>
      <c r="D1469">
        <v>1040</v>
      </c>
    </row>
    <row r="1470" spans="1:4" x14ac:dyDescent="0.55000000000000004">
      <c r="A1470" s="6">
        <v>1.2685288237024381E+19</v>
      </c>
      <c r="B1470">
        <v>162</v>
      </c>
      <c r="C1470">
        <v>4</v>
      </c>
      <c r="D1470">
        <v>18069</v>
      </c>
    </row>
    <row r="1471" spans="1:4" x14ac:dyDescent="0.55000000000000004">
      <c r="A1471" s="6">
        <v>1.268867558013766E+19</v>
      </c>
      <c r="B1471">
        <v>408</v>
      </c>
      <c r="C1471">
        <v>1</v>
      </c>
      <c r="D1471">
        <v>1245</v>
      </c>
    </row>
    <row r="1472" spans="1:4" x14ac:dyDescent="0.55000000000000004">
      <c r="A1472" s="6">
        <v>1.26918699747578E+19</v>
      </c>
      <c r="B1472">
        <v>671</v>
      </c>
      <c r="C1472">
        <v>2</v>
      </c>
      <c r="D1472">
        <v>999</v>
      </c>
    </row>
    <row r="1473" spans="1:4" x14ac:dyDescent="0.55000000000000004">
      <c r="A1473" s="6">
        <v>1.269251105105741E+19</v>
      </c>
      <c r="B1473">
        <v>1008</v>
      </c>
      <c r="C1473">
        <v>1</v>
      </c>
      <c r="D1473">
        <v>699</v>
      </c>
    </row>
    <row r="1474" spans="1:4" x14ac:dyDescent="0.55000000000000004">
      <c r="A1474" s="6">
        <v>1.269263325481158E+19</v>
      </c>
      <c r="B1474">
        <v>657</v>
      </c>
      <c r="C1474">
        <v>1</v>
      </c>
      <c r="D1474">
        <v>276</v>
      </c>
    </row>
    <row r="1475" spans="1:4" x14ac:dyDescent="0.55000000000000004">
      <c r="A1475" s="6">
        <v>1.2695739661829241E+19</v>
      </c>
      <c r="B1475">
        <v>1171</v>
      </c>
      <c r="C1475">
        <v>1</v>
      </c>
      <c r="D1475">
        <v>835</v>
      </c>
    </row>
    <row r="1476" spans="1:4" x14ac:dyDescent="0.55000000000000004">
      <c r="A1476" s="6">
        <v>1.270326170498807E+19</v>
      </c>
      <c r="B1476">
        <v>771</v>
      </c>
      <c r="C1476">
        <v>1</v>
      </c>
      <c r="D1476">
        <v>1314</v>
      </c>
    </row>
    <row r="1477" spans="1:4" x14ac:dyDescent="0.55000000000000004">
      <c r="A1477" s="6">
        <v>1.270633193809956E+19</v>
      </c>
      <c r="B1477">
        <v>506</v>
      </c>
      <c r="C1477">
        <v>1</v>
      </c>
      <c r="D1477">
        <v>11</v>
      </c>
    </row>
    <row r="1478" spans="1:4" x14ac:dyDescent="0.55000000000000004">
      <c r="A1478" s="6">
        <v>1.270745994120286E+19</v>
      </c>
      <c r="B1478">
        <v>718</v>
      </c>
      <c r="C1478">
        <v>1</v>
      </c>
      <c r="D1478">
        <v>2385</v>
      </c>
    </row>
    <row r="1479" spans="1:4" x14ac:dyDescent="0.55000000000000004">
      <c r="A1479" s="6">
        <v>1.2716608980920001E+19</v>
      </c>
      <c r="B1479">
        <v>618</v>
      </c>
      <c r="C1479">
        <v>1</v>
      </c>
      <c r="D1479">
        <v>53</v>
      </c>
    </row>
    <row r="1480" spans="1:4" x14ac:dyDescent="0.55000000000000004">
      <c r="A1480" s="6">
        <v>1.272107029485295E+19</v>
      </c>
      <c r="B1480">
        <v>1127</v>
      </c>
      <c r="C1480">
        <v>1</v>
      </c>
      <c r="D1480">
        <v>440</v>
      </c>
    </row>
    <row r="1481" spans="1:4" x14ac:dyDescent="0.55000000000000004">
      <c r="A1481" s="6">
        <v>1.2726228110193639E+19</v>
      </c>
      <c r="B1481">
        <v>635</v>
      </c>
      <c r="C1481">
        <v>1</v>
      </c>
      <c r="D1481">
        <v>3.99</v>
      </c>
    </row>
    <row r="1482" spans="1:4" x14ac:dyDescent="0.55000000000000004">
      <c r="A1482" s="6">
        <v>1.2730106014305079E+19</v>
      </c>
      <c r="B1482">
        <v>421</v>
      </c>
      <c r="C1482">
        <v>5</v>
      </c>
      <c r="D1482">
        <v>22843</v>
      </c>
    </row>
    <row r="1483" spans="1:4" x14ac:dyDescent="0.55000000000000004">
      <c r="A1483" s="6">
        <v>1.2736719268360391E+19</v>
      </c>
      <c r="B1483">
        <v>3</v>
      </c>
      <c r="C1483">
        <v>1</v>
      </c>
      <c r="D1483">
        <v>1287</v>
      </c>
    </row>
    <row r="1484" spans="1:4" x14ac:dyDescent="0.55000000000000004">
      <c r="A1484" s="6">
        <v>1.2738442788213809E+19</v>
      </c>
      <c r="B1484">
        <v>1321</v>
      </c>
      <c r="C1484">
        <v>1</v>
      </c>
      <c r="D1484">
        <v>774</v>
      </c>
    </row>
    <row r="1485" spans="1:4" x14ac:dyDescent="0.55000000000000004">
      <c r="A1485" s="6">
        <v>1.273884389844678E+19</v>
      </c>
      <c r="B1485">
        <v>187</v>
      </c>
      <c r="C1485">
        <v>1</v>
      </c>
      <c r="D1485">
        <v>692</v>
      </c>
    </row>
    <row r="1486" spans="1:4" x14ac:dyDescent="0.55000000000000004">
      <c r="A1486" s="6">
        <v>1.273897921859062E+19</v>
      </c>
      <c r="B1486">
        <v>723</v>
      </c>
      <c r="C1486">
        <v>1</v>
      </c>
      <c r="D1486">
        <v>894</v>
      </c>
    </row>
    <row r="1487" spans="1:4" x14ac:dyDescent="0.55000000000000004">
      <c r="A1487" s="6">
        <v>1.2743829300151161E+19</v>
      </c>
      <c r="B1487">
        <v>879</v>
      </c>
      <c r="C1487">
        <v>1</v>
      </c>
      <c r="D1487">
        <v>387</v>
      </c>
    </row>
    <row r="1488" spans="1:4" x14ac:dyDescent="0.55000000000000004">
      <c r="A1488" s="6">
        <v>1.2754514533698959E+19</v>
      </c>
      <c r="B1488">
        <v>614</v>
      </c>
      <c r="C1488">
        <v>2</v>
      </c>
      <c r="D1488">
        <v>835</v>
      </c>
    </row>
    <row r="1489" spans="1:4" x14ac:dyDescent="0.55000000000000004">
      <c r="A1489" s="6">
        <v>1.275911687745459E+19</v>
      </c>
      <c r="B1489">
        <v>74</v>
      </c>
      <c r="C1489">
        <v>1</v>
      </c>
      <c r="D1489">
        <v>627</v>
      </c>
    </row>
    <row r="1490" spans="1:4" x14ac:dyDescent="0.55000000000000004">
      <c r="A1490" s="6">
        <v>1.276386496350713E+19</v>
      </c>
      <c r="B1490">
        <v>169</v>
      </c>
      <c r="C1490">
        <v>1</v>
      </c>
      <c r="D1490">
        <v>219</v>
      </c>
    </row>
    <row r="1491" spans="1:4" x14ac:dyDescent="0.55000000000000004">
      <c r="A1491" s="6">
        <v>1.276599846166323E+19</v>
      </c>
      <c r="B1491">
        <v>556</v>
      </c>
      <c r="C1491">
        <v>1</v>
      </c>
      <c r="D1491">
        <v>6732</v>
      </c>
    </row>
    <row r="1492" spans="1:4" x14ac:dyDescent="0.55000000000000004">
      <c r="A1492" s="6">
        <v>1.2805386747322821E+19</v>
      </c>
      <c r="B1492">
        <v>143</v>
      </c>
      <c r="C1492">
        <v>1</v>
      </c>
      <c r="D1492">
        <v>564</v>
      </c>
    </row>
    <row r="1493" spans="1:4" x14ac:dyDescent="0.55000000000000004">
      <c r="A1493" s="6">
        <v>1.2808864611926041E+19</v>
      </c>
      <c r="B1493">
        <v>98</v>
      </c>
      <c r="C1493">
        <v>2</v>
      </c>
      <c r="D1493">
        <v>2107</v>
      </c>
    </row>
    <row r="1494" spans="1:4" x14ac:dyDescent="0.55000000000000004">
      <c r="A1494" s="6">
        <v>1.281723145494827E+19</v>
      </c>
      <c r="B1494">
        <v>27</v>
      </c>
      <c r="C1494">
        <v>2</v>
      </c>
      <c r="D1494">
        <v>4525</v>
      </c>
    </row>
    <row r="1495" spans="1:4" x14ac:dyDescent="0.55000000000000004">
      <c r="A1495" s="6">
        <v>1.2818850421819841E+19</v>
      </c>
      <c r="B1495">
        <v>137</v>
      </c>
      <c r="C1495">
        <v>1</v>
      </c>
      <c r="D1495">
        <v>1402</v>
      </c>
    </row>
    <row r="1496" spans="1:4" x14ac:dyDescent="0.55000000000000004">
      <c r="A1496" s="6">
        <v>1.2844486894458751E+19</v>
      </c>
      <c r="B1496">
        <v>642</v>
      </c>
      <c r="C1496">
        <v>1</v>
      </c>
      <c r="D1496">
        <v>149</v>
      </c>
    </row>
    <row r="1497" spans="1:4" x14ac:dyDescent="0.55000000000000004">
      <c r="A1497" s="6">
        <v>1.2852288836830581E+19</v>
      </c>
      <c r="B1497">
        <v>194</v>
      </c>
      <c r="C1497">
        <v>2</v>
      </c>
      <c r="D1497">
        <v>3989</v>
      </c>
    </row>
    <row r="1498" spans="1:4" x14ac:dyDescent="0.55000000000000004">
      <c r="A1498" s="6">
        <v>1.28522957187927E+19</v>
      </c>
      <c r="B1498">
        <v>281</v>
      </c>
      <c r="C1498">
        <v>1</v>
      </c>
      <c r="D1498">
        <v>960</v>
      </c>
    </row>
    <row r="1499" spans="1:4" x14ac:dyDescent="0.55000000000000004">
      <c r="A1499" s="6">
        <v>1.28627772289622E+19</v>
      </c>
      <c r="B1499">
        <v>86</v>
      </c>
      <c r="C1499">
        <v>1</v>
      </c>
      <c r="D1499">
        <v>1516</v>
      </c>
    </row>
    <row r="1500" spans="1:4" x14ac:dyDescent="0.55000000000000004">
      <c r="A1500" s="6">
        <v>1.28650095445998E+19</v>
      </c>
      <c r="B1500">
        <v>596</v>
      </c>
      <c r="C1500">
        <v>1</v>
      </c>
      <c r="D1500">
        <v>1350</v>
      </c>
    </row>
    <row r="1501" spans="1:4" x14ac:dyDescent="0.55000000000000004">
      <c r="A1501" s="6">
        <v>1.287657497340611E+19</v>
      </c>
      <c r="B1501">
        <v>229</v>
      </c>
      <c r="C1501">
        <v>1</v>
      </c>
      <c r="D1501">
        <v>687</v>
      </c>
    </row>
    <row r="1502" spans="1:4" x14ac:dyDescent="0.55000000000000004">
      <c r="A1502" s="6">
        <v>1.2889165404705249E+19</v>
      </c>
      <c r="B1502">
        <v>18</v>
      </c>
      <c r="C1502">
        <v>1</v>
      </c>
      <c r="D1502">
        <v>1563</v>
      </c>
    </row>
    <row r="1503" spans="1:4" x14ac:dyDescent="0.55000000000000004">
      <c r="A1503" s="6">
        <v>1.2896180721199911E+19</v>
      </c>
      <c r="B1503">
        <v>801</v>
      </c>
      <c r="C1503">
        <v>1</v>
      </c>
      <c r="D1503">
        <v>1329</v>
      </c>
    </row>
    <row r="1504" spans="1:4" x14ac:dyDescent="0.55000000000000004">
      <c r="A1504" s="6">
        <v>1.289825933655253E+19</v>
      </c>
      <c r="B1504">
        <v>63</v>
      </c>
      <c r="C1504">
        <v>1</v>
      </c>
      <c r="D1504">
        <v>1978</v>
      </c>
    </row>
    <row r="1505" spans="1:4" x14ac:dyDescent="0.55000000000000004">
      <c r="A1505" s="6">
        <v>1.289848425206467E+19</v>
      </c>
      <c r="B1505">
        <v>303</v>
      </c>
      <c r="C1505">
        <v>1</v>
      </c>
      <c r="D1505">
        <v>292</v>
      </c>
    </row>
    <row r="1506" spans="1:4" x14ac:dyDescent="0.55000000000000004">
      <c r="A1506" s="6">
        <v>1.291041474171733E+19</v>
      </c>
      <c r="B1506">
        <v>340</v>
      </c>
      <c r="C1506">
        <v>1</v>
      </c>
      <c r="D1506">
        <v>790</v>
      </c>
    </row>
    <row r="1507" spans="1:4" x14ac:dyDescent="0.55000000000000004">
      <c r="A1507" s="6">
        <v>1.2922861665473069E+19</v>
      </c>
      <c r="B1507">
        <v>554</v>
      </c>
      <c r="C1507">
        <v>1</v>
      </c>
      <c r="D1507">
        <v>795</v>
      </c>
    </row>
    <row r="1508" spans="1:4" x14ac:dyDescent="0.55000000000000004">
      <c r="A1508" s="6">
        <v>1.293280590820709E+19</v>
      </c>
      <c r="B1508">
        <v>595</v>
      </c>
      <c r="C1508">
        <v>1</v>
      </c>
      <c r="D1508">
        <v>348</v>
      </c>
    </row>
    <row r="1509" spans="1:4" x14ac:dyDescent="0.55000000000000004">
      <c r="A1509" s="6">
        <v>1.2939000922525149E+19</v>
      </c>
      <c r="B1509">
        <v>935</v>
      </c>
      <c r="C1509">
        <v>1</v>
      </c>
      <c r="D1509">
        <v>138</v>
      </c>
    </row>
    <row r="1510" spans="1:4" x14ac:dyDescent="0.55000000000000004">
      <c r="A1510" s="6">
        <v>1.294689804642237E+19</v>
      </c>
      <c r="B1510">
        <v>161</v>
      </c>
      <c r="C1510">
        <v>1</v>
      </c>
      <c r="D1510">
        <v>1484</v>
      </c>
    </row>
    <row r="1511" spans="1:4" x14ac:dyDescent="0.55000000000000004">
      <c r="A1511" s="6">
        <v>1.294715336550305E+19</v>
      </c>
      <c r="B1511">
        <v>818</v>
      </c>
      <c r="C1511">
        <v>1</v>
      </c>
      <c r="D1511">
        <v>39</v>
      </c>
    </row>
    <row r="1512" spans="1:4" x14ac:dyDescent="0.55000000000000004">
      <c r="A1512" s="6">
        <v>1.2948961008024771E+19</v>
      </c>
      <c r="B1512">
        <v>1249</v>
      </c>
      <c r="C1512">
        <v>1</v>
      </c>
      <c r="D1512">
        <v>312</v>
      </c>
    </row>
    <row r="1513" spans="1:4" x14ac:dyDescent="0.55000000000000004">
      <c r="A1513" s="6">
        <v>1.298848756181147E+19</v>
      </c>
      <c r="B1513">
        <v>104</v>
      </c>
      <c r="C1513">
        <v>1</v>
      </c>
      <c r="D1513">
        <v>6832</v>
      </c>
    </row>
    <row r="1514" spans="1:4" x14ac:dyDescent="0.55000000000000004">
      <c r="A1514" s="6">
        <v>1.299057148355362E+19</v>
      </c>
      <c r="B1514">
        <v>722</v>
      </c>
      <c r="C1514">
        <v>1</v>
      </c>
      <c r="D1514">
        <v>537</v>
      </c>
    </row>
    <row r="1515" spans="1:4" x14ac:dyDescent="0.55000000000000004">
      <c r="A1515" s="6">
        <v>1.300146662164583E+19</v>
      </c>
      <c r="B1515">
        <v>783</v>
      </c>
      <c r="C1515">
        <v>2</v>
      </c>
      <c r="D1515">
        <v>1410</v>
      </c>
    </row>
    <row r="1516" spans="1:4" x14ac:dyDescent="0.55000000000000004">
      <c r="A1516" s="6">
        <v>1.3004957136399131E+19</v>
      </c>
      <c r="B1516">
        <v>615</v>
      </c>
      <c r="C1516">
        <v>1</v>
      </c>
      <c r="D1516">
        <v>1890</v>
      </c>
    </row>
    <row r="1517" spans="1:4" x14ac:dyDescent="0.55000000000000004">
      <c r="A1517" s="6">
        <v>1.3015883032061481E+19</v>
      </c>
      <c r="B1517">
        <v>710</v>
      </c>
      <c r="C1517">
        <v>1</v>
      </c>
      <c r="D1517">
        <v>304</v>
      </c>
    </row>
    <row r="1518" spans="1:4" x14ac:dyDescent="0.55000000000000004">
      <c r="A1518" s="6">
        <v>1.301594127393486E+19</v>
      </c>
      <c r="B1518">
        <v>47</v>
      </c>
      <c r="C1518">
        <v>1</v>
      </c>
      <c r="D1518">
        <v>398</v>
      </c>
    </row>
    <row r="1519" spans="1:4" x14ac:dyDescent="0.55000000000000004">
      <c r="A1519" s="6">
        <v>1.301611376028535E+19</v>
      </c>
      <c r="B1519">
        <v>1221</v>
      </c>
      <c r="C1519">
        <v>1</v>
      </c>
      <c r="D1519">
        <v>786</v>
      </c>
    </row>
    <row r="1520" spans="1:4" x14ac:dyDescent="0.55000000000000004">
      <c r="A1520" s="6">
        <v>1.302438137576739E+19</v>
      </c>
      <c r="B1520">
        <v>49</v>
      </c>
      <c r="C1520">
        <v>2</v>
      </c>
      <c r="D1520">
        <v>1371</v>
      </c>
    </row>
    <row r="1521" spans="1:4" x14ac:dyDescent="0.55000000000000004">
      <c r="A1521" s="6">
        <v>1.302942212458215E+19</v>
      </c>
      <c r="B1521">
        <v>1071</v>
      </c>
      <c r="C1521">
        <v>1</v>
      </c>
      <c r="D1521">
        <v>11070</v>
      </c>
    </row>
    <row r="1522" spans="1:4" x14ac:dyDescent="0.55000000000000004">
      <c r="A1522" s="6">
        <v>1.3030830290680691E+19</v>
      </c>
      <c r="B1522">
        <v>1218</v>
      </c>
      <c r="C1522">
        <v>1</v>
      </c>
      <c r="D1522">
        <v>158</v>
      </c>
    </row>
    <row r="1523" spans="1:4" x14ac:dyDescent="0.55000000000000004">
      <c r="A1523" s="6">
        <v>1.3041268512318099E+19</v>
      </c>
      <c r="B1523">
        <v>712</v>
      </c>
      <c r="C1523">
        <v>2</v>
      </c>
      <c r="D1523">
        <v>4245</v>
      </c>
    </row>
    <row r="1524" spans="1:4" x14ac:dyDescent="0.55000000000000004">
      <c r="A1524" s="6">
        <v>1.3044049217928221E+19</v>
      </c>
      <c r="B1524">
        <v>439</v>
      </c>
      <c r="C1524">
        <v>1</v>
      </c>
      <c r="D1524">
        <v>389</v>
      </c>
    </row>
    <row r="1525" spans="1:4" x14ac:dyDescent="0.55000000000000004">
      <c r="A1525" s="6">
        <v>1.305184232615619E+19</v>
      </c>
      <c r="B1525">
        <v>82</v>
      </c>
      <c r="C1525">
        <v>1</v>
      </c>
      <c r="D1525">
        <v>1037</v>
      </c>
    </row>
    <row r="1526" spans="1:4" x14ac:dyDescent="0.55000000000000004">
      <c r="A1526" s="6">
        <v>1.307591437459559E+19</v>
      </c>
      <c r="B1526">
        <v>132</v>
      </c>
      <c r="C1526">
        <v>1</v>
      </c>
      <c r="D1526">
        <v>1368</v>
      </c>
    </row>
    <row r="1527" spans="1:4" x14ac:dyDescent="0.55000000000000004">
      <c r="A1527" s="6">
        <v>1.307994815668879E+19</v>
      </c>
      <c r="B1527">
        <v>870</v>
      </c>
      <c r="C1527">
        <v>1</v>
      </c>
      <c r="D1527">
        <v>766</v>
      </c>
    </row>
    <row r="1528" spans="1:4" x14ac:dyDescent="0.55000000000000004">
      <c r="A1528" s="6">
        <v>1.310069109594565E+19</v>
      </c>
      <c r="B1528">
        <v>224</v>
      </c>
      <c r="C1528">
        <v>1</v>
      </c>
      <c r="D1528">
        <v>84</v>
      </c>
    </row>
    <row r="1529" spans="1:4" x14ac:dyDescent="0.55000000000000004">
      <c r="A1529" s="6">
        <v>1.31032362952053E+19</v>
      </c>
      <c r="B1529">
        <v>1114</v>
      </c>
      <c r="C1529">
        <v>1</v>
      </c>
      <c r="D1529">
        <v>588</v>
      </c>
    </row>
    <row r="1530" spans="1:4" x14ac:dyDescent="0.55000000000000004">
      <c r="A1530" s="6">
        <v>1.3108019832869581E+19</v>
      </c>
      <c r="B1530">
        <v>579</v>
      </c>
      <c r="C1530">
        <v>1</v>
      </c>
      <c r="D1530">
        <v>809</v>
      </c>
    </row>
    <row r="1531" spans="1:4" x14ac:dyDescent="0.55000000000000004">
      <c r="A1531" s="6">
        <v>1.3114024756188649E+19</v>
      </c>
      <c r="B1531">
        <v>229</v>
      </c>
      <c r="C1531">
        <v>1</v>
      </c>
      <c r="D1531">
        <v>426</v>
      </c>
    </row>
    <row r="1532" spans="1:4" x14ac:dyDescent="0.55000000000000004">
      <c r="A1532" s="6">
        <v>1.3123330818423609E+19</v>
      </c>
      <c r="B1532">
        <v>16</v>
      </c>
      <c r="C1532">
        <v>2</v>
      </c>
      <c r="D1532">
        <v>1104</v>
      </c>
    </row>
    <row r="1533" spans="1:4" x14ac:dyDescent="0.55000000000000004">
      <c r="A1533" s="6">
        <v>1.3124075437308191E+19</v>
      </c>
      <c r="B1533">
        <v>764</v>
      </c>
      <c r="C1533">
        <v>2</v>
      </c>
      <c r="D1533">
        <v>565</v>
      </c>
    </row>
    <row r="1534" spans="1:4" x14ac:dyDescent="0.55000000000000004">
      <c r="A1534" s="6">
        <v>1.313444682683271E+19</v>
      </c>
      <c r="B1534">
        <v>329</v>
      </c>
      <c r="C1534">
        <v>1</v>
      </c>
      <c r="D1534">
        <v>3033</v>
      </c>
    </row>
    <row r="1535" spans="1:4" x14ac:dyDescent="0.55000000000000004">
      <c r="A1535" s="6">
        <v>1.313918294808908E+19</v>
      </c>
      <c r="B1535">
        <v>670</v>
      </c>
      <c r="C1535">
        <v>1</v>
      </c>
      <c r="D1535">
        <v>837</v>
      </c>
    </row>
    <row r="1536" spans="1:4" x14ac:dyDescent="0.55000000000000004">
      <c r="A1536" s="6">
        <v>1.3143191489421359E+19</v>
      </c>
      <c r="B1536">
        <v>280</v>
      </c>
      <c r="C1536">
        <v>1</v>
      </c>
      <c r="D1536">
        <v>670</v>
      </c>
    </row>
    <row r="1537" spans="1:4" x14ac:dyDescent="0.55000000000000004">
      <c r="A1537" s="6">
        <v>1.3153809842568221E+19</v>
      </c>
      <c r="B1537">
        <v>1128</v>
      </c>
      <c r="C1537">
        <v>2</v>
      </c>
      <c r="D1537">
        <v>287</v>
      </c>
    </row>
    <row r="1538" spans="1:4" x14ac:dyDescent="0.55000000000000004">
      <c r="A1538" s="6">
        <v>1.3195827660689961E+19</v>
      </c>
      <c r="B1538">
        <v>635</v>
      </c>
      <c r="C1538">
        <v>1</v>
      </c>
      <c r="D1538">
        <v>572</v>
      </c>
    </row>
    <row r="1539" spans="1:4" x14ac:dyDescent="0.55000000000000004">
      <c r="A1539" s="6">
        <v>1.3197254341847869E+19</v>
      </c>
      <c r="B1539">
        <v>442</v>
      </c>
      <c r="C1539">
        <v>1</v>
      </c>
      <c r="D1539">
        <v>173</v>
      </c>
    </row>
    <row r="1540" spans="1:4" x14ac:dyDescent="0.55000000000000004">
      <c r="A1540" s="6">
        <v>1.319782341275196E+19</v>
      </c>
      <c r="B1540">
        <v>228</v>
      </c>
      <c r="C1540">
        <v>2</v>
      </c>
      <c r="D1540">
        <v>1020</v>
      </c>
    </row>
    <row r="1541" spans="1:4" x14ac:dyDescent="0.55000000000000004">
      <c r="A1541" s="6">
        <v>1.3198046627891401E+19</v>
      </c>
      <c r="B1541">
        <v>353</v>
      </c>
      <c r="C1541">
        <v>1</v>
      </c>
      <c r="D1541">
        <v>1175</v>
      </c>
    </row>
    <row r="1542" spans="1:4" x14ac:dyDescent="0.55000000000000004">
      <c r="A1542" s="6">
        <v>1.3203014623844721E+19</v>
      </c>
      <c r="B1542">
        <v>182</v>
      </c>
      <c r="C1542">
        <v>1</v>
      </c>
      <c r="D1542">
        <v>445</v>
      </c>
    </row>
    <row r="1543" spans="1:4" x14ac:dyDescent="0.55000000000000004">
      <c r="A1543" s="6">
        <v>1.321291921617748E+19</v>
      </c>
      <c r="B1543">
        <v>747</v>
      </c>
      <c r="C1543">
        <v>2</v>
      </c>
      <c r="D1543">
        <v>3933</v>
      </c>
    </row>
    <row r="1544" spans="1:4" x14ac:dyDescent="0.55000000000000004">
      <c r="A1544" s="6">
        <v>1.323533584187331E+19</v>
      </c>
      <c r="B1544">
        <v>320</v>
      </c>
      <c r="C1544">
        <v>1</v>
      </c>
      <c r="D1544">
        <v>398</v>
      </c>
    </row>
    <row r="1545" spans="1:4" x14ac:dyDescent="0.55000000000000004">
      <c r="A1545" s="6">
        <v>1.324897053317523E+19</v>
      </c>
      <c r="B1545">
        <v>18</v>
      </c>
      <c r="C1545">
        <v>1</v>
      </c>
      <c r="D1545">
        <v>691</v>
      </c>
    </row>
    <row r="1546" spans="1:4" x14ac:dyDescent="0.55000000000000004">
      <c r="A1546" s="6">
        <v>1.325729311291033E+19</v>
      </c>
      <c r="B1546">
        <v>166</v>
      </c>
      <c r="C1546">
        <v>1</v>
      </c>
      <c r="D1546">
        <v>660</v>
      </c>
    </row>
    <row r="1547" spans="1:4" x14ac:dyDescent="0.55000000000000004">
      <c r="A1547" s="6">
        <v>1.326544154431404E+19</v>
      </c>
      <c r="B1547">
        <v>37</v>
      </c>
      <c r="C1547">
        <v>1</v>
      </c>
      <c r="D1547">
        <v>684</v>
      </c>
    </row>
    <row r="1548" spans="1:4" x14ac:dyDescent="0.55000000000000004">
      <c r="A1548" s="6">
        <v>1.3281688634325961E+19</v>
      </c>
      <c r="B1548">
        <v>5</v>
      </c>
      <c r="C1548">
        <v>2</v>
      </c>
      <c r="D1548">
        <v>8930</v>
      </c>
    </row>
    <row r="1549" spans="1:4" x14ac:dyDescent="0.55000000000000004">
      <c r="A1549" s="6">
        <v>1.3286129435852599E+19</v>
      </c>
      <c r="B1549">
        <v>879</v>
      </c>
      <c r="C1549">
        <v>1</v>
      </c>
      <c r="D1549">
        <v>191</v>
      </c>
    </row>
    <row r="1550" spans="1:4" x14ac:dyDescent="0.55000000000000004">
      <c r="A1550" s="6">
        <v>1.3315643414881509E+19</v>
      </c>
      <c r="B1550">
        <v>1175</v>
      </c>
      <c r="C1550">
        <v>1</v>
      </c>
      <c r="D1550">
        <v>18</v>
      </c>
    </row>
    <row r="1551" spans="1:4" x14ac:dyDescent="0.55000000000000004">
      <c r="A1551" s="6">
        <v>1.334069472886059E+19</v>
      </c>
      <c r="B1551">
        <v>171</v>
      </c>
      <c r="C1551">
        <v>1</v>
      </c>
      <c r="D1551">
        <v>640</v>
      </c>
    </row>
    <row r="1552" spans="1:4" x14ac:dyDescent="0.55000000000000004">
      <c r="A1552" s="6">
        <v>1.3342965500931351E+19</v>
      </c>
      <c r="B1552">
        <v>561</v>
      </c>
      <c r="C1552">
        <v>1</v>
      </c>
      <c r="D1552">
        <v>113</v>
      </c>
    </row>
    <row r="1553" spans="1:4" x14ac:dyDescent="0.55000000000000004">
      <c r="A1553" s="6">
        <v>1.3349420789637599E+19</v>
      </c>
      <c r="B1553">
        <v>393</v>
      </c>
      <c r="C1553">
        <v>1</v>
      </c>
      <c r="D1553">
        <v>5198</v>
      </c>
    </row>
    <row r="1554" spans="1:4" x14ac:dyDescent="0.55000000000000004">
      <c r="A1554" s="6">
        <v>1.334954948546442E+19</v>
      </c>
      <c r="B1554">
        <v>606</v>
      </c>
      <c r="C1554">
        <v>1</v>
      </c>
      <c r="D1554">
        <v>3519</v>
      </c>
    </row>
    <row r="1555" spans="1:4" x14ac:dyDescent="0.55000000000000004">
      <c r="A1555" s="6">
        <v>1.3351036816645151E+19</v>
      </c>
      <c r="B1555">
        <v>729</v>
      </c>
      <c r="C1555">
        <v>1</v>
      </c>
      <c r="D1555">
        <v>0</v>
      </c>
    </row>
    <row r="1556" spans="1:4" x14ac:dyDescent="0.55000000000000004">
      <c r="A1556" s="6">
        <v>1.336821147565943E+19</v>
      </c>
      <c r="B1556">
        <v>302</v>
      </c>
      <c r="C1556">
        <v>1</v>
      </c>
      <c r="D1556">
        <v>744</v>
      </c>
    </row>
    <row r="1557" spans="1:4" x14ac:dyDescent="0.55000000000000004">
      <c r="A1557" s="6">
        <v>1.3371768346152149E+19</v>
      </c>
      <c r="B1557">
        <v>507</v>
      </c>
      <c r="C1557">
        <v>1</v>
      </c>
      <c r="D1557">
        <v>4341</v>
      </c>
    </row>
    <row r="1558" spans="1:4" x14ac:dyDescent="0.55000000000000004">
      <c r="A1558" s="6">
        <v>1.33750832693039E+19</v>
      </c>
      <c r="B1558">
        <v>267</v>
      </c>
      <c r="C1558">
        <v>1</v>
      </c>
      <c r="D1558">
        <v>378</v>
      </c>
    </row>
    <row r="1559" spans="1:4" x14ac:dyDescent="0.55000000000000004">
      <c r="A1559" s="6">
        <v>1.337976826338816E+19</v>
      </c>
      <c r="B1559">
        <v>738</v>
      </c>
      <c r="C1559">
        <v>1</v>
      </c>
      <c r="D1559">
        <v>4743</v>
      </c>
    </row>
    <row r="1560" spans="1:4" x14ac:dyDescent="0.55000000000000004">
      <c r="A1560" s="6">
        <v>1.3397401790747869E+19</v>
      </c>
      <c r="B1560">
        <v>267</v>
      </c>
      <c r="C1560">
        <v>2</v>
      </c>
      <c r="D1560">
        <v>2396</v>
      </c>
    </row>
    <row r="1561" spans="1:4" x14ac:dyDescent="0.55000000000000004">
      <c r="A1561" s="6">
        <v>1.3410837503769211E+19</v>
      </c>
      <c r="B1561">
        <v>510</v>
      </c>
      <c r="C1561">
        <v>1</v>
      </c>
      <c r="D1561">
        <v>915</v>
      </c>
    </row>
    <row r="1562" spans="1:4" x14ac:dyDescent="0.55000000000000004">
      <c r="A1562" s="6">
        <v>1.34213405262877E+19</v>
      </c>
      <c r="B1562">
        <v>555</v>
      </c>
      <c r="C1562">
        <v>2</v>
      </c>
      <c r="D1562">
        <v>3997</v>
      </c>
    </row>
    <row r="1563" spans="1:4" x14ac:dyDescent="0.55000000000000004">
      <c r="A1563" s="6">
        <v>1.3429650595165749E+19</v>
      </c>
      <c r="B1563">
        <v>184</v>
      </c>
      <c r="C1563">
        <v>1</v>
      </c>
      <c r="D1563">
        <v>3670</v>
      </c>
    </row>
    <row r="1564" spans="1:4" x14ac:dyDescent="0.55000000000000004">
      <c r="A1564" s="6">
        <v>1.345768984757384E+19</v>
      </c>
      <c r="B1564">
        <v>137</v>
      </c>
      <c r="C1564">
        <v>1</v>
      </c>
      <c r="D1564">
        <v>278</v>
      </c>
    </row>
    <row r="1565" spans="1:4" x14ac:dyDescent="0.55000000000000004">
      <c r="A1565" s="6">
        <v>1.345861267394763E+19</v>
      </c>
      <c r="B1565">
        <v>20</v>
      </c>
      <c r="C1565">
        <v>4</v>
      </c>
      <c r="D1565">
        <v>4383</v>
      </c>
    </row>
    <row r="1566" spans="1:4" x14ac:dyDescent="0.55000000000000004">
      <c r="A1566" s="6">
        <v>1.346306073628568E+19</v>
      </c>
      <c r="B1566">
        <v>1061</v>
      </c>
      <c r="C1566">
        <v>1</v>
      </c>
      <c r="D1566">
        <v>36</v>
      </c>
    </row>
    <row r="1567" spans="1:4" x14ac:dyDescent="0.55000000000000004">
      <c r="A1567" s="6">
        <v>1.347478526802867E+19</v>
      </c>
      <c r="B1567">
        <v>462</v>
      </c>
      <c r="C1567">
        <v>2</v>
      </c>
      <c r="D1567">
        <v>1888</v>
      </c>
    </row>
    <row r="1568" spans="1:4" x14ac:dyDescent="0.55000000000000004">
      <c r="A1568" s="6">
        <v>1.3496035708042889E+19</v>
      </c>
      <c r="B1568">
        <v>790</v>
      </c>
      <c r="C1568">
        <v>1</v>
      </c>
      <c r="D1568">
        <v>2480</v>
      </c>
    </row>
    <row r="1569" spans="1:4" x14ac:dyDescent="0.55000000000000004">
      <c r="A1569" s="6">
        <v>1.3513454545011419E+19</v>
      </c>
      <c r="B1569">
        <v>84</v>
      </c>
      <c r="C1569">
        <v>1</v>
      </c>
      <c r="D1569">
        <v>770</v>
      </c>
    </row>
    <row r="1570" spans="1:4" x14ac:dyDescent="0.55000000000000004">
      <c r="A1570" s="6">
        <v>1.351714894414312E+19</v>
      </c>
      <c r="B1570">
        <v>152</v>
      </c>
      <c r="C1570">
        <v>1</v>
      </c>
      <c r="D1570">
        <v>1926</v>
      </c>
    </row>
    <row r="1571" spans="1:4" x14ac:dyDescent="0.55000000000000004">
      <c r="A1571" s="6">
        <v>1.351887796399998E+19</v>
      </c>
      <c r="B1571">
        <v>98</v>
      </c>
      <c r="C1571">
        <v>4</v>
      </c>
      <c r="D1571">
        <v>2096</v>
      </c>
    </row>
    <row r="1572" spans="1:4" x14ac:dyDescent="0.55000000000000004">
      <c r="A1572" s="6">
        <v>1.3521196571112731E+19</v>
      </c>
      <c r="B1572">
        <v>1027</v>
      </c>
      <c r="C1572">
        <v>1</v>
      </c>
      <c r="D1572">
        <v>569</v>
      </c>
    </row>
    <row r="1573" spans="1:4" x14ac:dyDescent="0.55000000000000004">
      <c r="A1573" s="6">
        <v>1.352293588496357E+19</v>
      </c>
      <c r="B1573">
        <v>804</v>
      </c>
      <c r="C1573">
        <v>1</v>
      </c>
      <c r="D1573">
        <v>58</v>
      </c>
    </row>
    <row r="1574" spans="1:4" x14ac:dyDescent="0.55000000000000004">
      <c r="A1574" s="6">
        <v>1.353243066773127E+19</v>
      </c>
      <c r="B1574">
        <v>1151</v>
      </c>
      <c r="C1574">
        <v>1</v>
      </c>
      <c r="D1574">
        <v>1327</v>
      </c>
    </row>
    <row r="1575" spans="1:4" x14ac:dyDescent="0.55000000000000004">
      <c r="A1575" s="6">
        <v>1.3537907601576471E+19</v>
      </c>
      <c r="B1575">
        <v>476</v>
      </c>
      <c r="C1575">
        <v>1</v>
      </c>
      <c r="D1575">
        <v>2789</v>
      </c>
    </row>
    <row r="1576" spans="1:4" x14ac:dyDescent="0.55000000000000004">
      <c r="A1576" s="6">
        <v>1.3560338767012139E+19</v>
      </c>
      <c r="B1576">
        <v>375</v>
      </c>
      <c r="C1576">
        <v>2</v>
      </c>
      <c r="D1576">
        <v>1846</v>
      </c>
    </row>
    <row r="1577" spans="1:4" x14ac:dyDescent="0.55000000000000004">
      <c r="A1577" s="6">
        <v>1.3563156145143859E+19</v>
      </c>
      <c r="B1577">
        <v>1135</v>
      </c>
      <c r="C1577">
        <v>1</v>
      </c>
      <c r="D1577">
        <v>207</v>
      </c>
    </row>
    <row r="1578" spans="1:4" x14ac:dyDescent="0.55000000000000004">
      <c r="A1578" s="6">
        <v>1.3568600865634161E+19</v>
      </c>
      <c r="B1578">
        <v>1118</v>
      </c>
      <c r="C1578">
        <v>1</v>
      </c>
      <c r="D1578">
        <v>209</v>
      </c>
    </row>
    <row r="1579" spans="1:4" x14ac:dyDescent="0.55000000000000004">
      <c r="A1579" s="6">
        <v>1.357094978375269E+19</v>
      </c>
      <c r="B1579">
        <v>31</v>
      </c>
      <c r="C1579">
        <v>2</v>
      </c>
      <c r="D1579">
        <v>3783</v>
      </c>
    </row>
    <row r="1580" spans="1:4" x14ac:dyDescent="0.55000000000000004">
      <c r="A1580" s="6">
        <v>1.3593324848231891E+19</v>
      </c>
      <c r="B1580">
        <v>788</v>
      </c>
      <c r="C1580">
        <v>1</v>
      </c>
      <c r="D1580">
        <v>493</v>
      </c>
    </row>
    <row r="1581" spans="1:4" x14ac:dyDescent="0.55000000000000004">
      <c r="A1581" s="6">
        <v>1.3594245574007099E+19</v>
      </c>
      <c r="B1581">
        <v>445</v>
      </c>
      <c r="C1581">
        <v>2</v>
      </c>
      <c r="D1581">
        <v>1025</v>
      </c>
    </row>
    <row r="1582" spans="1:4" x14ac:dyDescent="0.55000000000000004">
      <c r="A1582" s="6">
        <v>1.360218157738563E+19</v>
      </c>
      <c r="B1582">
        <v>305</v>
      </c>
      <c r="C1582">
        <v>1</v>
      </c>
      <c r="D1582">
        <v>29</v>
      </c>
    </row>
    <row r="1583" spans="1:4" x14ac:dyDescent="0.55000000000000004">
      <c r="A1583" s="6">
        <v>1.360719435373294E+19</v>
      </c>
      <c r="B1583">
        <v>130</v>
      </c>
      <c r="C1583">
        <v>1</v>
      </c>
      <c r="D1583">
        <v>650</v>
      </c>
    </row>
    <row r="1584" spans="1:4" x14ac:dyDescent="0.55000000000000004">
      <c r="A1584" s="6">
        <v>1.3614030583383269E+19</v>
      </c>
      <c r="B1584">
        <v>310</v>
      </c>
      <c r="C1584">
        <v>2</v>
      </c>
      <c r="D1584">
        <v>1113</v>
      </c>
    </row>
    <row r="1585" spans="1:4" x14ac:dyDescent="0.55000000000000004">
      <c r="A1585" s="6">
        <v>1.3614360803170529E+19</v>
      </c>
      <c r="B1585">
        <v>1180</v>
      </c>
      <c r="C1585">
        <v>1</v>
      </c>
      <c r="D1585">
        <v>73</v>
      </c>
    </row>
    <row r="1586" spans="1:4" x14ac:dyDescent="0.55000000000000004">
      <c r="A1586" s="6">
        <v>1.3615365342194739E+19</v>
      </c>
      <c r="B1586">
        <v>1191</v>
      </c>
      <c r="C1586">
        <v>2</v>
      </c>
      <c r="D1586">
        <v>14123</v>
      </c>
    </row>
    <row r="1587" spans="1:4" x14ac:dyDescent="0.55000000000000004">
      <c r="A1587" s="6">
        <v>1.3632475813864321E+19</v>
      </c>
      <c r="B1587">
        <v>545</v>
      </c>
      <c r="C1587">
        <v>1</v>
      </c>
      <c r="D1587">
        <v>1813</v>
      </c>
    </row>
    <row r="1588" spans="1:4" x14ac:dyDescent="0.55000000000000004">
      <c r="A1588" s="6">
        <v>1.363333817944542E+19</v>
      </c>
      <c r="B1588">
        <v>799</v>
      </c>
      <c r="C1588">
        <v>1</v>
      </c>
      <c r="D1588">
        <v>2055</v>
      </c>
    </row>
    <row r="1589" spans="1:4" x14ac:dyDescent="0.55000000000000004">
      <c r="A1589" s="6">
        <v>1.363557571381281E+19</v>
      </c>
      <c r="B1589">
        <v>255</v>
      </c>
      <c r="C1589">
        <v>2</v>
      </c>
      <c r="D1589">
        <v>7544</v>
      </c>
    </row>
    <row r="1590" spans="1:4" x14ac:dyDescent="0.55000000000000004">
      <c r="A1590" s="6">
        <v>1.365703254207455E+19</v>
      </c>
      <c r="B1590">
        <v>117</v>
      </c>
      <c r="C1590">
        <v>1</v>
      </c>
      <c r="D1590">
        <v>3944</v>
      </c>
    </row>
    <row r="1591" spans="1:4" x14ac:dyDescent="0.55000000000000004">
      <c r="A1591" s="6">
        <v>1.365967540316247E+19</v>
      </c>
      <c r="B1591">
        <v>838</v>
      </c>
      <c r="C1591">
        <v>1</v>
      </c>
      <c r="D1591">
        <v>550</v>
      </c>
    </row>
    <row r="1592" spans="1:4" x14ac:dyDescent="0.55000000000000004">
      <c r="A1592" s="6">
        <v>1.367570441445676E+19</v>
      </c>
      <c r="B1592">
        <v>609</v>
      </c>
      <c r="C1592">
        <v>2</v>
      </c>
      <c r="D1592">
        <v>307</v>
      </c>
    </row>
    <row r="1593" spans="1:4" x14ac:dyDescent="0.55000000000000004">
      <c r="A1593" s="6">
        <v>1.3676031092069671E+19</v>
      </c>
      <c r="B1593">
        <v>27</v>
      </c>
      <c r="C1593">
        <v>2</v>
      </c>
      <c r="D1593">
        <v>2169</v>
      </c>
    </row>
    <row r="1594" spans="1:4" x14ac:dyDescent="0.55000000000000004">
      <c r="A1594" s="6">
        <v>1.370179270940867E+19</v>
      </c>
      <c r="B1594">
        <v>286</v>
      </c>
      <c r="C1594">
        <v>1</v>
      </c>
      <c r="D1594">
        <v>278</v>
      </c>
    </row>
    <row r="1595" spans="1:4" x14ac:dyDescent="0.55000000000000004">
      <c r="A1595" s="6">
        <v>1.3703114569611069E+19</v>
      </c>
      <c r="B1595">
        <v>17</v>
      </c>
      <c r="C1595">
        <v>3</v>
      </c>
      <c r="D1595">
        <v>8472</v>
      </c>
    </row>
    <row r="1596" spans="1:4" x14ac:dyDescent="0.55000000000000004">
      <c r="A1596" s="6">
        <v>1.3705793649912039E+19</v>
      </c>
      <c r="B1596">
        <v>1165</v>
      </c>
      <c r="C1596">
        <v>1</v>
      </c>
      <c r="D1596">
        <v>252</v>
      </c>
    </row>
    <row r="1597" spans="1:4" x14ac:dyDescent="0.55000000000000004">
      <c r="A1597" s="6">
        <v>1.3772017495546911E+19</v>
      </c>
      <c r="B1597">
        <v>1107</v>
      </c>
      <c r="C1597">
        <v>1</v>
      </c>
      <c r="D1597">
        <v>118</v>
      </c>
    </row>
    <row r="1598" spans="1:4" x14ac:dyDescent="0.55000000000000004">
      <c r="A1598" s="6">
        <v>1.37766412219519E+19</v>
      </c>
      <c r="B1598">
        <v>32</v>
      </c>
      <c r="C1598">
        <v>1</v>
      </c>
      <c r="D1598">
        <v>190</v>
      </c>
    </row>
    <row r="1599" spans="1:4" x14ac:dyDescent="0.55000000000000004">
      <c r="A1599" s="6">
        <v>1.3779324209772151E+19</v>
      </c>
      <c r="B1599">
        <v>1272</v>
      </c>
      <c r="C1599">
        <v>1</v>
      </c>
      <c r="D1599">
        <v>378</v>
      </c>
    </row>
    <row r="1600" spans="1:4" x14ac:dyDescent="0.55000000000000004">
      <c r="A1600" s="6">
        <v>1.378013292667358E+19</v>
      </c>
      <c r="B1600">
        <v>138</v>
      </c>
      <c r="C1600">
        <v>4</v>
      </c>
      <c r="D1600">
        <v>5103</v>
      </c>
    </row>
    <row r="1601" spans="1:4" x14ac:dyDescent="0.55000000000000004">
      <c r="A1601" s="6">
        <v>1.3784682813159739E+19</v>
      </c>
      <c r="B1601">
        <v>27</v>
      </c>
      <c r="C1601">
        <v>2</v>
      </c>
      <c r="D1601">
        <v>3126</v>
      </c>
    </row>
    <row r="1602" spans="1:4" x14ac:dyDescent="0.55000000000000004">
      <c r="A1602" s="6">
        <v>1.3797021737424341E+19</v>
      </c>
      <c r="B1602">
        <v>576</v>
      </c>
      <c r="C1602">
        <v>1</v>
      </c>
      <c r="D1602">
        <v>1799</v>
      </c>
    </row>
    <row r="1603" spans="1:4" x14ac:dyDescent="0.55000000000000004">
      <c r="A1603" s="6">
        <v>1.3812641732678619E+19</v>
      </c>
      <c r="B1603">
        <v>933</v>
      </c>
      <c r="C1603">
        <v>1</v>
      </c>
      <c r="D1603">
        <v>159</v>
      </c>
    </row>
    <row r="1604" spans="1:4" x14ac:dyDescent="0.55000000000000004">
      <c r="A1604" s="6">
        <v>1.382011487606887E+19</v>
      </c>
      <c r="B1604">
        <v>1029</v>
      </c>
      <c r="C1604">
        <v>1</v>
      </c>
      <c r="D1604">
        <v>450</v>
      </c>
    </row>
    <row r="1605" spans="1:4" x14ac:dyDescent="0.55000000000000004">
      <c r="A1605" s="6">
        <v>1.3822041623253791E+19</v>
      </c>
      <c r="B1605">
        <v>1251</v>
      </c>
      <c r="C1605">
        <v>1</v>
      </c>
      <c r="D1605">
        <v>1119</v>
      </c>
    </row>
    <row r="1606" spans="1:4" x14ac:dyDescent="0.55000000000000004">
      <c r="A1606" s="6">
        <v>1.3834599210482901E+19</v>
      </c>
      <c r="B1606">
        <v>156</v>
      </c>
      <c r="C1606">
        <v>1</v>
      </c>
      <c r="D1606">
        <v>2190</v>
      </c>
    </row>
    <row r="1607" spans="1:4" x14ac:dyDescent="0.55000000000000004">
      <c r="A1607" s="6">
        <v>1.384908775511219E+19</v>
      </c>
      <c r="B1607">
        <v>222</v>
      </c>
      <c r="C1607">
        <v>1</v>
      </c>
      <c r="D1607">
        <v>1289</v>
      </c>
    </row>
    <row r="1608" spans="1:4" x14ac:dyDescent="0.55000000000000004">
      <c r="A1608" s="6">
        <v>1.3866389946631281E+19</v>
      </c>
      <c r="B1608">
        <v>539</v>
      </c>
      <c r="C1608">
        <v>1</v>
      </c>
      <c r="D1608">
        <v>2322</v>
      </c>
    </row>
    <row r="1609" spans="1:4" x14ac:dyDescent="0.55000000000000004">
      <c r="A1609" s="6">
        <v>1.386814484181495E+19</v>
      </c>
      <c r="B1609">
        <v>217</v>
      </c>
      <c r="C1609">
        <v>2</v>
      </c>
      <c r="D1609">
        <v>1941</v>
      </c>
    </row>
    <row r="1610" spans="1:4" x14ac:dyDescent="0.55000000000000004">
      <c r="A1610" s="6">
        <v>1.388435877609139E+19</v>
      </c>
      <c r="B1610">
        <v>9</v>
      </c>
      <c r="C1610">
        <v>1</v>
      </c>
      <c r="D1610">
        <v>3000</v>
      </c>
    </row>
    <row r="1611" spans="1:4" x14ac:dyDescent="0.55000000000000004">
      <c r="A1611" s="6">
        <v>1.3886858499474489E+19</v>
      </c>
      <c r="B1611">
        <v>893</v>
      </c>
      <c r="C1611">
        <v>1</v>
      </c>
      <c r="D1611">
        <v>14100</v>
      </c>
    </row>
    <row r="1612" spans="1:4" x14ac:dyDescent="0.55000000000000004">
      <c r="A1612" s="6">
        <v>1.388693896766259E+19</v>
      </c>
      <c r="B1612">
        <v>733</v>
      </c>
      <c r="C1612">
        <v>1</v>
      </c>
      <c r="D1612">
        <v>890</v>
      </c>
    </row>
    <row r="1613" spans="1:4" x14ac:dyDescent="0.55000000000000004">
      <c r="A1613" s="6">
        <v>1.389027299754768E+19</v>
      </c>
      <c r="B1613">
        <v>46</v>
      </c>
      <c r="C1613">
        <v>2</v>
      </c>
      <c r="D1613">
        <v>18091</v>
      </c>
    </row>
    <row r="1614" spans="1:4" x14ac:dyDescent="0.55000000000000004">
      <c r="A1614" s="6">
        <v>1.3902923977509911E+19</v>
      </c>
      <c r="B1614">
        <v>1222</v>
      </c>
      <c r="C1614">
        <v>1</v>
      </c>
      <c r="D1614">
        <v>204</v>
      </c>
    </row>
    <row r="1615" spans="1:4" x14ac:dyDescent="0.55000000000000004">
      <c r="A1615" s="6">
        <v>1.3917480670769701E+19</v>
      </c>
      <c r="B1615">
        <v>1039</v>
      </c>
      <c r="C1615">
        <v>1</v>
      </c>
      <c r="D1615">
        <v>1554</v>
      </c>
    </row>
    <row r="1616" spans="1:4" x14ac:dyDescent="0.55000000000000004">
      <c r="A1616" s="6">
        <v>1.391907373968365E+19</v>
      </c>
      <c r="B1616">
        <v>171</v>
      </c>
      <c r="C1616">
        <v>3</v>
      </c>
      <c r="D1616">
        <v>1629</v>
      </c>
    </row>
    <row r="1617" spans="1:4" x14ac:dyDescent="0.55000000000000004">
      <c r="A1617" s="6">
        <v>1.3923104189276819E+19</v>
      </c>
      <c r="B1617">
        <v>709</v>
      </c>
      <c r="C1617">
        <v>2</v>
      </c>
      <c r="D1617">
        <v>1998</v>
      </c>
    </row>
    <row r="1618" spans="1:4" x14ac:dyDescent="0.55000000000000004">
      <c r="A1618" s="6">
        <v>1.3933325988243599E+19</v>
      </c>
      <c r="B1618">
        <v>194</v>
      </c>
      <c r="C1618">
        <v>1</v>
      </c>
      <c r="D1618">
        <v>2220</v>
      </c>
    </row>
    <row r="1619" spans="1:4" x14ac:dyDescent="0.55000000000000004">
      <c r="A1619" s="6">
        <v>1.3959446947295001E+19</v>
      </c>
      <c r="B1619">
        <v>954</v>
      </c>
      <c r="C1619">
        <v>1</v>
      </c>
      <c r="D1619">
        <v>183</v>
      </c>
    </row>
    <row r="1620" spans="1:4" x14ac:dyDescent="0.55000000000000004">
      <c r="A1620" s="6">
        <v>1.396796765978061E+19</v>
      </c>
      <c r="B1620">
        <v>968</v>
      </c>
      <c r="C1620">
        <v>1</v>
      </c>
      <c r="D1620">
        <v>2980</v>
      </c>
    </row>
    <row r="1621" spans="1:4" x14ac:dyDescent="0.55000000000000004">
      <c r="A1621" s="6">
        <v>1.3968261657304629E+19</v>
      </c>
      <c r="B1621">
        <v>248</v>
      </c>
      <c r="C1621">
        <v>1</v>
      </c>
      <c r="D1621">
        <v>3300</v>
      </c>
    </row>
    <row r="1622" spans="1:4" x14ac:dyDescent="0.55000000000000004">
      <c r="A1622" s="6">
        <v>1.3986200410925781E+19</v>
      </c>
      <c r="B1622">
        <v>1137</v>
      </c>
      <c r="C1622">
        <v>1</v>
      </c>
      <c r="D1622">
        <v>3651</v>
      </c>
    </row>
    <row r="1623" spans="1:4" x14ac:dyDescent="0.55000000000000004">
      <c r="A1623" s="6">
        <v>1.399913811220991E+19</v>
      </c>
      <c r="B1623">
        <v>246</v>
      </c>
      <c r="C1623">
        <v>1</v>
      </c>
      <c r="D1623">
        <v>836</v>
      </c>
    </row>
    <row r="1624" spans="1:4" x14ac:dyDescent="0.55000000000000004">
      <c r="A1624" s="6">
        <v>1.402318776737922E+19</v>
      </c>
      <c r="B1624">
        <v>955</v>
      </c>
      <c r="C1624">
        <v>1</v>
      </c>
      <c r="D1624">
        <v>5040</v>
      </c>
    </row>
    <row r="1625" spans="1:4" x14ac:dyDescent="0.55000000000000004">
      <c r="A1625" s="6">
        <v>1.4031811648580569E+19</v>
      </c>
      <c r="B1625">
        <v>219</v>
      </c>
      <c r="C1625">
        <v>2</v>
      </c>
      <c r="D1625">
        <v>532</v>
      </c>
    </row>
    <row r="1626" spans="1:4" x14ac:dyDescent="0.55000000000000004">
      <c r="A1626" s="6">
        <v>1.403440687456196E+19</v>
      </c>
      <c r="B1626">
        <v>1120</v>
      </c>
      <c r="C1626">
        <v>1</v>
      </c>
      <c r="D1626">
        <v>2677</v>
      </c>
    </row>
    <row r="1627" spans="1:4" x14ac:dyDescent="0.55000000000000004">
      <c r="A1627" s="6">
        <v>1.403560369874815E+19</v>
      </c>
      <c r="B1627">
        <v>772</v>
      </c>
      <c r="C1627">
        <v>1</v>
      </c>
      <c r="D1627">
        <v>459</v>
      </c>
    </row>
    <row r="1628" spans="1:4" x14ac:dyDescent="0.55000000000000004">
      <c r="A1628" s="6">
        <v>1.4036091491409091E+19</v>
      </c>
      <c r="B1628">
        <v>265</v>
      </c>
      <c r="C1628">
        <v>1</v>
      </c>
      <c r="D1628">
        <v>882</v>
      </c>
    </row>
    <row r="1629" spans="1:4" x14ac:dyDescent="0.55000000000000004">
      <c r="A1629" s="6">
        <v>1.4069268783842439E+19</v>
      </c>
      <c r="B1629">
        <v>557</v>
      </c>
      <c r="C1629">
        <v>1</v>
      </c>
      <c r="D1629">
        <v>106</v>
      </c>
    </row>
    <row r="1630" spans="1:4" x14ac:dyDescent="0.55000000000000004">
      <c r="A1630" s="6">
        <v>1.4100483328214159E+19</v>
      </c>
      <c r="B1630">
        <v>436</v>
      </c>
      <c r="C1630">
        <v>1</v>
      </c>
      <c r="D1630">
        <v>890</v>
      </c>
    </row>
    <row r="1631" spans="1:4" x14ac:dyDescent="0.55000000000000004">
      <c r="A1631" s="6">
        <v>1.411496331180091E+19</v>
      </c>
      <c r="B1631">
        <v>144</v>
      </c>
      <c r="C1631">
        <v>4</v>
      </c>
      <c r="D1631">
        <v>6012</v>
      </c>
    </row>
    <row r="1632" spans="1:4" x14ac:dyDescent="0.55000000000000004">
      <c r="A1632" s="6">
        <v>1.4121072702750349E+19</v>
      </c>
      <c r="B1632">
        <v>878</v>
      </c>
      <c r="C1632">
        <v>1</v>
      </c>
      <c r="D1632">
        <v>888</v>
      </c>
    </row>
    <row r="1633" spans="1:4" x14ac:dyDescent="0.55000000000000004">
      <c r="A1633" s="6">
        <v>1.412222505842285E+19</v>
      </c>
      <c r="B1633">
        <v>274</v>
      </c>
      <c r="C1633">
        <v>1</v>
      </c>
      <c r="D1633">
        <v>278</v>
      </c>
    </row>
    <row r="1634" spans="1:4" x14ac:dyDescent="0.55000000000000004">
      <c r="A1634" s="6">
        <v>1.4124490964674601E+19</v>
      </c>
      <c r="B1634">
        <v>524</v>
      </c>
      <c r="C1634">
        <v>2</v>
      </c>
      <c r="D1634">
        <v>12453</v>
      </c>
    </row>
    <row r="1635" spans="1:4" x14ac:dyDescent="0.55000000000000004">
      <c r="A1635" s="6">
        <v>1.4126825949175851E+19</v>
      </c>
      <c r="B1635">
        <v>246</v>
      </c>
      <c r="C1635">
        <v>4</v>
      </c>
      <c r="D1635">
        <v>1844</v>
      </c>
    </row>
    <row r="1636" spans="1:4" x14ac:dyDescent="0.55000000000000004">
      <c r="A1636" s="6">
        <v>1.415339156003328E+19</v>
      </c>
      <c r="B1636">
        <v>356</v>
      </c>
      <c r="C1636">
        <v>1</v>
      </c>
      <c r="D1636">
        <v>302</v>
      </c>
    </row>
    <row r="1637" spans="1:4" x14ac:dyDescent="0.55000000000000004">
      <c r="A1637" s="6">
        <v>1.416306776741248E+19</v>
      </c>
      <c r="B1637">
        <v>959</v>
      </c>
      <c r="C1637">
        <v>1</v>
      </c>
      <c r="D1637">
        <v>114</v>
      </c>
    </row>
    <row r="1638" spans="1:4" x14ac:dyDescent="0.55000000000000004">
      <c r="A1638" s="6">
        <v>1.41654505370513E+19</v>
      </c>
      <c r="B1638">
        <v>299</v>
      </c>
      <c r="C1638">
        <v>2</v>
      </c>
      <c r="D1638">
        <v>1205</v>
      </c>
    </row>
    <row r="1639" spans="1:4" x14ac:dyDescent="0.55000000000000004">
      <c r="A1639" s="6">
        <v>1.4172466943649589E+19</v>
      </c>
      <c r="B1639">
        <v>1000</v>
      </c>
      <c r="C1639">
        <v>1</v>
      </c>
      <c r="D1639">
        <v>229</v>
      </c>
    </row>
    <row r="1640" spans="1:4" x14ac:dyDescent="0.55000000000000004">
      <c r="A1640" s="6">
        <v>1.4175827160880599E+19</v>
      </c>
      <c r="B1640">
        <v>414</v>
      </c>
      <c r="C1640">
        <v>2</v>
      </c>
      <c r="D1640">
        <v>1837</v>
      </c>
    </row>
    <row r="1641" spans="1:4" x14ac:dyDescent="0.55000000000000004">
      <c r="A1641" s="6">
        <v>1.419073087257669E+19</v>
      </c>
      <c r="B1641">
        <v>124</v>
      </c>
      <c r="C1641">
        <v>1</v>
      </c>
      <c r="D1641">
        <v>337</v>
      </c>
    </row>
    <row r="1642" spans="1:4" x14ac:dyDescent="0.55000000000000004">
      <c r="A1642" s="6">
        <v>1.4209261969873701E+19</v>
      </c>
      <c r="B1642">
        <v>894</v>
      </c>
      <c r="C1642">
        <v>1</v>
      </c>
      <c r="D1642">
        <v>900</v>
      </c>
    </row>
    <row r="1643" spans="1:4" x14ac:dyDescent="0.55000000000000004">
      <c r="A1643" s="6">
        <v>1.421415178824958E+19</v>
      </c>
      <c r="B1643">
        <v>484</v>
      </c>
      <c r="C1643">
        <v>2</v>
      </c>
      <c r="D1643">
        <v>1603</v>
      </c>
    </row>
    <row r="1644" spans="1:4" x14ac:dyDescent="0.55000000000000004">
      <c r="A1644" s="6">
        <v>1.4216710582739651E+19</v>
      </c>
      <c r="B1644">
        <v>617</v>
      </c>
      <c r="C1644">
        <v>1</v>
      </c>
      <c r="D1644">
        <v>1689</v>
      </c>
    </row>
    <row r="1645" spans="1:4" x14ac:dyDescent="0.55000000000000004">
      <c r="A1645" s="6">
        <v>1.422979730041292E+19</v>
      </c>
      <c r="B1645">
        <v>469</v>
      </c>
      <c r="C1645">
        <v>1</v>
      </c>
      <c r="D1645">
        <v>160</v>
      </c>
    </row>
    <row r="1646" spans="1:4" x14ac:dyDescent="0.55000000000000004">
      <c r="A1646" s="6">
        <v>1.4240848945748619E+19</v>
      </c>
      <c r="B1646">
        <v>1138</v>
      </c>
      <c r="C1646">
        <v>1</v>
      </c>
      <c r="D1646">
        <v>89</v>
      </c>
    </row>
    <row r="1647" spans="1:4" x14ac:dyDescent="0.55000000000000004">
      <c r="A1647" s="6">
        <v>1.4248678608133429E+19</v>
      </c>
      <c r="B1647">
        <v>198</v>
      </c>
      <c r="C1647">
        <v>1</v>
      </c>
      <c r="D1647">
        <v>1990</v>
      </c>
    </row>
    <row r="1648" spans="1:4" x14ac:dyDescent="0.55000000000000004">
      <c r="A1648" s="6">
        <v>1.4262226225398641E+19</v>
      </c>
      <c r="B1648">
        <v>1215</v>
      </c>
      <c r="C1648">
        <v>1</v>
      </c>
      <c r="D1648">
        <v>3074</v>
      </c>
    </row>
    <row r="1649" spans="1:4" x14ac:dyDescent="0.55000000000000004">
      <c r="A1649" s="6">
        <v>1.4270329956896489E+19</v>
      </c>
      <c r="B1649">
        <v>161</v>
      </c>
      <c r="C1649">
        <v>1</v>
      </c>
      <c r="D1649">
        <v>863</v>
      </c>
    </row>
    <row r="1650" spans="1:4" x14ac:dyDescent="0.55000000000000004">
      <c r="A1650" s="6">
        <v>1.427428106630083E+19</v>
      </c>
      <c r="B1650">
        <v>751</v>
      </c>
      <c r="C1650">
        <v>1</v>
      </c>
      <c r="D1650">
        <v>3390</v>
      </c>
    </row>
    <row r="1651" spans="1:4" x14ac:dyDescent="0.55000000000000004">
      <c r="A1651" s="6">
        <v>1.4281018237799711E+19</v>
      </c>
      <c r="B1651">
        <v>735</v>
      </c>
      <c r="C1651">
        <v>1</v>
      </c>
      <c r="D1651">
        <v>789</v>
      </c>
    </row>
    <row r="1652" spans="1:4" x14ac:dyDescent="0.55000000000000004">
      <c r="A1652" s="6">
        <v>1.4292414189915501E+19</v>
      </c>
      <c r="B1652">
        <v>167</v>
      </c>
      <c r="C1652">
        <v>2</v>
      </c>
      <c r="D1652">
        <v>1272</v>
      </c>
    </row>
    <row r="1653" spans="1:4" x14ac:dyDescent="0.55000000000000004">
      <c r="A1653" s="6">
        <v>1.429900781615487E+19</v>
      </c>
      <c r="B1653">
        <v>1270</v>
      </c>
      <c r="C1653">
        <v>1</v>
      </c>
      <c r="D1653">
        <v>148</v>
      </c>
    </row>
    <row r="1654" spans="1:4" x14ac:dyDescent="0.55000000000000004">
      <c r="A1654" s="6">
        <v>1.430055800755106E+19</v>
      </c>
      <c r="B1654">
        <v>125</v>
      </c>
      <c r="C1654">
        <v>1</v>
      </c>
      <c r="D1654">
        <v>1064</v>
      </c>
    </row>
    <row r="1655" spans="1:4" x14ac:dyDescent="0.55000000000000004">
      <c r="A1655" s="6">
        <v>1.430480357151803E+19</v>
      </c>
      <c r="B1655">
        <v>683</v>
      </c>
      <c r="C1655">
        <v>1</v>
      </c>
      <c r="D1655">
        <v>633</v>
      </c>
    </row>
    <row r="1656" spans="1:4" x14ac:dyDescent="0.55000000000000004">
      <c r="A1656" s="6">
        <v>1.4310111291417111E+19</v>
      </c>
      <c r="B1656">
        <v>317</v>
      </c>
      <c r="C1656">
        <v>1</v>
      </c>
      <c r="D1656">
        <v>158</v>
      </c>
    </row>
    <row r="1657" spans="1:4" x14ac:dyDescent="0.55000000000000004">
      <c r="A1657" s="6">
        <v>1.4311714084248011E+19</v>
      </c>
      <c r="B1657">
        <v>477</v>
      </c>
      <c r="C1657">
        <v>2</v>
      </c>
      <c r="D1657">
        <v>4599</v>
      </c>
    </row>
    <row r="1658" spans="1:4" x14ac:dyDescent="0.55000000000000004">
      <c r="A1658" s="6">
        <v>1.4316968399317361E+19</v>
      </c>
      <c r="B1658">
        <v>107</v>
      </c>
      <c r="C1658">
        <v>2</v>
      </c>
      <c r="D1658">
        <v>3016</v>
      </c>
    </row>
    <row r="1659" spans="1:4" x14ac:dyDescent="0.55000000000000004">
      <c r="A1659" s="6">
        <v>1.432914045526222E+19</v>
      </c>
      <c r="B1659">
        <v>112</v>
      </c>
      <c r="C1659">
        <v>1</v>
      </c>
      <c r="D1659">
        <v>5035</v>
      </c>
    </row>
    <row r="1660" spans="1:4" x14ac:dyDescent="0.55000000000000004">
      <c r="A1660" s="6">
        <v>1.4349572201562089E+19</v>
      </c>
      <c r="B1660">
        <v>13</v>
      </c>
      <c r="C1660">
        <v>1</v>
      </c>
      <c r="D1660">
        <v>18400</v>
      </c>
    </row>
    <row r="1661" spans="1:4" x14ac:dyDescent="0.55000000000000004">
      <c r="A1661" s="6">
        <v>1.4358514523277611E+19</v>
      </c>
      <c r="B1661">
        <v>554</v>
      </c>
      <c r="C1661">
        <v>2</v>
      </c>
      <c r="D1661">
        <v>1423</v>
      </c>
    </row>
    <row r="1662" spans="1:4" x14ac:dyDescent="0.55000000000000004">
      <c r="A1662" s="6">
        <v>1.436989293562307E+19</v>
      </c>
      <c r="B1662">
        <v>361</v>
      </c>
      <c r="C1662">
        <v>1</v>
      </c>
      <c r="D1662">
        <v>504</v>
      </c>
    </row>
    <row r="1663" spans="1:4" x14ac:dyDescent="0.55000000000000004">
      <c r="A1663" s="6">
        <v>1.4375762660099E+19</v>
      </c>
      <c r="B1663">
        <v>19</v>
      </c>
      <c r="C1663">
        <v>2</v>
      </c>
      <c r="D1663">
        <v>2410</v>
      </c>
    </row>
    <row r="1664" spans="1:4" x14ac:dyDescent="0.55000000000000004">
      <c r="A1664" s="6">
        <v>1.4379473002426651E+19</v>
      </c>
      <c r="B1664">
        <v>391</v>
      </c>
      <c r="C1664">
        <v>2</v>
      </c>
      <c r="D1664">
        <v>336</v>
      </c>
    </row>
    <row r="1665" spans="1:4" x14ac:dyDescent="0.55000000000000004">
      <c r="A1665" s="6">
        <v>1.4384908371794829E+19</v>
      </c>
      <c r="B1665">
        <v>691</v>
      </c>
      <c r="C1665">
        <v>1</v>
      </c>
      <c r="D1665">
        <v>5130</v>
      </c>
    </row>
    <row r="1666" spans="1:4" x14ac:dyDescent="0.55000000000000004">
      <c r="A1666" s="6">
        <v>1.4386736385218251E+19</v>
      </c>
      <c r="B1666">
        <v>244</v>
      </c>
      <c r="C1666">
        <v>1</v>
      </c>
      <c r="D1666">
        <v>1800</v>
      </c>
    </row>
    <row r="1667" spans="1:4" x14ac:dyDescent="0.55000000000000004">
      <c r="A1667" s="6">
        <v>1.438948701201042E+19</v>
      </c>
      <c r="B1667">
        <v>81</v>
      </c>
      <c r="C1667">
        <v>2</v>
      </c>
      <c r="D1667">
        <v>9163</v>
      </c>
    </row>
    <row r="1668" spans="1:4" x14ac:dyDescent="0.55000000000000004">
      <c r="A1668" s="6">
        <v>1.4395855074982529E+19</v>
      </c>
      <c r="B1668">
        <v>892</v>
      </c>
      <c r="C1668">
        <v>2</v>
      </c>
      <c r="D1668">
        <v>1989</v>
      </c>
    </row>
    <row r="1669" spans="1:4" x14ac:dyDescent="0.55000000000000004">
      <c r="A1669" s="6">
        <v>1.4399118701500129E+19</v>
      </c>
      <c r="B1669">
        <v>1069</v>
      </c>
      <c r="C1669">
        <v>1</v>
      </c>
      <c r="D1669">
        <v>1657</v>
      </c>
    </row>
    <row r="1670" spans="1:4" x14ac:dyDescent="0.55000000000000004">
      <c r="A1670" s="6">
        <v>1.439986715900904E+19</v>
      </c>
      <c r="B1670">
        <v>963</v>
      </c>
      <c r="C1670">
        <v>1</v>
      </c>
      <c r="D1670">
        <v>555</v>
      </c>
    </row>
    <row r="1671" spans="1:4" x14ac:dyDescent="0.55000000000000004">
      <c r="A1671" s="6">
        <v>1.440147008569516E+19</v>
      </c>
      <c r="B1671">
        <v>62</v>
      </c>
      <c r="C1671">
        <v>1</v>
      </c>
      <c r="D1671">
        <v>10494</v>
      </c>
    </row>
    <row r="1672" spans="1:4" x14ac:dyDescent="0.55000000000000004">
      <c r="A1672" s="6">
        <v>1.4416220990461239E+19</v>
      </c>
      <c r="B1672">
        <v>339</v>
      </c>
      <c r="C1672">
        <v>1</v>
      </c>
      <c r="D1672">
        <v>292</v>
      </c>
    </row>
    <row r="1673" spans="1:4" x14ac:dyDescent="0.55000000000000004">
      <c r="A1673" s="6">
        <v>1.442481422655403E+19</v>
      </c>
      <c r="B1673">
        <v>278</v>
      </c>
      <c r="C1673">
        <v>1</v>
      </c>
      <c r="D1673">
        <v>1839</v>
      </c>
    </row>
    <row r="1674" spans="1:4" x14ac:dyDescent="0.55000000000000004">
      <c r="A1674" s="6">
        <v>1.4430650406078761E+19</v>
      </c>
      <c r="B1674">
        <v>811</v>
      </c>
      <c r="C1674">
        <v>1</v>
      </c>
      <c r="D1674">
        <v>2106</v>
      </c>
    </row>
    <row r="1675" spans="1:4" x14ac:dyDescent="0.55000000000000004">
      <c r="A1675" s="6">
        <v>1.4456830229592809E+19</v>
      </c>
      <c r="B1675">
        <v>589</v>
      </c>
      <c r="C1675">
        <v>2</v>
      </c>
      <c r="D1675">
        <v>1735</v>
      </c>
    </row>
    <row r="1676" spans="1:4" x14ac:dyDescent="0.55000000000000004">
      <c r="A1676" s="6">
        <v>1.448136352667314E+19</v>
      </c>
      <c r="B1676">
        <v>339</v>
      </c>
      <c r="C1676">
        <v>1</v>
      </c>
      <c r="D1676">
        <v>1829</v>
      </c>
    </row>
    <row r="1677" spans="1:4" x14ac:dyDescent="0.55000000000000004">
      <c r="A1677" s="6">
        <v>1.448205111638603E+19</v>
      </c>
      <c r="B1677">
        <v>643</v>
      </c>
      <c r="C1677">
        <v>1</v>
      </c>
      <c r="D1677">
        <v>2634</v>
      </c>
    </row>
    <row r="1678" spans="1:4" x14ac:dyDescent="0.55000000000000004">
      <c r="A1678" s="6">
        <v>1.4494315031265849E+19</v>
      </c>
      <c r="B1678">
        <v>835</v>
      </c>
      <c r="C1678">
        <v>1</v>
      </c>
      <c r="D1678">
        <v>7887</v>
      </c>
    </row>
    <row r="1679" spans="1:4" x14ac:dyDescent="0.55000000000000004">
      <c r="A1679" s="6">
        <v>1.44972330194276E+19</v>
      </c>
      <c r="B1679">
        <v>186</v>
      </c>
      <c r="C1679">
        <v>1</v>
      </c>
      <c r="D1679">
        <v>2748</v>
      </c>
    </row>
    <row r="1680" spans="1:4" x14ac:dyDescent="0.55000000000000004">
      <c r="A1680" s="6">
        <v>1.4503463643584E+19</v>
      </c>
      <c r="B1680">
        <v>930</v>
      </c>
      <c r="C1680">
        <v>1</v>
      </c>
      <c r="D1680">
        <v>605</v>
      </c>
    </row>
    <row r="1681" spans="1:4" x14ac:dyDescent="0.55000000000000004">
      <c r="A1681" s="6">
        <v>1.4504158525317599E+19</v>
      </c>
      <c r="B1681">
        <v>523</v>
      </c>
      <c r="C1681">
        <v>1</v>
      </c>
      <c r="D1681">
        <v>4758</v>
      </c>
    </row>
    <row r="1682" spans="1:4" x14ac:dyDescent="0.55000000000000004">
      <c r="A1682" s="6">
        <v>1.4508580946377179E+19</v>
      </c>
      <c r="B1682">
        <v>261</v>
      </c>
      <c r="C1682">
        <v>1</v>
      </c>
      <c r="D1682">
        <v>855</v>
      </c>
    </row>
    <row r="1683" spans="1:4" x14ac:dyDescent="0.55000000000000004">
      <c r="A1683" s="6">
        <v>1.4510001291487109E+19</v>
      </c>
      <c r="B1683">
        <v>520</v>
      </c>
      <c r="C1683">
        <v>3</v>
      </c>
      <c r="D1683">
        <v>3846</v>
      </c>
    </row>
    <row r="1684" spans="1:4" x14ac:dyDescent="0.55000000000000004">
      <c r="A1684" s="6">
        <v>1.4517213028611961E+19</v>
      </c>
      <c r="B1684">
        <v>407</v>
      </c>
      <c r="C1684">
        <v>1</v>
      </c>
      <c r="D1684">
        <v>444</v>
      </c>
    </row>
    <row r="1685" spans="1:4" x14ac:dyDescent="0.55000000000000004">
      <c r="A1685" s="6">
        <v>1.4521807807988369E+19</v>
      </c>
      <c r="B1685">
        <v>196</v>
      </c>
      <c r="C1685">
        <v>1</v>
      </c>
      <c r="D1685">
        <v>5842</v>
      </c>
    </row>
    <row r="1686" spans="1:4" x14ac:dyDescent="0.55000000000000004">
      <c r="A1686" s="6">
        <v>1.4525817385845809E+19</v>
      </c>
      <c r="B1686">
        <v>62</v>
      </c>
      <c r="C1686">
        <v>2</v>
      </c>
      <c r="D1686">
        <v>217</v>
      </c>
    </row>
    <row r="1687" spans="1:4" x14ac:dyDescent="0.55000000000000004">
      <c r="A1687" s="6">
        <v>1.4545690347344841E+19</v>
      </c>
      <c r="B1687">
        <v>60</v>
      </c>
      <c r="C1687">
        <v>2</v>
      </c>
      <c r="D1687">
        <v>1469</v>
      </c>
    </row>
    <row r="1688" spans="1:4" x14ac:dyDescent="0.55000000000000004">
      <c r="A1688" s="6">
        <v>1.455987265867716E+19</v>
      </c>
      <c r="B1688">
        <v>740</v>
      </c>
      <c r="C1688">
        <v>1</v>
      </c>
      <c r="D1688">
        <v>8634</v>
      </c>
    </row>
    <row r="1689" spans="1:4" x14ac:dyDescent="0.55000000000000004">
      <c r="A1689" s="6">
        <v>1.4569383947858901E+19</v>
      </c>
      <c r="B1689">
        <v>691</v>
      </c>
      <c r="C1689">
        <v>1</v>
      </c>
      <c r="D1689">
        <v>597</v>
      </c>
    </row>
    <row r="1690" spans="1:4" x14ac:dyDescent="0.55000000000000004">
      <c r="A1690" s="6">
        <v>1.457219832459044E+19</v>
      </c>
      <c r="B1690">
        <v>634</v>
      </c>
      <c r="C1690">
        <v>2</v>
      </c>
      <c r="D1690">
        <v>7200</v>
      </c>
    </row>
    <row r="1691" spans="1:4" x14ac:dyDescent="0.55000000000000004">
      <c r="A1691" s="6">
        <v>1.4589760455791749E+19</v>
      </c>
      <c r="B1691">
        <v>723</v>
      </c>
      <c r="C1691">
        <v>1</v>
      </c>
      <c r="D1691">
        <v>1167</v>
      </c>
    </row>
    <row r="1692" spans="1:4" x14ac:dyDescent="0.55000000000000004">
      <c r="A1692" s="6">
        <v>1.4605535743231601E+19</v>
      </c>
      <c r="B1692">
        <v>631</v>
      </c>
      <c r="C1692">
        <v>2</v>
      </c>
      <c r="D1692">
        <v>710</v>
      </c>
    </row>
    <row r="1693" spans="1:4" x14ac:dyDescent="0.55000000000000004">
      <c r="A1693" s="6">
        <v>1.460620150996985E+19</v>
      </c>
      <c r="B1693">
        <v>670</v>
      </c>
      <c r="C1693">
        <v>2</v>
      </c>
      <c r="D1693">
        <v>6293</v>
      </c>
    </row>
    <row r="1694" spans="1:4" x14ac:dyDescent="0.55000000000000004">
      <c r="A1694" s="6">
        <v>1.461118260085745E+19</v>
      </c>
      <c r="B1694">
        <v>1141</v>
      </c>
      <c r="C1694">
        <v>1</v>
      </c>
      <c r="D1694">
        <v>1527</v>
      </c>
    </row>
    <row r="1695" spans="1:4" x14ac:dyDescent="0.55000000000000004">
      <c r="A1695" s="6">
        <v>1.4613603978610659E+19</v>
      </c>
      <c r="B1695">
        <v>365</v>
      </c>
      <c r="C1695">
        <v>3</v>
      </c>
      <c r="D1695">
        <v>2516</v>
      </c>
    </row>
    <row r="1696" spans="1:4" x14ac:dyDescent="0.55000000000000004">
      <c r="A1696" s="6">
        <v>1.463134652866695E+19</v>
      </c>
      <c r="B1696">
        <v>14</v>
      </c>
      <c r="C1696">
        <v>1</v>
      </c>
      <c r="D1696">
        <v>990</v>
      </c>
    </row>
    <row r="1697" spans="1:4" x14ac:dyDescent="0.55000000000000004">
      <c r="A1697" s="6">
        <v>1.468306835061665E+19</v>
      </c>
      <c r="B1697">
        <v>448</v>
      </c>
      <c r="C1697">
        <v>2</v>
      </c>
      <c r="D1697">
        <v>1114</v>
      </c>
    </row>
    <row r="1698" spans="1:4" x14ac:dyDescent="0.55000000000000004">
      <c r="A1698" s="6">
        <v>1.470200793210999E+19</v>
      </c>
      <c r="B1698">
        <v>614</v>
      </c>
      <c r="C1698">
        <v>1</v>
      </c>
      <c r="D1698">
        <v>38</v>
      </c>
    </row>
    <row r="1699" spans="1:4" x14ac:dyDescent="0.55000000000000004">
      <c r="A1699" s="6">
        <v>1.4703058494907261E+19</v>
      </c>
      <c r="B1699">
        <v>235</v>
      </c>
      <c r="C1699">
        <v>1</v>
      </c>
      <c r="D1699">
        <v>646</v>
      </c>
    </row>
    <row r="1700" spans="1:4" x14ac:dyDescent="0.55000000000000004">
      <c r="A1700" s="6">
        <v>1.4723412379073901E+19</v>
      </c>
      <c r="B1700">
        <v>106</v>
      </c>
      <c r="C1700">
        <v>2</v>
      </c>
      <c r="D1700">
        <v>931</v>
      </c>
    </row>
    <row r="1701" spans="1:4" x14ac:dyDescent="0.55000000000000004">
      <c r="A1701" s="6">
        <v>1.472802365632863E+19</v>
      </c>
      <c r="B1701">
        <v>732</v>
      </c>
      <c r="C1701">
        <v>1</v>
      </c>
      <c r="D1701">
        <v>594</v>
      </c>
    </row>
    <row r="1702" spans="1:4" x14ac:dyDescent="0.55000000000000004">
      <c r="A1702" s="6">
        <v>1.4729740907852411E+19</v>
      </c>
      <c r="B1702">
        <v>182</v>
      </c>
      <c r="C1702">
        <v>1</v>
      </c>
      <c r="D1702">
        <v>13024</v>
      </c>
    </row>
    <row r="1703" spans="1:4" x14ac:dyDescent="0.55000000000000004">
      <c r="A1703" s="6">
        <v>1.474417025059576E+19</v>
      </c>
      <c r="B1703">
        <v>967</v>
      </c>
      <c r="C1703">
        <v>1</v>
      </c>
      <c r="D1703">
        <v>413</v>
      </c>
    </row>
    <row r="1704" spans="1:4" x14ac:dyDescent="0.55000000000000004">
      <c r="A1704" s="6">
        <v>1.476654758115046E+19</v>
      </c>
      <c r="B1704">
        <v>1126</v>
      </c>
      <c r="C1704">
        <v>2</v>
      </c>
      <c r="D1704">
        <v>1994</v>
      </c>
    </row>
    <row r="1705" spans="1:4" x14ac:dyDescent="0.55000000000000004">
      <c r="A1705" s="6">
        <v>1.479239400317328E+19</v>
      </c>
      <c r="B1705">
        <v>158</v>
      </c>
      <c r="C1705">
        <v>1</v>
      </c>
      <c r="D1705">
        <v>8717</v>
      </c>
    </row>
    <row r="1706" spans="1:4" x14ac:dyDescent="0.55000000000000004">
      <c r="A1706" s="6">
        <v>1.479575150262513E+19</v>
      </c>
      <c r="B1706">
        <v>866</v>
      </c>
      <c r="C1706">
        <v>1</v>
      </c>
      <c r="D1706">
        <v>3263</v>
      </c>
    </row>
    <row r="1707" spans="1:4" x14ac:dyDescent="0.55000000000000004">
      <c r="A1707" s="6">
        <v>1.479679806587535E+19</v>
      </c>
      <c r="B1707">
        <v>740</v>
      </c>
      <c r="C1707">
        <v>2</v>
      </c>
      <c r="D1707">
        <v>5205</v>
      </c>
    </row>
    <row r="1708" spans="1:4" x14ac:dyDescent="0.55000000000000004">
      <c r="A1708" s="6">
        <v>1.4806822993018491E+19</v>
      </c>
      <c r="B1708">
        <v>222</v>
      </c>
      <c r="C1708">
        <v>1</v>
      </c>
      <c r="D1708">
        <v>821</v>
      </c>
    </row>
    <row r="1709" spans="1:4" x14ac:dyDescent="0.55000000000000004">
      <c r="A1709" s="6">
        <v>1.481483603206348E+19</v>
      </c>
      <c r="B1709">
        <v>198</v>
      </c>
      <c r="C1709">
        <v>1</v>
      </c>
      <c r="D1709">
        <v>810</v>
      </c>
    </row>
    <row r="1710" spans="1:4" x14ac:dyDescent="0.55000000000000004">
      <c r="A1710" s="6">
        <v>1.484602512822185E+19</v>
      </c>
      <c r="B1710">
        <v>550</v>
      </c>
      <c r="C1710">
        <v>1</v>
      </c>
      <c r="D1710">
        <v>1320</v>
      </c>
    </row>
    <row r="1711" spans="1:4" x14ac:dyDescent="0.55000000000000004">
      <c r="A1711" s="6">
        <v>1.484930902900709E+19</v>
      </c>
      <c r="B1711">
        <v>803</v>
      </c>
      <c r="C1711">
        <v>1</v>
      </c>
      <c r="D1711">
        <v>522</v>
      </c>
    </row>
    <row r="1712" spans="1:4" x14ac:dyDescent="0.55000000000000004">
      <c r="A1712" s="6">
        <v>1.485106620758382E+19</v>
      </c>
      <c r="B1712">
        <v>1046</v>
      </c>
      <c r="C1712">
        <v>1</v>
      </c>
      <c r="D1712">
        <v>990</v>
      </c>
    </row>
    <row r="1713" spans="1:4" x14ac:dyDescent="0.55000000000000004">
      <c r="A1713" s="6">
        <v>1.4861461294758699E+19</v>
      </c>
      <c r="B1713">
        <v>865</v>
      </c>
      <c r="C1713">
        <v>2</v>
      </c>
      <c r="D1713">
        <v>2286</v>
      </c>
    </row>
    <row r="1714" spans="1:4" x14ac:dyDescent="0.55000000000000004">
      <c r="A1714" s="6">
        <v>1.486762239790227E+19</v>
      </c>
      <c r="B1714">
        <v>195</v>
      </c>
      <c r="C1714">
        <v>1</v>
      </c>
      <c r="D1714">
        <v>1048</v>
      </c>
    </row>
    <row r="1715" spans="1:4" x14ac:dyDescent="0.55000000000000004">
      <c r="A1715" s="6">
        <v>1.488874848366293E+19</v>
      </c>
      <c r="B1715">
        <v>497</v>
      </c>
      <c r="C1715">
        <v>1</v>
      </c>
      <c r="D1715">
        <v>349</v>
      </c>
    </row>
    <row r="1716" spans="1:4" x14ac:dyDescent="0.55000000000000004">
      <c r="A1716" s="6">
        <v>1.492838032545466E+19</v>
      </c>
      <c r="B1716">
        <v>358</v>
      </c>
      <c r="C1716">
        <v>1</v>
      </c>
      <c r="D1716">
        <v>29</v>
      </c>
    </row>
    <row r="1717" spans="1:4" x14ac:dyDescent="0.55000000000000004">
      <c r="A1717" s="6">
        <v>1.493495880360328E+19</v>
      </c>
      <c r="B1717">
        <v>1174</v>
      </c>
      <c r="C1717">
        <v>1</v>
      </c>
      <c r="D1717">
        <v>39</v>
      </c>
    </row>
    <row r="1718" spans="1:4" x14ac:dyDescent="0.55000000000000004">
      <c r="A1718" s="6">
        <v>1.4935171356186991E+19</v>
      </c>
      <c r="B1718">
        <v>40</v>
      </c>
      <c r="C1718">
        <v>2</v>
      </c>
      <c r="D1718">
        <v>8308</v>
      </c>
    </row>
    <row r="1719" spans="1:4" x14ac:dyDescent="0.55000000000000004">
      <c r="A1719" s="6">
        <v>1.4936326659362959E+19</v>
      </c>
      <c r="B1719">
        <v>18</v>
      </c>
      <c r="C1719">
        <v>2</v>
      </c>
      <c r="D1719">
        <v>3401</v>
      </c>
    </row>
    <row r="1720" spans="1:4" x14ac:dyDescent="0.55000000000000004">
      <c r="A1720" s="6">
        <v>1.4940908673437481E+19</v>
      </c>
      <c r="B1720">
        <v>207</v>
      </c>
      <c r="C1720">
        <v>1</v>
      </c>
      <c r="D1720">
        <v>5640</v>
      </c>
    </row>
    <row r="1721" spans="1:4" x14ac:dyDescent="0.55000000000000004">
      <c r="A1721" s="6">
        <v>1.494118160307739E+19</v>
      </c>
      <c r="B1721">
        <v>197</v>
      </c>
      <c r="C1721">
        <v>2</v>
      </c>
      <c r="D1721">
        <v>2500</v>
      </c>
    </row>
    <row r="1722" spans="1:4" x14ac:dyDescent="0.55000000000000004">
      <c r="A1722" s="6">
        <v>1.4951728837891899E+19</v>
      </c>
      <c r="B1722">
        <v>475</v>
      </c>
      <c r="C1722">
        <v>1</v>
      </c>
      <c r="D1722">
        <v>399</v>
      </c>
    </row>
    <row r="1723" spans="1:4" x14ac:dyDescent="0.55000000000000004">
      <c r="A1723" s="6">
        <v>1.495837480485929E+19</v>
      </c>
      <c r="B1723">
        <v>215</v>
      </c>
      <c r="C1723">
        <v>1</v>
      </c>
      <c r="D1723">
        <v>11388</v>
      </c>
    </row>
    <row r="1724" spans="1:4" x14ac:dyDescent="0.55000000000000004">
      <c r="A1724" s="6">
        <v>1.495907029826509E+19</v>
      </c>
      <c r="B1724">
        <v>85</v>
      </c>
      <c r="C1724">
        <v>2</v>
      </c>
      <c r="D1724">
        <v>3297</v>
      </c>
    </row>
    <row r="1725" spans="1:4" x14ac:dyDescent="0.55000000000000004">
      <c r="A1725" s="6">
        <v>1.49593763185252E+19</v>
      </c>
      <c r="B1725">
        <v>738</v>
      </c>
      <c r="C1725">
        <v>2</v>
      </c>
      <c r="D1725">
        <v>2043</v>
      </c>
    </row>
    <row r="1726" spans="1:4" x14ac:dyDescent="0.55000000000000004">
      <c r="A1726" s="6">
        <v>1.495961101144532E+19</v>
      </c>
      <c r="B1726">
        <v>239</v>
      </c>
      <c r="C1726">
        <v>2</v>
      </c>
      <c r="D1726">
        <v>5104</v>
      </c>
    </row>
    <row r="1727" spans="1:4" x14ac:dyDescent="0.55000000000000004">
      <c r="A1727" s="6">
        <v>1.4961346208182901E+19</v>
      </c>
      <c r="B1727">
        <v>72</v>
      </c>
      <c r="C1727">
        <v>3</v>
      </c>
      <c r="D1727">
        <v>2365</v>
      </c>
    </row>
    <row r="1728" spans="1:4" x14ac:dyDescent="0.55000000000000004">
      <c r="A1728" s="6">
        <v>1.496262353610864E+19</v>
      </c>
      <c r="B1728">
        <v>1322</v>
      </c>
      <c r="C1728">
        <v>1</v>
      </c>
      <c r="D1728">
        <v>870</v>
      </c>
    </row>
    <row r="1729" spans="1:4" x14ac:dyDescent="0.55000000000000004">
      <c r="A1729" s="6">
        <v>1.496928590559763E+19</v>
      </c>
      <c r="B1729">
        <v>240</v>
      </c>
      <c r="C1729">
        <v>3</v>
      </c>
      <c r="D1729">
        <v>2416</v>
      </c>
    </row>
    <row r="1730" spans="1:4" x14ac:dyDescent="0.55000000000000004">
      <c r="A1730" s="6">
        <v>1.4979851670315909E+19</v>
      </c>
      <c r="B1730">
        <v>308</v>
      </c>
      <c r="C1730">
        <v>1</v>
      </c>
      <c r="D1730">
        <v>229</v>
      </c>
    </row>
    <row r="1731" spans="1:4" x14ac:dyDescent="0.55000000000000004">
      <c r="A1731" s="6">
        <v>1.498780301633416E+19</v>
      </c>
      <c r="B1731">
        <v>227</v>
      </c>
      <c r="C1731">
        <v>1</v>
      </c>
      <c r="D1731">
        <v>1422</v>
      </c>
    </row>
    <row r="1732" spans="1:4" x14ac:dyDescent="0.55000000000000004">
      <c r="A1732" s="6">
        <v>1.4996253730294829E+19</v>
      </c>
      <c r="B1732">
        <v>521</v>
      </c>
      <c r="C1732">
        <v>1</v>
      </c>
      <c r="D1732">
        <v>2514</v>
      </c>
    </row>
    <row r="1733" spans="1:4" x14ac:dyDescent="0.55000000000000004">
      <c r="A1733" s="6">
        <v>1.499652581721549E+19</v>
      </c>
      <c r="B1733">
        <v>125</v>
      </c>
      <c r="C1733">
        <v>2</v>
      </c>
      <c r="D1733">
        <v>2109</v>
      </c>
    </row>
    <row r="1734" spans="1:4" x14ac:dyDescent="0.55000000000000004">
      <c r="A1734" s="6">
        <v>1.5017793853101789E+19</v>
      </c>
      <c r="B1734">
        <v>383</v>
      </c>
      <c r="C1734">
        <v>2</v>
      </c>
      <c r="D1734">
        <v>958</v>
      </c>
    </row>
    <row r="1735" spans="1:4" x14ac:dyDescent="0.55000000000000004">
      <c r="A1735" s="6">
        <v>1.502500369017592E+19</v>
      </c>
      <c r="B1735">
        <v>602</v>
      </c>
      <c r="C1735">
        <v>2</v>
      </c>
      <c r="D1735">
        <v>1717</v>
      </c>
    </row>
    <row r="1736" spans="1:4" x14ac:dyDescent="0.55000000000000004">
      <c r="A1736" s="6">
        <v>1.5032394334348169E+19</v>
      </c>
      <c r="B1736">
        <v>255</v>
      </c>
      <c r="C1736">
        <v>1</v>
      </c>
      <c r="D1736">
        <v>49</v>
      </c>
    </row>
    <row r="1737" spans="1:4" x14ac:dyDescent="0.55000000000000004">
      <c r="A1737" s="6">
        <v>1.505177459298766E+19</v>
      </c>
      <c r="B1737">
        <v>147</v>
      </c>
      <c r="C1737">
        <v>1</v>
      </c>
      <c r="D1737">
        <v>3040</v>
      </c>
    </row>
    <row r="1738" spans="1:4" x14ac:dyDescent="0.55000000000000004">
      <c r="A1738" s="6">
        <v>1.5067970773666001E+19</v>
      </c>
      <c r="B1738">
        <v>53</v>
      </c>
      <c r="C1738">
        <v>1</v>
      </c>
      <c r="D1738">
        <v>145</v>
      </c>
    </row>
    <row r="1739" spans="1:4" x14ac:dyDescent="0.55000000000000004">
      <c r="A1739" s="6">
        <v>1.5068632717000239E+19</v>
      </c>
      <c r="B1739">
        <v>1047</v>
      </c>
      <c r="C1739">
        <v>1</v>
      </c>
      <c r="D1739">
        <v>112</v>
      </c>
    </row>
    <row r="1740" spans="1:4" x14ac:dyDescent="0.55000000000000004">
      <c r="A1740" s="6">
        <v>1.507061326898792E+19</v>
      </c>
      <c r="B1740">
        <v>719</v>
      </c>
      <c r="C1740">
        <v>1</v>
      </c>
      <c r="D1740">
        <v>499</v>
      </c>
    </row>
    <row r="1741" spans="1:4" x14ac:dyDescent="0.55000000000000004">
      <c r="A1741" s="6">
        <v>1.50720038142017E+19</v>
      </c>
      <c r="B1741">
        <v>903</v>
      </c>
      <c r="C1741">
        <v>1</v>
      </c>
      <c r="D1741">
        <v>6260</v>
      </c>
    </row>
    <row r="1742" spans="1:4" x14ac:dyDescent="0.55000000000000004">
      <c r="A1742" s="6">
        <v>1.510216515945837E+19</v>
      </c>
      <c r="B1742">
        <v>136</v>
      </c>
      <c r="C1742">
        <v>1</v>
      </c>
      <c r="D1742">
        <v>7710</v>
      </c>
    </row>
    <row r="1743" spans="1:4" x14ac:dyDescent="0.55000000000000004">
      <c r="A1743" s="6">
        <v>1.510285871969826E+19</v>
      </c>
      <c r="B1743">
        <v>346</v>
      </c>
      <c r="C1743">
        <v>1</v>
      </c>
      <c r="D1743">
        <v>198</v>
      </c>
    </row>
    <row r="1744" spans="1:4" x14ac:dyDescent="0.55000000000000004">
      <c r="A1744" s="6">
        <v>1.5103322672922581E+19</v>
      </c>
      <c r="B1744">
        <v>19</v>
      </c>
      <c r="C1744">
        <v>3</v>
      </c>
      <c r="D1744">
        <v>2012</v>
      </c>
    </row>
    <row r="1745" spans="1:4" x14ac:dyDescent="0.55000000000000004">
      <c r="A1745" s="6">
        <v>1.5103585447139899E+19</v>
      </c>
      <c r="B1745">
        <v>44</v>
      </c>
      <c r="C1745">
        <v>3</v>
      </c>
      <c r="D1745">
        <v>3153</v>
      </c>
    </row>
    <row r="1746" spans="1:4" x14ac:dyDescent="0.55000000000000004">
      <c r="A1746" s="6">
        <v>1.510372968522557E+19</v>
      </c>
      <c r="B1746">
        <v>429</v>
      </c>
      <c r="C1746">
        <v>1</v>
      </c>
      <c r="D1746">
        <v>150</v>
      </c>
    </row>
    <row r="1747" spans="1:4" x14ac:dyDescent="0.55000000000000004">
      <c r="A1747" s="6">
        <v>1.511718859902491E+19</v>
      </c>
      <c r="B1747">
        <v>589</v>
      </c>
      <c r="C1747">
        <v>1</v>
      </c>
      <c r="D1747">
        <v>1000</v>
      </c>
    </row>
    <row r="1748" spans="1:4" x14ac:dyDescent="0.55000000000000004">
      <c r="A1748" s="6">
        <v>1.5126885222376651E+19</v>
      </c>
      <c r="B1748">
        <v>811</v>
      </c>
      <c r="C1748">
        <v>1</v>
      </c>
      <c r="D1748">
        <v>162</v>
      </c>
    </row>
    <row r="1749" spans="1:4" x14ac:dyDescent="0.55000000000000004">
      <c r="A1749" s="6">
        <v>1.5159195632122561E+19</v>
      </c>
      <c r="B1749">
        <v>484</v>
      </c>
      <c r="C1749">
        <v>1</v>
      </c>
      <c r="D1749">
        <v>790</v>
      </c>
    </row>
    <row r="1750" spans="1:4" x14ac:dyDescent="0.55000000000000004">
      <c r="A1750" s="6">
        <v>1.522627431602169E+19</v>
      </c>
      <c r="B1750">
        <v>76</v>
      </c>
      <c r="C1750">
        <v>1</v>
      </c>
      <c r="D1750">
        <v>1950</v>
      </c>
    </row>
    <row r="1751" spans="1:4" x14ac:dyDescent="0.55000000000000004">
      <c r="A1751" s="6">
        <v>1.5228050630350819E+19</v>
      </c>
      <c r="B1751">
        <v>370</v>
      </c>
      <c r="C1751">
        <v>1</v>
      </c>
      <c r="D1751">
        <v>9084</v>
      </c>
    </row>
    <row r="1752" spans="1:4" x14ac:dyDescent="0.55000000000000004">
      <c r="A1752" s="6">
        <v>1.5241763823784481E+19</v>
      </c>
      <c r="B1752">
        <v>1059</v>
      </c>
      <c r="C1752">
        <v>1</v>
      </c>
      <c r="D1752">
        <v>3240</v>
      </c>
    </row>
    <row r="1753" spans="1:4" x14ac:dyDescent="0.55000000000000004">
      <c r="A1753" s="6">
        <v>1.524683085751996E+19</v>
      </c>
      <c r="B1753">
        <v>305</v>
      </c>
      <c r="C1753">
        <v>1</v>
      </c>
      <c r="D1753">
        <v>266</v>
      </c>
    </row>
    <row r="1754" spans="1:4" x14ac:dyDescent="0.55000000000000004">
      <c r="A1754" s="6">
        <v>1.525234002805547E+19</v>
      </c>
      <c r="B1754">
        <v>455</v>
      </c>
      <c r="C1754">
        <v>2</v>
      </c>
      <c r="D1754">
        <v>356</v>
      </c>
    </row>
    <row r="1755" spans="1:4" x14ac:dyDescent="0.55000000000000004">
      <c r="A1755" s="6">
        <v>1.5276476970482409E+19</v>
      </c>
      <c r="B1755">
        <v>809</v>
      </c>
      <c r="C1755">
        <v>1</v>
      </c>
      <c r="D1755">
        <v>1166</v>
      </c>
    </row>
    <row r="1756" spans="1:4" x14ac:dyDescent="0.55000000000000004">
      <c r="A1756" s="6">
        <v>1.529271156526071E+19</v>
      </c>
      <c r="B1756">
        <v>44</v>
      </c>
      <c r="C1756">
        <v>1</v>
      </c>
      <c r="D1756">
        <v>1412</v>
      </c>
    </row>
    <row r="1757" spans="1:4" x14ac:dyDescent="0.55000000000000004">
      <c r="A1757" s="6">
        <v>1.529683543112498E+19</v>
      </c>
      <c r="B1757">
        <v>910</v>
      </c>
      <c r="C1757">
        <v>3</v>
      </c>
      <c r="D1757">
        <v>2417</v>
      </c>
    </row>
    <row r="1758" spans="1:4" x14ac:dyDescent="0.55000000000000004">
      <c r="A1758" s="6">
        <v>1.5299554968771371E+19</v>
      </c>
      <c r="B1758">
        <v>128</v>
      </c>
      <c r="C1758">
        <v>1</v>
      </c>
      <c r="D1758">
        <v>499</v>
      </c>
    </row>
    <row r="1759" spans="1:4" x14ac:dyDescent="0.55000000000000004">
      <c r="A1759" s="6">
        <v>1.5299920061904511E+19</v>
      </c>
      <c r="B1759">
        <v>575</v>
      </c>
      <c r="C1759">
        <v>2</v>
      </c>
      <c r="D1759">
        <v>140</v>
      </c>
    </row>
    <row r="1760" spans="1:4" x14ac:dyDescent="0.55000000000000004">
      <c r="A1760" s="6">
        <v>1.530112927941096E+19</v>
      </c>
      <c r="B1760">
        <v>891</v>
      </c>
      <c r="C1760">
        <v>1</v>
      </c>
      <c r="D1760">
        <v>2166</v>
      </c>
    </row>
    <row r="1761" spans="1:4" x14ac:dyDescent="0.55000000000000004">
      <c r="A1761" s="6">
        <v>1.5301579014397999E+19</v>
      </c>
      <c r="B1761">
        <v>828</v>
      </c>
      <c r="C1761">
        <v>1</v>
      </c>
      <c r="D1761">
        <v>1478</v>
      </c>
    </row>
    <row r="1762" spans="1:4" x14ac:dyDescent="0.55000000000000004">
      <c r="A1762" s="6">
        <v>1.5308735232356551E+19</v>
      </c>
      <c r="B1762">
        <v>431</v>
      </c>
      <c r="C1762">
        <v>1</v>
      </c>
      <c r="D1762">
        <v>1099</v>
      </c>
    </row>
    <row r="1763" spans="1:4" x14ac:dyDescent="0.55000000000000004">
      <c r="A1763" s="6">
        <v>1.5315655684016439E+19</v>
      </c>
      <c r="B1763">
        <v>332</v>
      </c>
      <c r="C1763">
        <v>1</v>
      </c>
      <c r="D1763">
        <v>113</v>
      </c>
    </row>
    <row r="1764" spans="1:4" x14ac:dyDescent="0.55000000000000004">
      <c r="A1764" s="6">
        <v>1.5326071374351911E+19</v>
      </c>
      <c r="B1764">
        <v>167</v>
      </c>
      <c r="C1764">
        <v>1</v>
      </c>
      <c r="D1764">
        <v>990</v>
      </c>
    </row>
    <row r="1765" spans="1:4" x14ac:dyDescent="0.55000000000000004">
      <c r="A1765" s="6">
        <v>1.5332872620488651E+19</v>
      </c>
      <c r="B1765">
        <v>423</v>
      </c>
      <c r="C1765">
        <v>2</v>
      </c>
      <c r="D1765">
        <v>898</v>
      </c>
    </row>
    <row r="1766" spans="1:4" x14ac:dyDescent="0.55000000000000004">
      <c r="A1766" s="6">
        <v>1.5365074124483809E+19</v>
      </c>
      <c r="B1766">
        <v>12</v>
      </c>
      <c r="C1766">
        <v>1</v>
      </c>
      <c r="D1766">
        <v>1500</v>
      </c>
    </row>
    <row r="1767" spans="1:4" x14ac:dyDescent="0.55000000000000004">
      <c r="A1767" s="6">
        <v>1.536672420053701E+19</v>
      </c>
      <c r="B1767">
        <v>630</v>
      </c>
      <c r="C1767">
        <v>1</v>
      </c>
      <c r="D1767">
        <v>991</v>
      </c>
    </row>
    <row r="1768" spans="1:4" x14ac:dyDescent="0.55000000000000004">
      <c r="A1768" s="6">
        <v>1.536988618300135E+19</v>
      </c>
      <c r="B1768">
        <v>902</v>
      </c>
      <c r="C1768">
        <v>1</v>
      </c>
      <c r="D1768">
        <v>687</v>
      </c>
    </row>
    <row r="1769" spans="1:4" x14ac:dyDescent="0.55000000000000004">
      <c r="A1769" s="6">
        <v>1.5372990738145679E+19</v>
      </c>
      <c r="B1769">
        <v>589</v>
      </c>
      <c r="C1769">
        <v>1</v>
      </c>
      <c r="D1769">
        <v>1068</v>
      </c>
    </row>
    <row r="1770" spans="1:4" x14ac:dyDescent="0.55000000000000004">
      <c r="A1770" s="6">
        <v>1.5375922921831371E+19</v>
      </c>
      <c r="B1770">
        <v>547</v>
      </c>
      <c r="C1770">
        <v>1</v>
      </c>
      <c r="D1770">
        <v>165</v>
      </c>
    </row>
    <row r="1771" spans="1:4" x14ac:dyDescent="0.55000000000000004">
      <c r="A1771" s="6">
        <v>1.5384082452842521E+19</v>
      </c>
      <c r="B1771">
        <v>771</v>
      </c>
      <c r="C1771">
        <v>1</v>
      </c>
      <c r="D1771">
        <v>5275</v>
      </c>
    </row>
    <row r="1772" spans="1:4" x14ac:dyDescent="0.55000000000000004">
      <c r="A1772" s="6">
        <v>1.5401339438408831E+19</v>
      </c>
      <c r="B1772">
        <v>1155</v>
      </c>
      <c r="C1772">
        <v>1</v>
      </c>
      <c r="D1772">
        <v>518</v>
      </c>
    </row>
    <row r="1773" spans="1:4" x14ac:dyDescent="0.55000000000000004">
      <c r="A1773" s="6">
        <v>1.5403850247064271E+19</v>
      </c>
      <c r="B1773">
        <v>865</v>
      </c>
      <c r="C1773">
        <v>1</v>
      </c>
      <c r="D1773">
        <v>1929</v>
      </c>
    </row>
    <row r="1774" spans="1:4" x14ac:dyDescent="0.55000000000000004">
      <c r="A1774" s="6">
        <v>1.5404156029051601E+19</v>
      </c>
      <c r="B1774">
        <v>509</v>
      </c>
      <c r="C1774">
        <v>1</v>
      </c>
      <c r="D1774">
        <v>2691</v>
      </c>
    </row>
    <row r="1775" spans="1:4" x14ac:dyDescent="0.55000000000000004">
      <c r="A1775" s="6">
        <v>1.5408046944755769E+19</v>
      </c>
      <c r="B1775">
        <v>45</v>
      </c>
      <c r="C1775">
        <v>2</v>
      </c>
      <c r="D1775">
        <v>2546</v>
      </c>
    </row>
    <row r="1776" spans="1:4" x14ac:dyDescent="0.55000000000000004">
      <c r="A1776" s="6">
        <v>1.541344756423315E+19</v>
      </c>
      <c r="B1776">
        <v>489</v>
      </c>
      <c r="C1776">
        <v>1</v>
      </c>
      <c r="D1776">
        <v>643</v>
      </c>
    </row>
    <row r="1777" spans="1:4" x14ac:dyDescent="0.55000000000000004">
      <c r="A1777" s="6">
        <v>1.541616255913045E+19</v>
      </c>
      <c r="B1777">
        <v>447</v>
      </c>
      <c r="C1777">
        <v>2</v>
      </c>
      <c r="D1777">
        <v>965</v>
      </c>
    </row>
    <row r="1778" spans="1:4" x14ac:dyDescent="0.55000000000000004">
      <c r="A1778" s="6">
        <v>1.542291746567033E+19</v>
      </c>
      <c r="B1778">
        <v>570</v>
      </c>
      <c r="C1778">
        <v>1</v>
      </c>
      <c r="D1778">
        <v>151</v>
      </c>
    </row>
    <row r="1779" spans="1:4" x14ac:dyDescent="0.55000000000000004">
      <c r="A1779" s="6">
        <v>1.542473145981388E+19</v>
      </c>
      <c r="B1779">
        <v>475</v>
      </c>
      <c r="C1779">
        <v>1</v>
      </c>
      <c r="D1779">
        <v>4450</v>
      </c>
    </row>
    <row r="1780" spans="1:4" x14ac:dyDescent="0.55000000000000004">
      <c r="A1780" s="6">
        <v>1.5436359272742521E+19</v>
      </c>
      <c r="B1780">
        <v>1203</v>
      </c>
      <c r="C1780">
        <v>1</v>
      </c>
      <c r="D1780">
        <v>380</v>
      </c>
    </row>
    <row r="1781" spans="1:4" x14ac:dyDescent="0.55000000000000004">
      <c r="A1781" s="6">
        <v>1.5444205740804801E+19</v>
      </c>
      <c r="B1781">
        <v>935</v>
      </c>
      <c r="C1781">
        <v>1</v>
      </c>
      <c r="D1781">
        <v>531</v>
      </c>
    </row>
    <row r="1782" spans="1:4" x14ac:dyDescent="0.55000000000000004">
      <c r="A1782" s="6">
        <v>1.54539279670714E+19</v>
      </c>
      <c r="B1782">
        <v>58</v>
      </c>
      <c r="C1782">
        <v>1</v>
      </c>
      <c r="D1782">
        <v>7070</v>
      </c>
    </row>
    <row r="1783" spans="1:4" x14ac:dyDescent="0.55000000000000004">
      <c r="A1783" s="6">
        <v>1.5454653710179119E+19</v>
      </c>
      <c r="B1783">
        <v>663</v>
      </c>
      <c r="C1783">
        <v>1</v>
      </c>
      <c r="D1783">
        <v>594</v>
      </c>
    </row>
    <row r="1784" spans="1:4" x14ac:dyDescent="0.55000000000000004">
      <c r="A1784" s="6">
        <v>1.5462610389332511E+19</v>
      </c>
      <c r="B1784">
        <v>1134</v>
      </c>
      <c r="C1784">
        <v>2</v>
      </c>
      <c r="D1784">
        <v>2930</v>
      </c>
    </row>
    <row r="1785" spans="1:4" x14ac:dyDescent="0.55000000000000004">
      <c r="A1785" s="6">
        <v>1.546388297041663E+19</v>
      </c>
      <c r="B1785">
        <v>826</v>
      </c>
      <c r="C1785">
        <v>1</v>
      </c>
      <c r="D1785">
        <v>1585</v>
      </c>
    </row>
    <row r="1786" spans="1:4" x14ac:dyDescent="0.55000000000000004">
      <c r="A1786" s="6">
        <v>1.546974436012781E+19</v>
      </c>
      <c r="B1786">
        <v>223</v>
      </c>
      <c r="C1786">
        <v>2</v>
      </c>
      <c r="D1786">
        <v>458</v>
      </c>
    </row>
    <row r="1787" spans="1:4" x14ac:dyDescent="0.55000000000000004">
      <c r="A1787" s="6">
        <v>1.5473358029831711E+19</v>
      </c>
      <c r="B1787">
        <v>744</v>
      </c>
      <c r="C1787">
        <v>1</v>
      </c>
      <c r="D1787">
        <v>957</v>
      </c>
    </row>
    <row r="1788" spans="1:4" x14ac:dyDescent="0.55000000000000004">
      <c r="A1788" s="6">
        <v>1.547472592135144E+19</v>
      </c>
      <c r="B1788">
        <v>54</v>
      </c>
      <c r="C1788">
        <v>1</v>
      </c>
      <c r="D1788">
        <v>189</v>
      </c>
    </row>
    <row r="1789" spans="1:4" x14ac:dyDescent="0.55000000000000004">
      <c r="A1789" s="6">
        <v>1.5480586309256509E+19</v>
      </c>
      <c r="B1789">
        <v>950</v>
      </c>
      <c r="C1789">
        <v>1</v>
      </c>
      <c r="D1789">
        <v>45</v>
      </c>
    </row>
    <row r="1790" spans="1:4" x14ac:dyDescent="0.55000000000000004">
      <c r="A1790" s="6">
        <v>1.5485723615538999E+19</v>
      </c>
      <c r="B1790">
        <v>413</v>
      </c>
      <c r="C1790">
        <v>1</v>
      </c>
      <c r="D1790">
        <v>11090</v>
      </c>
    </row>
    <row r="1791" spans="1:4" x14ac:dyDescent="0.55000000000000004">
      <c r="A1791" s="6">
        <v>1.552707870825926E+19</v>
      </c>
      <c r="B1791">
        <v>818</v>
      </c>
      <c r="C1791">
        <v>1</v>
      </c>
      <c r="D1791">
        <v>8966</v>
      </c>
    </row>
    <row r="1792" spans="1:4" x14ac:dyDescent="0.55000000000000004">
      <c r="A1792" s="6">
        <v>1.5540219737768849E+19</v>
      </c>
      <c r="B1792">
        <v>574</v>
      </c>
      <c r="C1792">
        <v>1</v>
      </c>
      <c r="D1792">
        <v>1311</v>
      </c>
    </row>
    <row r="1793" spans="1:4" x14ac:dyDescent="0.55000000000000004">
      <c r="A1793" s="6">
        <v>1.5549230291114441E+19</v>
      </c>
      <c r="B1793">
        <v>680</v>
      </c>
      <c r="C1793">
        <v>1</v>
      </c>
      <c r="D1793">
        <v>105</v>
      </c>
    </row>
    <row r="1794" spans="1:4" x14ac:dyDescent="0.55000000000000004">
      <c r="A1794" s="6">
        <v>1.5564916972621199E+19</v>
      </c>
      <c r="B1794">
        <v>488</v>
      </c>
      <c r="C1794">
        <v>1</v>
      </c>
      <c r="D1794">
        <v>349</v>
      </c>
    </row>
    <row r="1795" spans="1:4" x14ac:dyDescent="0.55000000000000004">
      <c r="A1795" s="6">
        <v>1.5574239814710999E+19</v>
      </c>
      <c r="B1795">
        <v>487</v>
      </c>
      <c r="C1795">
        <v>2</v>
      </c>
      <c r="D1795">
        <v>67</v>
      </c>
    </row>
    <row r="1796" spans="1:4" x14ac:dyDescent="0.55000000000000004">
      <c r="A1796" s="6">
        <v>1.559033532799505E+19</v>
      </c>
      <c r="B1796">
        <v>893</v>
      </c>
      <c r="C1796">
        <v>1</v>
      </c>
      <c r="D1796">
        <v>175</v>
      </c>
    </row>
    <row r="1797" spans="1:4" x14ac:dyDescent="0.55000000000000004">
      <c r="A1797" s="6">
        <v>1.562330477958519E+19</v>
      </c>
      <c r="B1797">
        <v>290</v>
      </c>
      <c r="C1797">
        <v>1</v>
      </c>
      <c r="D1797">
        <v>48</v>
      </c>
    </row>
    <row r="1798" spans="1:4" x14ac:dyDescent="0.55000000000000004">
      <c r="A1798" s="6">
        <v>1.5641110136120521E+19</v>
      </c>
      <c r="B1798">
        <v>436</v>
      </c>
      <c r="C1798">
        <v>2</v>
      </c>
      <c r="D1798">
        <v>1698</v>
      </c>
    </row>
    <row r="1799" spans="1:4" x14ac:dyDescent="0.55000000000000004">
      <c r="A1799" s="6">
        <v>1.564261451565621E+19</v>
      </c>
      <c r="B1799">
        <v>406</v>
      </c>
      <c r="C1799">
        <v>1</v>
      </c>
      <c r="D1799">
        <v>550</v>
      </c>
    </row>
    <row r="1800" spans="1:4" x14ac:dyDescent="0.55000000000000004">
      <c r="A1800" s="6">
        <v>1.5644167160182211E+19</v>
      </c>
      <c r="B1800">
        <v>493</v>
      </c>
      <c r="C1800">
        <v>1</v>
      </c>
      <c r="D1800">
        <v>408</v>
      </c>
    </row>
    <row r="1801" spans="1:4" x14ac:dyDescent="0.55000000000000004">
      <c r="A1801" s="6">
        <v>1.56524110507473E+19</v>
      </c>
      <c r="B1801">
        <v>575</v>
      </c>
      <c r="C1801">
        <v>2</v>
      </c>
      <c r="D1801">
        <v>7110</v>
      </c>
    </row>
    <row r="1802" spans="1:4" x14ac:dyDescent="0.55000000000000004">
      <c r="A1802" s="6">
        <v>1.565609792506035E+19</v>
      </c>
      <c r="B1802">
        <v>107</v>
      </c>
      <c r="C1802">
        <v>1</v>
      </c>
      <c r="D1802">
        <v>363</v>
      </c>
    </row>
    <row r="1803" spans="1:4" x14ac:dyDescent="0.55000000000000004">
      <c r="A1803" s="6">
        <v>1.5658292155628571E+19</v>
      </c>
      <c r="B1803">
        <v>544</v>
      </c>
      <c r="C1803">
        <v>1</v>
      </c>
      <c r="D1803">
        <v>1677</v>
      </c>
    </row>
    <row r="1804" spans="1:4" x14ac:dyDescent="0.55000000000000004">
      <c r="A1804" s="6">
        <v>1.5670996990043869E+19</v>
      </c>
      <c r="B1804">
        <v>460</v>
      </c>
      <c r="C1804">
        <v>1</v>
      </c>
      <c r="D1804">
        <v>7345</v>
      </c>
    </row>
    <row r="1805" spans="1:4" x14ac:dyDescent="0.55000000000000004">
      <c r="A1805" s="6">
        <v>1.5673232483183659E+19</v>
      </c>
      <c r="B1805">
        <v>336</v>
      </c>
      <c r="C1805">
        <v>1</v>
      </c>
      <c r="D1805">
        <v>141</v>
      </c>
    </row>
    <row r="1806" spans="1:4" x14ac:dyDescent="0.55000000000000004">
      <c r="A1806" s="6">
        <v>1.5679140564797399E+19</v>
      </c>
      <c r="B1806">
        <v>419</v>
      </c>
      <c r="C1806">
        <v>1</v>
      </c>
      <c r="D1806">
        <v>400</v>
      </c>
    </row>
    <row r="1807" spans="1:4" x14ac:dyDescent="0.55000000000000004">
      <c r="A1807" s="6">
        <v>1.5733382584919939E+19</v>
      </c>
      <c r="B1807">
        <v>892</v>
      </c>
      <c r="C1807">
        <v>1</v>
      </c>
      <c r="D1807">
        <v>2010</v>
      </c>
    </row>
    <row r="1808" spans="1:4" x14ac:dyDescent="0.55000000000000004">
      <c r="A1808" s="6">
        <v>1.574274455372594E+19</v>
      </c>
      <c r="B1808">
        <v>604</v>
      </c>
      <c r="C1808">
        <v>1</v>
      </c>
      <c r="D1808">
        <v>858</v>
      </c>
    </row>
    <row r="1809" spans="1:4" x14ac:dyDescent="0.55000000000000004">
      <c r="A1809" s="6">
        <v>1.5765648282367701E+19</v>
      </c>
      <c r="B1809">
        <v>1101</v>
      </c>
      <c r="C1809">
        <v>1</v>
      </c>
      <c r="D1809">
        <v>1494</v>
      </c>
    </row>
    <row r="1810" spans="1:4" x14ac:dyDescent="0.55000000000000004">
      <c r="A1810" s="6">
        <v>1.5767204741208119E+19</v>
      </c>
      <c r="B1810">
        <v>766</v>
      </c>
      <c r="C1810">
        <v>2</v>
      </c>
      <c r="D1810">
        <v>2567</v>
      </c>
    </row>
    <row r="1811" spans="1:4" x14ac:dyDescent="0.55000000000000004">
      <c r="A1811" s="6">
        <v>1.577062822882959E+19</v>
      </c>
      <c r="B1811">
        <v>655</v>
      </c>
      <c r="C1811">
        <v>1</v>
      </c>
      <c r="D1811">
        <v>728</v>
      </c>
    </row>
    <row r="1812" spans="1:4" x14ac:dyDescent="0.55000000000000004">
      <c r="A1812" s="6">
        <v>1.577234568859785E+19</v>
      </c>
      <c r="B1812">
        <v>296</v>
      </c>
      <c r="C1812">
        <v>1</v>
      </c>
      <c r="D1812">
        <v>573</v>
      </c>
    </row>
    <row r="1813" spans="1:4" x14ac:dyDescent="0.55000000000000004">
      <c r="A1813" s="6">
        <v>1.579376496402424E+19</v>
      </c>
      <c r="B1813">
        <v>287</v>
      </c>
      <c r="C1813">
        <v>1</v>
      </c>
      <c r="D1813">
        <v>2248</v>
      </c>
    </row>
    <row r="1814" spans="1:4" x14ac:dyDescent="0.55000000000000004">
      <c r="A1814" s="6">
        <v>1.5813384205698601E+19</v>
      </c>
      <c r="B1814">
        <v>780</v>
      </c>
      <c r="C1814">
        <v>1</v>
      </c>
      <c r="D1814">
        <v>180</v>
      </c>
    </row>
    <row r="1815" spans="1:4" x14ac:dyDescent="0.55000000000000004">
      <c r="A1815" s="6">
        <v>1.5813885059110459E+19</v>
      </c>
      <c r="B1815">
        <v>700</v>
      </c>
      <c r="C1815">
        <v>2</v>
      </c>
      <c r="D1815">
        <v>6540</v>
      </c>
    </row>
    <row r="1816" spans="1:4" x14ac:dyDescent="0.55000000000000004">
      <c r="A1816" s="6">
        <v>1.5835843431138941E+19</v>
      </c>
      <c r="B1816">
        <v>1150</v>
      </c>
      <c r="C1816">
        <v>1</v>
      </c>
      <c r="D1816">
        <v>56</v>
      </c>
    </row>
    <row r="1817" spans="1:4" x14ac:dyDescent="0.55000000000000004">
      <c r="A1817" s="6">
        <v>1.584062040801715E+19</v>
      </c>
      <c r="B1817">
        <v>197</v>
      </c>
      <c r="C1817">
        <v>2</v>
      </c>
      <c r="D1817">
        <v>5091</v>
      </c>
    </row>
    <row r="1818" spans="1:4" x14ac:dyDescent="0.55000000000000004">
      <c r="A1818" s="6">
        <v>1.584200674600909E+19</v>
      </c>
      <c r="B1818">
        <v>414</v>
      </c>
      <c r="C1818">
        <v>1</v>
      </c>
      <c r="D1818">
        <v>1663</v>
      </c>
    </row>
    <row r="1819" spans="1:4" x14ac:dyDescent="0.55000000000000004">
      <c r="A1819" s="6">
        <v>1.584657330440481E+19</v>
      </c>
      <c r="B1819">
        <v>480</v>
      </c>
      <c r="C1819">
        <v>1</v>
      </c>
      <c r="D1819">
        <v>6125</v>
      </c>
    </row>
    <row r="1820" spans="1:4" x14ac:dyDescent="0.55000000000000004">
      <c r="A1820" s="6">
        <v>1.5852763988421089E+19</v>
      </c>
      <c r="B1820">
        <v>30</v>
      </c>
      <c r="C1820">
        <v>1</v>
      </c>
      <c r="D1820">
        <v>380</v>
      </c>
    </row>
    <row r="1821" spans="1:4" x14ac:dyDescent="0.55000000000000004">
      <c r="A1821" s="6">
        <v>1.586258091061504E+19</v>
      </c>
      <c r="B1821">
        <v>769</v>
      </c>
      <c r="C1821">
        <v>1</v>
      </c>
      <c r="D1821">
        <v>319</v>
      </c>
    </row>
    <row r="1822" spans="1:4" x14ac:dyDescent="0.55000000000000004">
      <c r="A1822" s="6">
        <v>1.58638210703E+19</v>
      </c>
      <c r="B1822">
        <v>197</v>
      </c>
      <c r="C1822">
        <v>1</v>
      </c>
      <c r="D1822">
        <v>10795</v>
      </c>
    </row>
    <row r="1823" spans="1:4" x14ac:dyDescent="0.55000000000000004">
      <c r="A1823" s="6">
        <v>1.586779565632888E+19</v>
      </c>
      <c r="B1823">
        <v>267</v>
      </c>
      <c r="C1823">
        <v>1</v>
      </c>
      <c r="D1823">
        <v>79</v>
      </c>
    </row>
    <row r="1824" spans="1:4" x14ac:dyDescent="0.55000000000000004">
      <c r="A1824" s="6">
        <v>1.5891010530776771E+19</v>
      </c>
      <c r="B1824">
        <v>3</v>
      </c>
      <c r="C1824">
        <v>2</v>
      </c>
      <c r="D1824">
        <v>34740</v>
      </c>
    </row>
    <row r="1825" spans="1:4" x14ac:dyDescent="0.55000000000000004">
      <c r="A1825" s="6">
        <v>1.589297249966993E+19</v>
      </c>
      <c r="B1825">
        <v>270</v>
      </c>
      <c r="C1825">
        <v>1</v>
      </c>
      <c r="D1825">
        <v>470</v>
      </c>
    </row>
    <row r="1826" spans="1:4" x14ac:dyDescent="0.55000000000000004">
      <c r="A1826" s="6">
        <v>1.589363081237684E+19</v>
      </c>
      <c r="B1826">
        <v>591</v>
      </c>
      <c r="C1826">
        <v>1</v>
      </c>
      <c r="D1826">
        <v>179</v>
      </c>
    </row>
    <row r="1827" spans="1:4" x14ac:dyDescent="0.55000000000000004">
      <c r="A1827" s="6">
        <v>1.58983942898392E+19</v>
      </c>
      <c r="B1827">
        <v>363</v>
      </c>
      <c r="C1827">
        <v>1</v>
      </c>
      <c r="D1827">
        <v>1547</v>
      </c>
    </row>
    <row r="1828" spans="1:4" x14ac:dyDescent="0.55000000000000004">
      <c r="A1828" s="6">
        <v>1.5902464288007451E+19</v>
      </c>
      <c r="B1828">
        <v>618</v>
      </c>
      <c r="C1828">
        <v>1</v>
      </c>
      <c r="D1828">
        <v>1070</v>
      </c>
    </row>
    <row r="1829" spans="1:4" x14ac:dyDescent="0.55000000000000004">
      <c r="A1829" s="6">
        <v>1.5904387609983511E+19</v>
      </c>
      <c r="B1829">
        <v>725</v>
      </c>
      <c r="C1829">
        <v>1</v>
      </c>
      <c r="D1829">
        <v>2083</v>
      </c>
    </row>
    <row r="1830" spans="1:4" x14ac:dyDescent="0.55000000000000004">
      <c r="A1830" s="6">
        <v>1.591305381159808E+19</v>
      </c>
      <c r="B1830">
        <v>1213</v>
      </c>
      <c r="C1830">
        <v>1</v>
      </c>
      <c r="D1830">
        <v>1078</v>
      </c>
    </row>
    <row r="1831" spans="1:4" x14ac:dyDescent="0.55000000000000004">
      <c r="A1831" s="6">
        <v>1.591836987103461E+19</v>
      </c>
      <c r="B1831">
        <v>1068</v>
      </c>
      <c r="C1831">
        <v>1</v>
      </c>
      <c r="D1831">
        <v>153</v>
      </c>
    </row>
    <row r="1832" spans="1:4" x14ac:dyDescent="0.55000000000000004">
      <c r="A1832" s="6">
        <v>1.592196729020561E+19</v>
      </c>
      <c r="B1832">
        <v>1223</v>
      </c>
      <c r="C1832">
        <v>1</v>
      </c>
      <c r="D1832">
        <v>69</v>
      </c>
    </row>
    <row r="1833" spans="1:4" x14ac:dyDescent="0.55000000000000004">
      <c r="A1833" s="6">
        <v>1.5926796688468109E+19</v>
      </c>
      <c r="B1833">
        <v>141</v>
      </c>
      <c r="C1833">
        <v>2</v>
      </c>
      <c r="D1833">
        <v>2700</v>
      </c>
    </row>
    <row r="1834" spans="1:4" x14ac:dyDescent="0.55000000000000004">
      <c r="A1834" s="6">
        <v>1.5942815274304819E+19</v>
      </c>
      <c r="B1834">
        <v>287</v>
      </c>
      <c r="C1834">
        <v>1</v>
      </c>
      <c r="D1834">
        <v>441</v>
      </c>
    </row>
    <row r="1835" spans="1:4" x14ac:dyDescent="0.55000000000000004">
      <c r="A1835" s="6">
        <v>1.594292530528237E+19</v>
      </c>
      <c r="B1835">
        <v>118</v>
      </c>
      <c r="C1835">
        <v>1</v>
      </c>
      <c r="D1835">
        <v>4136</v>
      </c>
    </row>
    <row r="1836" spans="1:4" x14ac:dyDescent="0.55000000000000004">
      <c r="A1836" s="6">
        <v>1.5981399699913851E+19</v>
      </c>
      <c r="B1836">
        <v>600</v>
      </c>
      <c r="C1836">
        <v>1</v>
      </c>
      <c r="D1836">
        <v>1490</v>
      </c>
    </row>
    <row r="1837" spans="1:4" x14ac:dyDescent="0.55000000000000004">
      <c r="A1837" s="6">
        <v>1.5997309967392891E+19</v>
      </c>
      <c r="B1837">
        <v>59</v>
      </c>
      <c r="C1837">
        <v>3</v>
      </c>
      <c r="D1837">
        <v>3270</v>
      </c>
    </row>
    <row r="1838" spans="1:4" x14ac:dyDescent="0.55000000000000004">
      <c r="A1838" s="6">
        <v>1.600783233449292E+19</v>
      </c>
      <c r="B1838">
        <v>244</v>
      </c>
      <c r="C1838">
        <v>2</v>
      </c>
      <c r="D1838">
        <v>11697</v>
      </c>
    </row>
    <row r="1839" spans="1:4" x14ac:dyDescent="0.55000000000000004">
      <c r="A1839" s="6">
        <v>1.6012773091087811E+19</v>
      </c>
      <c r="B1839">
        <v>86</v>
      </c>
      <c r="C1839">
        <v>1</v>
      </c>
      <c r="D1839">
        <v>227</v>
      </c>
    </row>
    <row r="1840" spans="1:4" x14ac:dyDescent="0.55000000000000004">
      <c r="A1840" s="6">
        <v>1.6019234248555399E+19</v>
      </c>
      <c r="B1840">
        <v>73</v>
      </c>
      <c r="C1840">
        <v>1</v>
      </c>
      <c r="D1840">
        <v>2070</v>
      </c>
    </row>
    <row r="1841" spans="1:4" x14ac:dyDescent="0.55000000000000004">
      <c r="A1841" s="6">
        <v>1.602625952599124E+19</v>
      </c>
      <c r="B1841">
        <v>900</v>
      </c>
      <c r="C1841">
        <v>2</v>
      </c>
      <c r="D1841">
        <v>1122</v>
      </c>
    </row>
    <row r="1842" spans="1:4" x14ac:dyDescent="0.55000000000000004">
      <c r="A1842" s="6">
        <v>1.602840828731018E+19</v>
      </c>
      <c r="B1842">
        <v>585</v>
      </c>
      <c r="C1842">
        <v>2</v>
      </c>
      <c r="D1842">
        <v>1616</v>
      </c>
    </row>
    <row r="1843" spans="1:4" x14ac:dyDescent="0.55000000000000004">
      <c r="A1843" s="6">
        <v>1.603422478619186E+19</v>
      </c>
      <c r="B1843">
        <v>759</v>
      </c>
      <c r="C1843">
        <v>2</v>
      </c>
      <c r="D1843">
        <v>333</v>
      </c>
    </row>
    <row r="1844" spans="1:4" x14ac:dyDescent="0.55000000000000004">
      <c r="A1844" s="6">
        <v>1.604934454293963E+19</v>
      </c>
      <c r="B1844">
        <v>902</v>
      </c>
      <c r="C1844">
        <v>1</v>
      </c>
      <c r="D1844">
        <v>957</v>
      </c>
    </row>
    <row r="1845" spans="1:4" x14ac:dyDescent="0.55000000000000004">
      <c r="A1845" s="6">
        <v>1.606085863376258E+19</v>
      </c>
      <c r="B1845">
        <v>168</v>
      </c>
      <c r="C1845">
        <v>1</v>
      </c>
      <c r="D1845">
        <v>1097</v>
      </c>
    </row>
    <row r="1846" spans="1:4" x14ac:dyDescent="0.55000000000000004">
      <c r="A1846" s="6">
        <v>1.608001931279139E+19</v>
      </c>
      <c r="B1846">
        <v>1029</v>
      </c>
      <c r="C1846">
        <v>1</v>
      </c>
      <c r="D1846">
        <v>2075</v>
      </c>
    </row>
    <row r="1847" spans="1:4" x14ac:dyDescent="0.55000000000000004">
      <c r="A1847" s="6">
        <v>1.6082214315427379E+19</v>
      </c>
      <c r="B1847">
        <v>283</v>
      </c>
      <c r="C1847">
        <v>1</v>
      </c>
      <c r="D1847">
        <v>477</v>
      </c>
    </row>
    <row r="1848" spans="1:4" x14ac:dyDescent="0.55000000000000004">
      <c r="A1848" s="6">
        <v>1.6094244417354549E+19</v>
      </c>
      <c r="B1848">
        <v>84</v>
      </c>
      <c r="C1848">
        <v>1</v>
      </c>
      <c r="D1848">
        <v>1874</v>
      </c>
    </row>
    <row r="1849" spans="1:4" x14ac:dyDescent="0.55000000000000004">
      <c r="A1849" s="6">
        <v>1.609852388043197E+19</v>
      </c>
      <c r="B1849">
        <v>531</v>
      </c>
      <c r="C1849">
        <v>2</v>
      </c>
      <c r="D1849">
        <v>8221</v>
      </c>
    </row>
    <row r="1850" spans="1:4" x14ac:dyDescent="0.55000000000000004">
      <c r="A1850" s="6">
        <v>1.6108854001866289E+19</v>
      </c>
      <c r="B1850">
        <v>1027</v>
      </c>
      <c r="C1850">
        <v>1</v>
      </c>
      <c r="D1850">
        <v>59</v>
      </c>
    </row>
    <row r="1851" spans="1:4" x14ac:dyDescent="0.55000000000000004">
      <c r="A1851" s="6">
        <v>1.6110035923754729E+19</v>
      </c>
      <c r="B1851">
        <v>634</v>
      </c>
      <c r="C1851">
        <v>1</v>
      </c>
      <c r="D1851">
        <v>68</v>
      </c>
    </row>
    <row r="1852" spans="1:4" x14ac:dyDescent="0.55000000000000004">
      <c r="A1852" s="6">
        <v>1.6131516332605991E+19</v>
      </c>
      <c r="B1852">
        <v>305</v>
      </c>
      <c r="C1852">
        <v>1</v>
      </c>
      <c r="D1852">
        <v>157</v>
      </c>
    </row>
    <row r="1853" spans="1:4" x14ac:dyDescent="0.55000000000000004">
      <c r="A1853" s="6">
        <v>1.61330462329647E+19</v>
      </c>
      <c r="B1853">
        <v>53</v>
      </c>
      <c r="C1853">
        <v>1</v>
      </c>
      <c r="D1853">
        <v>8769</v>
      </c>
    </row>
    <row r="1854" spans="1:4" x14ac:dyDescent="0.55000000000000004">
      <c r="A1854" s="6">
        <v>1.6133138332866609E+19</v>
      </c>
      <c r="B1854">
        <v>529</v>
      </c>
      <c r="C1854">
        <v>1</v>
      </c>
      <c r="D1854">
        <v>1659</v>
      </c>
    </row>
    <row r="1855" spans="1:4" x14ac:dyDescent="0.55000000000000004">
      <c r="A1855" s="6">
        <v>1.614429735529943E+19</v>
      </c>
      <c r="B1855">
        <v>185</v>
      </c>
      <c r="C1855">
        <v>1</v>
      </c>
      <c r="D1855">
        <v>767</v>
      </c>
    </row>
    <row r="1856" spans="1:4" x14ac:dyDescent="0.55000000000000004">
      <c r="A1856" s="6">
        <v>1.6145584499031321E+19</v>
      </c>
      <c r="B1856">
        <v>888</v>
      </c>
      <c r="C1856">
        <v>1</v>
      </c>
      <c r="D1856">
        <v>417</v>
      </c>
    </row>
    <row r="1857" spans="1:4" x14ac:dyDescent="0.55000000000000004">
      <c r="A1857" s="6">
        <v>1.6154370437383891E+19</v>
      </c>
      <c r="B1857">
        <v>815</v>
      </c>
      <c r="C1857">
        <v>1</v>
      </c>
      <c r="D1857">
        <v>127</v>
      </c>
    </row>
    <row r="1858" spans="1:4" x14ac:dyDescent="0.55000000000000004">
      <c r="A1858" s="6">
        <v>1.61628271192128E+19</v>
      </c>
      <c r="B1858">
        <v>884</v>
      </c>
      <c r="C1858">
        <v>3</v>
      </c>
      <c r="D1858">
        <v>4504</v>
      </c>
    </row>
    <row r="1859" spans="1:4" x14ac:dyDescent="0.55000000000000004">
      <c r="A1859" s="6">
        <v>1.6170855760568191E+19</v>
      </c>
      <c r="B1859">
        <v>21</v>
      </c>
      <c r="C1859">
        <v>2</v>
      </c>
      <c r="D1859">
        <v>1058</v>
      </c>
    </row>
    <row r="1860" spans="1:4" x14ac:dyDescent="0.55000000000000004">
      <c r="A1860" s="6">
        <v>1.6172224122890871E+19</v>
      </c>
      <c r="B1860">
        <v>393</v>
      </c>
      <c r="C1860">
        <v>1</v>
      </c>
      <c r="D1860">
        <v>49</v>
      </c>
    </row>
    <row r="1861" spans="1:4" x14ac:dyDescent="0.55000000000000004">
      <c r="A1861" s="6">
        <v>1.6193132783902421E+19</v>
      </c>
      <c r="B1861">
        <v>238</v>
      </c>
      <c r="C1861">
        <v>1</v>
      </c>
      <c r="D1861">
        <v>4077</v>
      </c>
    </row>
    <row r="1862" spans="1:4" x14ac:dyDescent="0.55000000000000004">
      <c r="A1862" s="6">
        <v>1.621339977381309E+19</v>
      </c>
      <c r="B1862">
        <v>185</v>
      </c>
      <c r="C1862">
        <v>1</v>
      </c>
      <c r="D1862">
        <v>507</v>
      </c>
    </row>
    <row r="1863" spans="1:4" x14ac:dyDescent="0.55000000000000004">
      <c r="A1863" s="6">
        <v>1.622757487147571E+19</v>
      </c>
      <c r="B1863">
        <v>47</v>
      </c>
      <c r="C1863">
        <v>2</v>
      </c>
      <c r="D1863">
        <v>1493</v>
      </c>
    </row>
    <row r="1864" spans="1:4" x14ac:dyDescent="0.55000000000000004">
      <c r="A1864" s="6">
        <v>1.623089450224623E+19</v>
      </c>
      <c r="B1864">
        <v>0</v>
      </c>
      <c r="C1864">
        <v>1</v>
      </c>
      <c r="D1864">
        <v>933</v>
      </c>
    </row>
    <row r="1865" spans="1:4" x14ac:dyDescent="0.55000000000000004">
      <c r="A1865" s="6">
        <v>1.6249781279755069E+19</v>
      </c>
      <c r="B1865">
        <v>349</v>
      </c>
      <c r="C1865">
        <v>1</v>
      </c>
      <c r="D1865">
        <v>1660</v>
      </c>
    </row>
    <row r="1866" spans="1:4" x14ac:dyDescent="0.55000000000000004">
      <c r="A1866" s="6">
        <v>1.627222207656344E+19</v>
      </c>
      <c r="B1866">
        <v>69</v>
      </c>
      <c r="C1866">
        <v>2</v>
      </c>
      <c r="D1866">
        <v>1556</v>
      </c>
    </row>
    <row r="1867" spans="1:4" x14ac:dyDescent="0.55000000000000004">
      <c r="A1867" s="6">
        <v>1.627590938849545E+19</v>
      </c>
      <c r="B1867">
        <v>699</v>
      </c>
      <c r="C1867">
        <v>1</v>
      </c>
      <c r="D1867">
        <v>2390</v>
      </c>
    </row>
    <row r="1868" spans="1:4" x14ac:dyDescent="0.55000000000000004">
      <c r="A1868" s="6">
        <v>1.6286136303727159E+19</v>
      </c>
      <c r="B1868">
        <v>486</v>
      </c>
      <c r="C1868">
        <v>2</v>
      </c>
      <c r="D1868">
        <v>1120</v>
      </c>
    </row>
    <row r="1869" spans="1:4" x14ac:dyDescent="0.55000000000000004">
      <c r="A1869" s="6">
        <v>1.629364327482625E+19</v>
      </c>
      <c r="B1869">
        <v>386</v>
      </c>
      <c r="C1869">
        <v>1</v>
      </c>
      <c r="D1869">
        <v>667</v>
      </c>
    </row>
    <row r="1870" spans="1:4" x14ac:dyDescent="0.55000000000000004">
      <c r="A1870" s="6">
        <v>1.6295251240126349E+19</v>
      </c>
      <c r="B1870">
        <v>610</v>
      </c>
      <c r="C1870">
        <v>1</v>
      </c>
      <c r="D1870">
        <v>2440</v>
      </c>
    </row>
    <row r="1871" spans="1:4" x14ac:dyDescent="0.55000000000000004">
      <c r="A1871" s="6">
        <v>1.6299932316121301E+19</v>
      </c>
      <c r="B1871">
        <v>275</v>
      </c>
      <c r="C1871">
        <v>1</v>
      </c>
      <c r="D1871">
        <v>3570</v>
      </c>
    </row>
    <row r="1872" spans="1:4" x14ac:dyDescent="0.55000000000000004">
      <c r="A1872" s="6">
        <v>1.63031221324014E+19</v>
      </c>
      <c r="B1872">
        <v>148</v>
      </c>
      <c r="C1872">
        <v>1</v>
      </c>
      <c r="D1872">
        <v>1640</v>
      </c>
    </row>
    <row r="1873" spans="1:4" x14ac:dyDescent="0.55000000000000004">
      <c r="A1873" s="6">
        <v>1.632131349700778E+19</v>
      </c>
      <c r="B1873">
        <v>148</v>
      </c>
      <c r="C1873">
        <v>1</v>
      </c>
      <c r="D1873">
        <v>2801</v>
      </c>
    </row>
    <row r="1874" spans="1:4" x14ac:dyDescent="0.55000000000000004">
      <c r="A1874" s="6">
        <v>1.6322377794537411E+19</v>
      </c>
      <c r="B1874">
        <v>104</v>
      </c>
      <c r="C1874">
        <v>1</v>
      </c>
      <c r="D1874">
        <v>875</v>
      </c>
    </row>
    <row r="1875" spans="1:4" x14ac:dyDescent="0.55000000000000004">
      <c r="A1875" s="6">
        <v>1.633488305632271E+19</v>
      </c>
      <c r="B1875">
        <v>24</v>
      </c>
      <c r="C1875">
        <v>1</v>
      </c>
      <c r="D1875">
        <v>1680</v>
      </c>
    </row>
    <row r="1876" spans="1:4" x14ac:dyDescent="0.55000000000000004">
      <c r="A1876" s="6">
        <v>1.634188583066522E+19</v>
      </c>
      <c r="B1876">
        <v>41</v>
      </c>
      <c r="C1876">
        <v>2</v>
      </c>
      <c r="D1876">
        <v>7807</v>
      </c>
    </row>
    <row r="1877" spans="1:4" x14ac:dyDescent="0.55000000000000004">
      <c r="A1877" s="6">
        <v>1.6348048213521639E+19</v>
      </c>
      <c r="B1877">
        <v>376</v>
      </c>
      <c r="C1877">
        <v>1</v>
      </c>
      <c r="D1877">
        <v>372</v>
      </c>
    </row>
    <row r="1878" spans="1:4" x14ac:dyDescent="0.55000000000000004">
      <c r="A1878" s="6">
        <v>1.6352046609988569E+19</v>
      </c>
      <c r="B1878">
        <v>846</v>
      </c>
      <c r="C1878">
        <v>1</v>
      </c>
      <c r="D1878">
        <v>2997</v>
      </c>
    </row>
    <row r="1879" spans="1:4" x14ac:dyDescent="0.55000000000000004">
      <c r="A1879" s="6">
        <v>1.6357872062173041E+19</v>
      </c>
      <c r="B1879">
        <v>1257</v>
      </c>
      <c r="C1879">
        <v>1</v>
      </c>
      <c r="D1879">
        <v>2190</v>
      </c>
    </row>
    <row r="1880" spans="1:4" x14ac:dyDescent="0.55000000000000004">
      <c r="A1880" s="6">
        <v>1.637289501695036E+19</v>
      </c>
      <c r="B1880">
        <v>1199</v>
      </c>
      <c r="C1880">
        <v>1</v>
      </c>
      <c r="D1880">
        <v>385</v>
      </c>
    </row>
    <row r="1881" spans="1:4" x14ac:dyDescent="0.55000000000000004">
      <c r="A1881" s="6">
        <v>1.637643127043243E+19</v>
      </c>
      <c r="B1881">
        <v>847</v>
      </c>
      <c r="C1881">
        <v>1</v>
      </c>
      <c r="D1881">
        <v>3238</v>
      </c>
    </row>
    <row r="1882" spans="1:4" x14ac:dyDescent="0.55000000000000004">
      <c r="A1882" s="6">
        <v>1.6377734152005571E+19</v>
      </c>
      <c r="B1882">
        <v>288</v>
      </c>
      <c r="C1882">
        <v>1</v>
      </c>
      <c r="D1882">
        <v>938</v>
      </c>
    </row>
    <row r="1883" spans="1:4" x14ac:dyDescent="0.55000000000000004">
      <c r="A1883" s="6">
        <v>1.640554827617833E+19</v>
      </c>
      <c r="B1883">
        <v>836</v>
      </c>
      <c r="C1883">
        <v>2</v>
      </c>
      <c r="D1883">
        <v>3123</v>
      </c>
    </row>
    <row r="1884" spans="1:4" x14ac:dyDescent="0.55000000000000004">
      <c r="A1884" s="6">
        <v>1.640784717446102E+19</v>
      </c>
      <c r="B1884">
        <v>1176</v>
      </c>
      <c r="C1884">
        <v>1</v>
      </c>
      <c r="D1884">
        <v>317</v>
      </c>
    </row>
    <row r="1885" spans="1:4" x14ac:dyDescent="0.55000000000000004">
      <c r="A1885" s="6">
        <v>1.640879485980501E+19</v>
      </c>
      <c r="B1885">
        <v>753</v>
      </c>
      <c r="C1885">
        <v>1</v>
      </c>
      <c r="D1885">
        <v>2655</v>
      </c>
    </row>
    <row r="1886" spans="1:4" x14ac:dyDescent="0.55000000000000004">
      <c r="A1886" s="6">
        <v>1.6429661775723479E+19</v>
      </c>
      <c r="B1886">
        <v>210</v>
      </c>
      <c r="C1886">
        <v>2</v>
      </c>
      <c r="D1886">
        <v>2124</v>
      </c>
    </row>
    <row r="1887" spans="1:4" x14ac:dyDescent="0.55000000000000004">
      <c r="A1887" s="6">
        <v>1.64516283654221E+19</v>
      </c>
      <c r="B1887">
        <v>331</v>
      </c>
      <c r="C1887">
        <v>1</v>
      </c>
      <c r="D1887">
        <v>1500</v>
      </c>
    </row>
    <row r="1888" spans="1:4" x14ac:dyDescent="0.55000000000000004">
      <c r="A1888" s="6">
        <v>1.646635473202792E+19</v>
      </c>
      <c r="B1888">
        <v>16</v>
      </c>
      <c r="C1888">
        <v>3</v>
      </c>
      <c r="D1888">
        <v>1990</v>
      </c>
    </row>
    <row r="1889" spans="1:4" x14ac:dyDescent="0.55000000000000004">
      <c r="A1889" s="6">
        <v>1.6470547131161219E+19</v>
      </c>
      <c r="B1889">
        <v>241</v>
      </c>
      <c r="C1889">
        <v>1</v>
      </c>
      <c r="D1889">
        <v>1716</v>
      </c>
    </row>
    <row r="1890" spans="1:4" x14ac:dyDescent="0.55000000000000004">
      <c r="A1890" s="6">
        <v>1.647289932137508E+19</v>
      </c>
      <c r="B1890">
        <v>37</v>
      </c>
      <c r="C1890">
        <v>2</v>
      </c>
      <c r="D1890">
        <v>956</v>
      </c>
    </row>
    <row r="1891" spans="1:4" x14ac:dyDescent="0.55000000000000004">
      <c r="A1891" s="6">
        <v>1.647551731788708E+19</v>
      </c>
      <c r="B1891">
        <v>529</v>
      </c>
      <c r="C1891">
        <v>1</v>
      </c>
      <c r="D1891">
        <v>565</v>
      </c>
    </row>
    <row r="1892" spans="1:4" x14ac:dyDescent="0.55000000000000004">
      <c r="A1892" s="6">
        <v>1.6492270893537661E+19</v>
      </c>
      <c r="B1892">
        <v>1196</v>
      </c>
      <c r="C1892">
        <v>1</v>
      </c>
      <c r="D1892">
        <v>301</v>
      </c>
    </row>
    <row r="1893" spans="1:4" x14ac:dyDescent="0.55000000000000004">
      <c r="A1893" s="6">
        <v>1.6493277802192251E+19</v>
      </c>
      <c r="B1893">
        <v>1280</v>
      </c>
      <c r="C1893">
        <v>1</v>
      </c>
      <c r="D1893">
        <v>159</v>
      </c>
    </row>
    <row r="1894" spans="1:4" x14ac:dyDescent="0.55000000000000004">
      <c r="A1894" s="6">
        <v>1.649638375785138E+19</v>
      </c>
      <c r="B1894">
        <v>1010</v>
      </c>
      <c r="C1894">
        <v>1</v>
      </c>
      <c r="D1894">
        <v>287</v>
      </c>
    </row>
    <row r="1895" spans="1:4" x14ac:dyDescent="0.55000000000000004">
      <c r="A1895" s="6">
        <v>1.6500053159019121E+19</v>
      </c>
      <c r="B1895">
        <v>68</v>
      </c>
      <c r="C1895">
        <v>3</v>
      </c>
      <c r="D1895">
        <v>5370</v>
      </c>
    </row>
    <row r="1896" spans="1:4" x14ac:dyDescent="0.55000000000000004">
      <c r="A1896" s="6">
        <v>1.6508999763208319E+19</v>
      </c>
      <c r="B1896">
        <v>170</v>
      </c>
      <c r="C1896">
        <v>2</v>
      </c>
      <c r="D1896">
        <v>666</v>
      </c>
    </row>
    <row r="1897" spans="1:4" x14ac:dyDescent="0.55000000000000004">
      <c r="A1897" s="6">
        <v>1.650922240021025E+19</v>
      </c>
      <c r="B1897">
        <v>10</v>
      </c>
      <c r="C1897">
        <v>2</v>
      </c>
      <c r="D1897">
        <v>2002</v>
      </c>
    </row>
    <row r="1898" spans="1:4" x14ac:dyDescent="0.55000000000000004">
      <c r="A1898" s="6">
        <v>1.6530110765076251E+19</v>
      </c>
      <c r="B1898">
        <v>587</v>
      </c>
      <c r="C1898">
        <v>1</v>
      </c>
      <c r="D1898">
        <v>289</v>
      </c>
    </row>
    <row r="1899" spans="1:4" x14ac:dyDescent="0.55000000000000004">
      <c r="A1899" s="6">
        <v>1.65655313105826E+19</v>
      </c>
      <c r="B1899">
        <v>436</v>
      </c>
      <c r="C1899">
        <v>1</v>
      </c>
      <c r="D1899">
        <v>2738</v>
      </c>
    </row>
    <row r="1900" spans="1:4" x14ac:dyDescent="0.55000000000000004">
      <c r="A1900" s="6">
        <v>1.657858051704909E+19</v>
      </c>
      <c r="B1900">
        <v>586</v>
      </c>
      <c r="C1900">
        <v>1</v>
      </c>
      <c r="D1900">
        <v>479</v>
      </c>
    </row>
    <row r="1901" spans="1:4" x14ac:dyDescent="0.55000000000000004">
      <c r="A1901" s="6">
        <v>1.6583533684433861E+19</v>
      </c>
      <c r="B1901">
        <v>705</v>
      </c>
      <c r="C1901">
        <v>1</v>
      </c>
      <c r="D1901">
        <v>582</v>
      </c>
    </row>
    <row r="1902" spans="1:4" x14ac:dyDescent="0.55000000000000004">
      <c r="A1902" s="6">
        <v>1.659447872300382E+19</v>
      </c>
      <c r="B1902">
        <v>132</v>
      </c>
      <c r="C1902">
        <v>1</v>
      </c>
      <c r="D1902">
        <v>250</v>
      </c>
    </row>
    <row r="1903" spans="1:4" x14ac:dyDescent="0.55000000000000004">
      <c r="A1903" s="6">
        <v>1.6598048745780359E+19</v>
      </c>
      <c r="B1903">
        <v>659</v>
      </c>
      <c r="C1903">
        <v>1</v>
      </c>
      <c r="D1903">
        <v>5808</v>
      </c>
    </row>
    <row r="1904" spans="1:4" x14ac:dyDescent="0.55000000000000004">
      <c r="A1904" s="6">
        <v>1.6622913504659589E+19</v>
      </c>
      <c r="B1904">
        <v>986</v>
      </c>
      <c r="C1904">
        <v>1</v>
      </c>
      <c r="D1904">
        <v>6210</v>
      </c>
    </row>
    <row r="1905" spans="1:4" x14ac:dyDescent="0.55000000000000004">
      <c r="A1905" s="6">
        <v>1.6629909964198941E+19</v>
      </c>
      <c r="B1905">
        <v>1133</v>
      </c>
      <c r="C1905">
        <v>2</v>
      </c>
      <c r="D1905">
        <v>322</v>
      </c>
    </row>
    <row r="1906" spans="1:4" x14ac:dyDescent="0.55000000000000004">
      <c r="A1906" s="6">
        <v>1.6642459519053869E+19</v>
      </c>
      <c r="B1906">
        <v>25</v>
      </c>
      <c r="C1906">
        <v>1</v>
      </c>
      <c r="D1906">
        <v>114</v>
      </c>
    </row>
    <row r="1907" spans="1:4" x14ac:dyDescent="0.55000000000000004">
      <c r="A1907" s="6">
        <v>1.6644801055629181E+19</v>
      </c>
      <c r="B1907">
        <v>159</v>
      </c>
      <c r="C1907">
        <v>3</v>
      </c>
      <c r="D1907">
        <v>1160</v>
      </c>
    </row>
    <row r="1908" spans="1:4" x14ac:dyDescent="0.55000000000000004">
      <c r="A1908" s="6">
        <v>1.6648248093142911E+19</v>
      </c>
      <c r="B1908">
        <v>324</v>
      </c>
      <c r="C1908">
        <v>1</v>
      </c>
      <c r="D1908">
        <v>1030</v>
      </c>
    </row>
    <row r="1909" spans="1:4" x14ac:dyDescent="0.55000000000000004">
      <c r="A1909" s="6">
        <v>1.665388646333131E+19</v>
      </c>
      <c r="B1909">
        <v>211</v>
      </c>
      <c r="C1909">
        <v>2</v>
      </c>
      <c r="D1909">
        <v>3345</v>
      </c>
    </row>
    <row r="1910" spans="1:4" x14ac:dyDescent="0.55000000000000004">
      <c r="A1910" s="6">
        <v>1.6661811925703371E+19</v>
      </c>
      <c r="B1910">
        <v>208</v>
      </c>
      <c r="C1910">
        <v>1</v>
      </c>
      <c r="D1910">
        <v>229</v>
      </c>
    </row>
    <row r="1911" spans="1:4" x14ac:dyDescent="0.55000000000000004">
      <c r="A1911" s="6">
        <v>1.666302565504528E+19</v>
      </c>
      <c r="B1911">
        <v>529</v>
      </c>
      <c r="C1911">
        <v>1</v>
      </c>
      <c r="D1911">
        <v>354</v>
      </c>
    </row>
    <row r="1912" spans="1:4" x14ac:dyDescent="0.55000000000000004">
      <c r="A1912" s="6">
        <v>1.6665605870802829E+19</v>
      </c>
      <c r="B1912">
        <v>614</v>
      </c>
      <c r="C1912">
        <v>1</v>
      </c>
      <c r="D1912">
        <v>1600</v>
      </c>
    </row>
    <row r="1913" spans="1:4" x14ac:dyDescent="0.55000000000000004">
      <c r="A1913" s="6">
        <v>1.667248320503731E+19</v>
      </c>
      <c r="B1913">
        <v>559</v>
      </c>
      <c r="C1913">
        <v>1</v>
      </c>
      <c r="D1913">
        <v>162</v>
      </c>
    </row>
    <row r="1914" spans="1:4" x14ac:dyDescent="0.55000000000000004">
      <c r="A1914" s="6">
        <v>1.6680587595195251E+19</v>
      </c>
      <c r="B1914">
        <v>113</v>
      </c>
      <c r="C1914">
        <v>1</v>
      </c>
      <c r="D1914">
        <v>8300</v>
      </c>
    </row>
    <row r="1915" spans="1:4" x14ac:dyDescent="0.55000000000000004">
      <c r="A1915" s="6">
        <v>1.669079002947565E+19</v>
      </c>
      <c r="B1915">
        <v>1042</v>
      </c>
      <c r="C1915">
        <v>1</v>
      </c>
      <c r="D1915">
        <v>1650</v>
      </c>
    </row>
    <row r="1916" spans="1:4" x14ac:dyDescent="0.55000000000000004">
      <c r="A1916" s="6">
        <v>1.669571824780218E+19</v>
      </c>
      <c r="B1916">
        <v>588</v>
      </c>
      <c r="C1916">
        <v>2</v>
      </c>
      <c r="D1916">
        <v>1204</v>
      </c>
    </row>
    <row r="1917" spans="1:4" x14ac:dyDescent="0.55000000000000004">
      <c r="A1917" s="6">
        <v>1.6701735048719409E+19</v>
      </c>
      <c r="B1917">
        <v>26</v>
      </c>
      <c r="C1917">
        <v>1</v>
      </c>
      <c r="D1917">
        <v>676</v>
      </c>
    </row>
    <row r="1918" spans="1:4" x14ac:dyDescent="0.55000000000000004">
      <c r="A1918" s="6">
        <v>1.670911701449976E+19</v>
      </c>
      <c r="B1918">
        <v>221</v>
      </c>
      <c r="C1918">
        <v>2</v>
      </c>
      <c r="D1918">
        <v>1659</v>
      </c>
    </row>
    <row r="1919" spans="1:4" x14ac:dyDescent="0.55000000000000004">
      <c r="A1919" s="6">
        <v>1.67115837018606E+19</v>
      </c>
      <c r="B1919">
        <v>1009</v>
      </c>
      <c r="C1919">
        <v>1</v>
      </c>
      <c r="D1919">
        <v>741</v>
      </c>
    </row>
    <row r="1920" spans="1:4" x14ac:dyDescent="0.55000000000000004">
      <c r="A1920" s="6">
        <v>1.671170596198391E+19</v>
      </c>
      <c r="B1920">
        <v>82</v>
      </c>
      <c r="C1920">
        <v>3</v>
      </c>
      <c r="D1920">
        <v>2508</v>
      </c>
    </row>
    <row r="1921" spans="1:4" x14ac:dyDescent="0.55000000000000004">
      <c r="A1921" s="6">
        <v>1.6724399162421451E+19</v>
      </c>
      <c r="B1921">
        <v>42</v>
      </c>
      <c r="C1921">
        <v>1</v>
      </c>
      <c r="D1921">
        <v>1029</v>
      </c>
    </row>
    <row r="1922" spans="1:4" x14ac:dyDescent="0.55000000000000004">
      <c r="A1922" s="6">
        <v>1.673274317856599E+19</v>
      </c>
      <c r="B1922">
        <v>719</v>
      </c>
      <c r="C1922">
        <v>1</v>
      </c>
      <c r="D1922">
        <v>3030</v>
      </c>
    </row>
    <row r="1923" spans="1:4" x14ac:dyDescent="0.55000000000000004">
      <c r="A1923" s="6">
        <v>1.6742988234076729E+19</v>
      </c>
      <c r="B1923">
        <v>565</v>
      </c>
      <c r="C1923">
        <v>1</v>
      </c>
      <c r="D1923">
        <v>1378</v>
      </c>
    </row>
    <row r="1924" spans="1:4" x14ac:dyDescent="0.55000000000000004">
      <c r="A1924" s="6">
        <v>1.675114799969938E+19</v>
      </c>
      <c r="B1924">
        <v>284</v>
      </c>
      <c r="C1924">
        <v>1</v>
      </c>
      <c r="D1924">
        <v>1934</v>
      </c>
    </row>
    <row r="1925" spans="1:4" x14ac:dyDescent="0.55000000000000004">
      <c r="A1925" s="6">
        <v>1.675574844922743E+19</v>
      </c>
      <c r="B1925">
        <v>244</v>
      </c>
      <c r="C1925">
        <v>1</v>
      </c>
      <c r="D1925">
        <v>0</v>
      </c>
    </row>
    <row r="1926" spans="1:4" x14ac:dyDescent="0.55000000000000004">
      <c r="A1926" s="6">
        <v>1.676357141237368E+19</v>
      </c>
      <c r="B1926">
        <v>212</v>
      </c>
      <c r="C1926">
        <v>2</v>
      </c>
      <c r="D1926">
        <v>146</v>
      </c>
    </row>
    <row r="1927" spans="1:4" x14ac:dyDescent="0.55000000000000004">
      <c r="A1927" s="6">
        <v>1.6771555217699459E+19</v>
      </c>
      <c r="B1927">
        <v>223</v>
      </c>
      <c r="C1927">
        <v>1</v>
      </c>
      <c r="D1927">
        <v>806</v>
      </c>
    </row>
    <row r="1928" spans="1:4" x14ac:dyDescent="0.55000000000000004">
      <c r="A1928" s="6">
        <v>1.677269360641493E+19</v>
      </c>
      <c r="B1928">
        <v>810</v>
      </c>
      <c r="C1928">
        <v>1</v>
      </c>
      <c r="D1928">
        <v>59</v>
      </c>
    </row>
    <row r="1929" spans="1:4" x14ac:dyDescent="0.55000000000000004">
      <c r="A1929" s="6">
        <v>1.6777193568567321E+19</v>
      </c>
      <c r="B1929">
        <v>472</v>
      </c>
      <c r="C1929">
        <v>2</v>
      </c>
      <c r="D1929">
        <v>4252</v>
      </c>
    </row>
    <row r="1930" spans="1:4" x14ac:dyDescent="0.55000000000000004">
      <c r="A1930" s="6">
        <v>1.679598666735361E+19</v>
      </c>
      <c r="B1930">
        <v>654</v>
      </c>
      <c r="C1930">
        <v>1</v>
      </c>
      <c r="D1930">
        <v>1650</v>
      </c>
    </row>
    <row r="1931" spans="1:4" x14ac:dyDescent="0.55000000000000004">
      <c r="A1931" s="6">
        <v>1.6798863010277089E+19</v>
      </c>
      <c r="B1931">
        <v>116</v>
      </c>
      <c r="C1931">
        <v>2</v>
      </c>
      <c r="D1931">
        <v>2457</v>
      </c>
    </row>
    <row r="1932" spans="1:4" x14ac:dyDescent="0.55000000000000004">
      <c r="A1932" s="6">
        <v>1.68054783561169E+19</v>
      </c>
      <c r="B1932">
        <v>502</v>
      </c>
      <c r="C1932">
        <v>1</v>
      </c>
      <c r="D1932">
        <v>180</v>
      </c>
    </row>
    <row r="1933" spans="1:4" x14ac:dyDescent="0.55000000000000004">
      <c r="A1933" s="6">
        <v>1.6808117805538869E+19</v>
      </c>
      <c r="B1933">
        <v>131</v>
      </c>
      <c r="C1933">
        <v>3</v>
      </c>
      <c r="D1933">
        <v>2472</v>
      </c>
    </row>
    <row r="1934" spans="1:4" x14ac:dyDescent="0.55000000000000004">
      <c r="A1934" s="6">
        <v>1.681618764775117E+19</v>
      </c>
      <c r="B1934">
        <v>1116</v>
      </c>
      <c r="C1934">
        <v>1</v>
      </c>
      <c r="D1934">
        <v>0</v>
      </c>
    </row>
    <row r="1935" spans="1:4" x14ac:dyDescent="0.55000000000000004">
      <c r="A1935" s="6">
        <v>1.6828427059661771E+19</v>
      </c>
      <c r="B1935">
        <v>1076</v>
      </c>
      <c r="C1935">
        <v>1</v>
      </c>
      <c r="D1935">
        <v>87</v>
      </c>
    </row>
    <row r="1936" spans="1:4" x14ac:dyDescent="0.55000000000000004">
      <c r="A1936" s="6">
        <v>1.6835746633637411E+19</v>
      </c>
      <c r="B1936">
        <v>351</v>
      </c>
      <c r="C1936">
        <v>1</v>
      </c>
      <c r="D1936">
        <v>4740</v>
      </c>
    </row>
    <row r="1937" spans="1:4" x14ac:dyDescent="0.55000000000000004">
      <c r="A1937" s="6">
        <v>1.6843239157042E+19</v>
      </c>
      <c r="B1937">
        <v>831</v>
      </c>
      <c r="C1937">
        <v>1</v>
      </c>
      <c r="D1937">
        <v>523</v>
      </c>
    </row>
    <row r="1938" spans="1:4" x14ac:dyDescent="0.55000000000000004">
      <c r="A1938" s="6">
        <v>1.684783760662197E+19</v>
      </c>
      <c r="B1938">
        <v>180</v>
      </c>
      <c r="C1938">
        <v>1</v>
      </c>
      <c r="D1938">
        <v>778</v>
      </c>
    </row>
    <row r="1939" spans="1:4" x14ac:dyDescent="0.55000000000000004">
      <c r="A1939" s="6">
        <v>1.6848572918924741E+19</v>
      </c>
      <c r="B1939">
        <v>841</v>
      </c>
      <c r="C1939">
        <v>1</v>
      </c>
      <c r="D1939">
        <v>459</v>
      </c>
    </row>
    <row r="1940" spans="1:4" x14ac:dyDescent="0.55000000000000004">
      <c r="A1940" s="6">
        <v>1.685469016719214E+19</v>
      </c>
      <c r="B1940">
        <v>34</v>
      </c>
      <c r="C1940">
        <v>3</v>
      </c>
      <c r="D1940">
        <v>4796</v>
      </c>
    </row>
    <row r="1941" spans="1:4" x14ac:dyDescent="0.55000000000000004">
      <c r="A1941" s="6">
        <v>1.6854811492381499E+19</v>
      </c>
      <c r="B1941">
        <v>600</v>
      </c>
      <c r="C1941">
        <v>2</v>
      </c>
      <c r="D1941">
        <v>4830</v>
      </c>
    </row>
    <row r="1942" spans="1:4" x14ac:dyDescent="0.55000000000000004">
      <c r="A1942" s="6">
        <v>1.686344105198377E+19</v>
      </c>
      <c r="B1942">
        <v>992</v>
      </c>
      <c r="C1942">
        <v>1</v>
      </c>
      <c r="D1942">
        <v>48</v>
      </c>
    </row>
    <row r="1943" spans="1:4" x14ac:dyDescent="0.55000000000000004">
      <c r="A1943" s="6">
        <v>1.6866689558705279E+19</v>
      </c>
      <c r="B1943">
        <v>426</v>
      </c>
      <c r="C1943">
        <v>1</v>
      </c>
      <c r="D1943">
        <v>298</v>
      </c>
    </row>
    <row r="1944" spans="1:4" x14ac:dyDescent="0.55000000000000004">
      <c r="A1944" s="6">
        <v>1.6892110945713719E+19</v>
      </c>
      <c r="B1944">
        <v>30</v>
      </c>
      <c r="C1944">
        <v>2</v>
      </c>
      <c r="D1944">
        <v>3371</v>
      </c>
    </row>
    <row r="1945" spans="1:4" x14ac:dyDescent="0.55000000000000004">
      <c r="A1945" s="6">
        <v>1.690305298798652E+19</v>
      </c>
      <c r="B1945">
        <v>870</v>
      </c>
      <c r="C1945">
        <v>1</v>
      </c>
      <c r="D1945">
        <v>294</v>
      </c>
    </row>
    <row r="1946" spans="1:4" x14ac:dyDescent="0.55000000000000004">
      <c r="A1946" s="6">
        <v>1.6915568040098779E+19</v>
      </c>
      <c r="B1946">
        <v>382</v>
      </c>
      <c r="C1946">
        <v>2</v>
      </c>
      <c r="D1946">
        <v>4580</v>
      </c>
    </row>
    <row r="1947" spans="1:4" x14ac:dyDescent="0.55000000000000004">
      <c r="A1947" s="6">
        <v>1.691837402705929E+19</v>
      </c>
      <c r="B1947">
        <v>361</v>
      </c>
      <c r="C1947">
        <v>1</v>
      </c>
      <c r="D1947">
        <v>2128</v>
      </c>
    </row>
    <row r="1948" spans="1:4" x14ac:dyDescent="0.55000000000000004">
      <c r="A1948" s="6">
        <v>1.693120736134671E+19</v>
      </c>
      <c r="B1948">
        <v>30</v>
      </c>
      <c r="C1948">
        <v>1</v>
      </c>
      <c r="D1948">
        <v>5824</v>
      </c>
    </row>
    <row r="1949" spans="1:4" x14ac:dyDescent="0.55000000000000004">
      <c r="A1949" s="6">
        <v>1.6942746840926949E+19</v>
      </c>
      <c r="B1949">
        <v>413</v>
      </c>
      <c r="C1949">
        <v>3</v>
      </c>
      <c r="D1949">
        <v>4877</v>
      </c>
    </row>
    <row r="1950" spans="1:4" x14ac:dyDescent="0.55000000000000004">
      <c r="A1950" s="6">
        <v>1.6955885148495741E+19</v>
      </c>
      <c r="B1950">
        <v>1205</v>
      </c>
      <c r="C1950">
        <v>1</v>
      </c>
      <c r="D1950">
        <v>1020</v>
      </c>
    </row>
    <row r="1951" spans="1:4" x14ac:dyDescent="0.55000000000000004">
      <c r="A1951" s="6">
        <v>1.698347685318213E+19</v>
      </c>
      <c r="B1951">
        <v>88</v>
      </c>
      <c r="C1951">
        <v>1</v>
      </c>
      <c r="D1951">
        <v>2259</v>
      </c>
    </row>
    <row r="1952" spans="1:4" x14ac:dyDescent="0.55000000000000004">
      <c r="A1952" s="6">
        <v>1.698759223686554E+19</v>
      </c>
      <c r="B1952">
        <v>680</v>
      </c>
      <c r="C1952">
        <v>1</v>
      </c>
      <c r="D1952">
        <v>180</v>
      </c>
    </row>
    <row r="1953" spans="1:4" x14ac:dyDescent="0.55000000000000004">
      <c r="A1953" s="6">
        <v>1.701416435649273E+19</v>
      </c>
      <c r="B1953">
        <v>406</v>
      </c>
      <c r="C1953">
        <v>1</v>
      </c>
      <c r="D1953">
        <v>790</v>
      </c>
    </row>
    <row r="1954" spans="1:4" x14ac:dyDescent="0.55000000000000004">
      <c r="A1954" s="6">
        <v>1.70230953070644E+19</v>
      </c>
      <c r="B1954">
        <v>1019</v>
      </c>
      <c r="C1954">
        <v>2</v>
      </c>
      <c r="D1954">
        <v>7734</v>
      </c>
    </row>
    <row r="1955" spans="1:4" x14ac:dyDescent="0.55000000000000004">
      <c r="A1955" s="6">
        <v>1.7037595928923709E+19</v>
      </c>
      <c r="B1955">
        <v>474</v>
      </c>
      <c r="C1955">
        <v>1</v>
      </c>
      <c r="D1955">
        <v>109</v>
      </c>
    </row>
    <row r="1956" spans="1:4" x14ac:dyDescent="0.55000000000000004">
      <c r="A1956" s="6">
        <v>1.7057264045690991E+19</v>
      </c>
      <c r="B1956">
        <v>621</v>
      </c>
      <c r="C1956">
        <v>1</v>
      </c>
      <c r="D1956">
        <v>664</v>
      </c>
    </row>
    <row r="1957" spans="1:4" x14ac:dyDescent="0.55000000000000004">
      <c r="A1957" s="6">
        <v>1.706242839478902E+19</v>
      </c>
      <c r="B1957">
        <v>315</v>
      </c>
      <c r="C1957">
        <v>2</v>
      </c>
      <c r="D1957">
        <v>1128</v>
      </c>
    </row>
    <row r="1958" spans="1:4" x14ac:dyDescent="0.55000000000000004">
      <c r="A1958" s="6">
        <v>1.706372138256819E+19</v>
      </c>
      <c r="B1958">
        <v>495</v>
      </c>
      <c r="C1958">
        <v>1</v>
      </c>
      <c r="D1958">
        <v>6985</v>
      </c>
    </row>
    <row r="1959" spans="1:4" x14ac:dyDescent="0.55000000000000004">
      <c r="A1959" s="6">
        <v>1.7064670473445911E+19</v>
      </c>
      <c r="B1959">
        <v>1147</v>
      </c>
      <c r="C1959">
        <v>1</v>
      </c>
      <c r="D1959">
        <v>946</v>
      </c>
    </row>
    <row r="1960" spans="1:4" x14ac:dyDescent="0.55000000000000004">
      <c r="A1960" s="6">
        <v>1.708265761661158E+19</v>
      </c>
      <c r="B1960">
        <v>169</v>
      </c>
      <c r="C1960">
        <v>1</v>
      </c>
      <c r="D1960">
        <v>507</v>
      </c>
    </row>
    <row r="1961" spans="1:4" x14ac:dyDescent="0.55000000000000004">
      <c r="A1961" s="6">
        <v>1.709462589206537E+19</v>
      </c>
      <c r="B1961">
        <v>773</v>
      </c>
      <c r="C1961">
        <v>2</v>
      </c>
      <c r="D1961">
        <v>201</v>
      </c>
    </row>
    <row r="1962" spans="1:4" x14ac:dyDescent="0.55000000000000004">
      <c r="A1962" s="6">
        <v>1.7101959863354759E+19</v>
      </c>
      <c r="B1962">
        <v>13</v>
      </c>
      <c r="C1962">
        <v>1</v>
      </c>
      <c r="D1962">
        <v>2746</v>
      </c>
    </row>
    <row r="1963" spans="1:4" x14ac:dyDescent="0.55000000000000004">
      <c r="A1963" s="6">
        <v>1.710465129836398E+19</v>
      </c>
      <c r="B1963">
        <v>482</v>
      </c>
      <c r="C1963">
        <v>2</v>
      </c>
      <c r="D1963">
        <v>29998</v>
      </c>
    </row>
    <row r="1964" spans="1:4" x14ac:dyDescent="0.55000000000000004">
      <c r="A1964" s="6">
        <v>1.714029759982669E+19</v>
      </c>
      <c r="B1964">
        <v>481</v>
      </c>
      <c r="C1964">
        <v>1</v>
      </c>
      <c r="D1964">
        <v>660</v>
      </c>
    </row>
    <row r="1965" spans="1:4" x14ac:dyDescent="0.55000000000000004">
      <c r="A1965" s="6">
        <v>1.7144049074298481E+19</v>
      </c>
      <c r="B1965">
        <v>865</v>
      </c>
      <c r="C1965">
        <v>1</v>
      </c>
      <c r="D1965">
        <v>910</v>
      </c>
    </row>
    <row r="1966" spans="1:4" x14ac:dyDescent="0.55000000000000004">
      <c r="A1966" s="6">
        <v>1.718629974621432E+19</v>
      </c>
      <c r="B1966">
        <v>59</v>
      </c>
      <c r="C1966">
        <v>1</v>
      </c>
      <c r="D1966">
        <v>14985</v>
      </c>
    </row>
    <row r="1967" spans="1:4" x14ac:dyDescent="0.55000000000000004">
      <c r="A1967" s="6">
        <v>1.7193496902024231E+19</v>
      </c>
      <c r="B1967">
        <v>1078</v>
      </c>
      <c r="C1967">
        <v>1</v>
      </c>
      <c r="D1967">
        <v>1380</v>
      </c>
    </row>
    <row r="1968" spans="1:4" x14ac:dyDescent="0.55000000000000004">
      <c r="A1968" s="6">
        <v>1.719510632926738E+19</v>
      </c>
      <c r="B1968">
        <v>163</v>
      </c>
      <c r="C1968">
        <v>1</v>
      </c>
      <c r="D1968">
        <v>6450</v>
      </c>
    </row>
    <row r="1969" spans="1:4" x14ac:dyDescent="0.55000000000000004">
      <c r="A1969" s="6">
        <v>1.7195823753244791E+19</v>
      </c>
      <c r="B1969">
        <v>191</v>
      </c>
      <c r="C1969">
        <v>4</v>
      </c>
      <c r="D1969">
        <v>1652</v>
      </c>
    </row>
    <row r="1970" spans="1:4" x14ac:dyDescent="0.55000000000000004">
      <c r="A1970" s="6">
        <v>1.7208461186914601E+19</v>
      </c>
      <c r="B1970">
        <v>894</v>
      </c>
      <c r="C1970">
        <v>1</v>
      </c>
      <c r="D1970">
        <v>910</v>
      </c>
    </row>
    <row r="1971" spans="1:4" x14ac:dyDescent="0.55000000000000004">
      <c r="A1971" s="6">
        <v>1.721946926227517E+19</v>
      </c>
      <c r="B1971">
        <v>257</v>
      </c>
      <c r="C1971">
        <v>1</v>
      </c>
      <c r="D1971">
        <v>2246</v>
      </c>
    </row>
    <row r="1972" spans="1:4" x14ac:dyDescent="0.55000000000000004">
      <c r="A1972" s="6">
        <v>1.7230858762118959E+19</v>
      </c>
      <c r="B1972">
        <v>515</v>
      </c>
      <c r="C1972">
        <v>1</v>
      </c>
      <c r="D1972">
        <v>2640</v>
      </c>
    </row>
    <row r="1973" spans="1:4" x14ac:dyDescent="0.55000000000000004">
      <c r="A1973" s="6">
        <v>1.723221723891175E+19</v>
      </c>
      <c r="B1973">
        <v>298</v>
      </c>
      <c r="C1973">
        <v>1</v>
      </c>
      <c r="D1973">
        <v>1055</v>
      </c>
    </row>
    <row r="1974" spans="1:4" x14ac:dyDescent="0.55000000000000004">
      <c r="A1974" s="6">
        <v>1.7244448920772749E+19</v>
      </c>
      <c r="B1974">
        <v>793</v>
      </c>
      <c r="C1974">
        <v>1</v>
      </c>
      <c r="D1974">
        <v>899</v>
      </c>
    </row>
    <row r="1975" spans="1:4" x14ac:dyDescent="0.55000000000000004">
      <c r="A1975" s="6">
        <v>1.7245230336518781E+19</v>
      </c>
      <c r="B1975">
        <v>31</v>
      </c>
      <c r="C1975">
        <v>2</v>
      </c>
      <c r="D1975">
        <v>5298</v>
      </c>
    </row>
    <row r="1976" spans="1:4" x14ac:dyDescent="0.55000000000000004">
      <c r="A1976" s="6">
        <v>1.724830351432611E+19</v>
      </c>
      <c r="B1976">
        <v>704</v>
      </c>
      <c r="C1976">
        <v>1</v>
      </c>
      <c r="D1976">
        <v>11097</v>
      </c>
    </row>
    <row r="1977" spans="1:4" x14ac:dyDescent="0.55000000000000004">
      <c r="A1977" s="6">
        <v>1.7258647960044689E+19</v>
      </c>
      <c r="B1977">
        <v>250</v>
      </c>
      <c r="C1977">
        <v>2</v>
      </c>
      <c r="D1977">
        <v>10308</v>
      </c>
    </row>
    <row r="1978" spans="1:4" x14ac:dyDescent="0.55000000000000004">
      <c r="A1978" s="6">
        <v>1.726111980381961E+19</v>
      </c>
      <c r="B1978">
        <v>1162</v>
      </c>
      <c r="C1978">
        <v>1</v>
      </c>
      <c r="D1978">
        <v>850</v>
      </c>
    </row>
    <row r="1979" spans="1:4" x14ac:dyDescent="0.55000000000000004">
      <c r="A1979" s="6">
        <v>1.7263309530364119E+19</v>
      </c>
      <c r="B1979">
        <v>372</v>
      </c>
      <c r="C1979">
        <v>1</v>
      </c>
      <c r="D1979">
        <v>179</v>
      </c>
    </row>
    <row r="1980" spans="1:4" x14ac:dyDescent="0.55000000000000004">
      <c r="A1980" s="6">
        <v>1.7269617080025881E+19</v>
      </c>
      <c r="B1980">
        <v>815</v>
      </c>
      <c r="C1980">
        <v>1</v>
      </c>
      <c r="D1980">
        <v>318</v>
      </c>
    </row>
    <row r="1981" spans="1:4" x14ac:dyDescent="0.55000000000000004">
      <c r="A1981" s="6">
        <v>1.7273082300137501E+19</v>
      </c>
      <c r="B1981">
        <v>41</v>
      </c>
      <c r="C1981">
        <v>2</v>
      </c>
      <c r="D1981">
        <v>5276</v>
      </c>
    </row>
    <row r="1982" spans="1:4" x14ac:dyDescent="0.55000000000000004">
      <c r="A1982" s="6">
        <v>1.7279929082511679E+19</v>
      </c>
      <c r="B1982">
        <v>457</v>
      </c>
      <c r="C1982">
        <v>1</v>
      </c>
      <c r="D1982">
        <v>525</v>
      </c>
    </row>
    <row r="1983" spans="1:4" x14ac:dyDescent="0.55000000000000004">
      <c r="A1983" s="6">
        <v>1.728308851418914E+19</v>
      </c>
      <c r="B1983">
        <v>182</v>
      </c>
      <c r="C1983">
        <v>2</v>
      </c>
      <c r="D1983">
        <v>2783</v>
      </c>
    </row>
    <row r="1984" spans="1:4" x14ac:dyDescent="0.55000000000000004">
      <c r="A1984" s="6">
        <v>1.73052055947601E+19</v>
      </c>
      <c r="B1984">
        <v>366</v>
      </c>
      <c r="C1984">
        <v>2</v>
      </c>
      <c r="D1984">
        <v>584</v>
      </c>
    </row>
    <row r="1985" spans="1:4" x14ac:dyDescent="0.55000000000000004">
      <c r="A1985" s="6">
        <v>1.732278700249387E+19</v>
      </c>
      <c r="B1985">
        <v>1207</v>
      </c>
      <c r="C1985">
        <v>1</v>
      </c>
      <c r="D1985">
        <v>385</v>
      </c>
    </row>
    <row r="1986" spans="1:4" x14ac:dyDescent="0.55000000000000004">
      <c r="A1986" s="6">
        <v>1.732389790384988E+19</v>
      </c>
      <c r="B1986">
        <v>320</v>
      </c>
      <c r="C1986">
        <v>1</v>
      </c>
      <c r="D1986">
        <v>318</v>
      </c>
    </row>
    <row r="1987" spans="1:4" x14ac:dyDescent="0.55000000000000004">
      <c r="A1987" s="6">
        <v>1.732494372109797E+19</v>
      </c>
      <c r="B1987">
        <v>728</v>
      </c>
      <c r="C1987">
        <v>1</v>
      </c>
      <c r="D1987">
        <v>297</v>
      </c>
    </row>
    <row r="1988" spans="1:4" x14ac:dyDescent="0.55000000000000004">
      <c r="A1988" s="6">
        <v>1.733656592255062E+19</v>
      </c>
      <c r="B1988">
        <v>606</v>
      </c>
      <c r="C1988">
        <v>2</v>
      </c>
      <c r="D1988">
        <v>580</v>
      </c>
    </row>
    <row r="1989" spans="1:4" x14ac:dyDescent="0.55000000000000004">
      <c r="A1989" s="6">
        <v>1.733921156462797E+19</v>
      </c>
      <c r="B1989">
        <v>596</v>
      </c>
      <c r="C1989">
        <v>1</v>
      </c>
      <c r="D1989">
        <v>413</v>
      </c>
    </row>
    <row r="1990" spans="1:4" x14ac:dyDescent="0.55000000000000004">
      <c r="A1990" s="6">
        <v>1.73458171227591E+19</v>
      </c>
      <c r="B1990">
        <v>121</v>
      </c>
      <c r="C1990">
        <v>2</v>
      </c>
      <c r="D1990">
        <v>10804</v>
      </c>
    </row>
    <row r="1991" spans="1:4" x14ac:dyDescent="0.55000000000000004">
      <c r="A1991" s="6">
        <v>1.735436323830385E+19</v>
      </c>
      <c r="B1991">
        <v>1021</v>
      </c>
      <c r="C1991">
        <v>1</v>
      </c>
      <c r="D1991">
        <v>93</v>
      </c>
    </row>
    <row r="1992" spans="1:4" x14ac:dyDescent="0.55000000000000004">
      <c r="A1992" s="6">
        <v>1.736292643533686E+19</v>
      </c>
      <c r="B1992">
        <v>19</v>
      </c>
      <c r="C1992">
        <v>1</v>
      </c>
      <c r="D1992">
        <v>1420</v>
      </c>
    </row>
    <row r="1993" spans="1:4" x14ac:dyDescent="0.55000000000000004">
      <c r="A1993" s="6">
        <v>1.736830604946673E+19</v>
      </c>
      <c r="B1993">
        <v>109</v>
      </c>
      <c r="C1993">
        <v>1</v>
      </c>
      <c r="D1993">
        <v>56</v>
      </c>
    </row>
    <row r="1994" spans="1:4" x14ac:dyDescent="0.55000000000000004">
      <c r="A1994" s="6">
        <v>1.740634595632409E+19</v>
      </c>
      <c r="B1994">
        <v>72</v>
      </c>
      <c r="C1994">
        <v>1</v>
      </c>
      <c r="D1994">
        <v>258</v>
      </c>
    </row>
    <row r="1995" spans="1:4" x14ac:dyDescent="0.55000000000000004">
      <c r="A1995" s="6">
        <v>1.740972210083438E+19</v>
      </c>
      <c r="B1995">
        <v>1279</v>
      </c>
      <c r="C1995">
        <v>1</v>
      </c>
      <c r="D1995">
        <v>557</v>
      </c>
    </row>
    <row r="1996" spans="1:4" x14ac:dyDescent="0.55000000000000004">
      <c r="A1996" s="6">
        <v>1.7412463055458251E+19</v>
      </c>
      <c r="B1996">
        <v>48</v>
      </c>
      <c r="C1996">
        <v>1</v>
      </c>
      <c r="D1996">
        <v>246</v>
      </c>
    </row>
    <row r="1997" spans="1:4" x14ac:dyDescent="0.55000000000000004">
      <c r="A1997" s="6">
        <v>1.7418151020740131E+19</v>
      </c>
      <c r="B1997">
        <v>342</v>
      </c>
      <c r="C1997">
        <v>2</v>
      </c>
      <c r="D1997">
        <v>2832</v>
      </c>
    </row>
    <row r="1998" spans="1:4" x14ac:dyDescent="0.55000000000000004">
      <c r="A1998" s="6">
        <v>1.742464998586878E+19</v>
      </c>
      <c r="B1998">
        <v>639</v>
      </c>
      <c r="C1998">
        <v>2</v>
      </c>
      <c r="D1998">
        <v>116</v>
      </c>
    </row>
    <row r="1999" spans="1:4" x14ac:dyDescent="0.55000000000000004">
      <c r="A1999" s="6">
        <v>1.742902964721654E+19</v>
      </c>
      <c r="B1999">
        <v>454</v>
      </c>
      <c r="C1999">
        <v>2</v>
      </c>
      <c r="D1999">
        <v>493</v>
      </c>
    </row>
    <row r="2000" spans="1:4" x14ac:dyDescent="0.55000000000000004">
      <c r="A2000" s="6">
        <v>1.7433041954975681E+19</v>
      </c>
      <c r="B2000">
        <v>395</v>
      </c>
      <c r="C2000">
        <v>1</v>
      </c>
      <c r="D2000">
        <v>4790</v>
      </c>
    </row>
    <row r="2001" spans="1:4" x14ac:dyDescent="0.55000000000000004">
      <c r="A2001" s="6">
        <v>1.743565250362839E+19</v>
      </c>
      <c r="B2001">
        <v>495</v>
      </c>
      <c r="C2001">
        <v>1</v>
      </c>
      <c r="D2001">
        <v>25</v>
      </c>
    </row>
    <row r="2002" spans="1:4" x14ac:dyDescent="0.55000000000000004">
      <c r="A2002" s="6">
        <v>1.7450883086238751E+19</v>
      </c>
      <c r="B2002">
        <v>971</v>
      </c>
      <c r="C2002">
        <v>1</v>
      </c>
      <c r="D2002">
        <v>320</v>
      </c>
    </row>
    <row r="2003" spans="1:4" x14ac:dyDescent="0.55000000000000004">
      <c r="A2003" s="6">
        <v>1.7451978901407271E+19</v>
      </c>
      <c r="B2003">
        <v>50</v>
      </c>
      <c r="C2003">
        <v>1</v>
      </c>
      <c r="D2003">
        <v>7854</v>
      </c>
    </row>
    <row r="2004" spans="1:4" x14ac:dyDescent="0.55000000000000004">
      <c r="A2004" s="6">
        <v>1.746727121862911E+19</v>
      </c>
      <c r="B2004">
        <v>777</v>
      </c>
      <c r="C2004">
        <v>1</v>
      </c>
      <c r="D2004">
        <v>3790</v>
      </c>
    </row>
    <row r="2005" spans="1:4" x14ac:dyDescent="0.55000000000000004">
      <c r="A2005" s="6">
        <v>1.7470780820454431E+19</v>
      </c>
      <c r="B2005">
        <v>433</v>
      </c>
      <c r="C2005">
        <v>1</v>
      </c>
      <c r="D2005">
        <v>1521</v>
      </c>
    </row>
    <row r="2006" spans="1:4" x14ac:dyDescent="0.55000000000000004">
      <c r="A2006" s="6">
        <v>1.747375696233046E+19</v>
      </c>
      <c r="B2006">
        <v>104</v>
      </c>
      <c r="C2006">
        <v>2</v>
      </c>
      <c r="D2006">
        <v>4130.9399999999996</v>
      </c>
    </row>
    <row r="2007" spans="1:4" x14ac:dyDescent="0.55000000000000004">
      <c r="A2007" s="6">
        <v>1.748010131203328E+19</v>
      </c>
      <c r="B2007">
        <v>196</v>
      </c>
      <c r="C2007">
        <v>2</v>
      </c>
      <c r="D2007">
        <v>7046</v>
      </c>
    </row>
    <row r="2008" spans="1:4" x14ac:dyDescent="0.55000000000000004">
      <c r="A2008" s="6">
        <v>1.7493471554403781E+19</v>
      </c>
      <c r="B2008">
        <v>508</v>
      </c>
      <c r="C2008">
        <v>1</v>
      </c>
      <c r="D2008">
        <v>5999</v>
      </c>
    </row>
    <row r="2009" spans="1:4" x14ac:dyDescent="0.55000000000000004">
      <c r="A2009" s="6">
        <v>1.7496776803139271E+19</v>
      </c>
      <c r="B2009">
        <v>474</v>
      </c>
      <c r="C2009">
        <v>1</v>
      </c>
      <c r="D2009">
        <v>132</v>
      </c>
    </row>
    <row r="2010" spans="1:4" x14ac:dyDescent="0.55000000000000004">
      <c r="A2010" s="6">
        <v>1.750162701425094E+19</v>
      </c>
      <c r="B2010">
        <v>717</v>
      </c>
      <c r="C2010">
        <v>2</v>
      </c>
      <c r="D2010">
        <v>5475</v>
      </c>
    </row>
    <row r="2011" spans="1:4" x14ac:dyDescent="0.55000000000000004">
      <c r="A2011" s="6">
        <v>1.75160168514449E+19</v>
      </c>
      <c r="B2011">
        <v>672</v>
      </c>
      <c r="C2011">
        <v>1</v>
      </c>
      <c r="D2011">
        <v>901</v>
      </c>
    </row>
    <row r="2012" spans="1:4" x14ac:dyDescent="0.55000000000000004">
      <c r="A2012" s="6">
        <v>1.751723558495684E+19</v>
      </c>
      <c r="B2012">
        <v>39</v>
      </c>
      <c r="C2012">
        <v>1</v>
      </c>
      <c r="D2012">
        <v>1733</v>
      </c>
    </row>
    <row r="2013" spans="1:4" x14ac:dyDescent="0.55000000000000004">
      <c r="A2013" s="6">
        <v>1.7526643656921291E+19</v>
      </c>
      <c r="B2013">
        <v>506</v>
      </c>
      <c r="C2013">
        <v>1</v>
      </c>
      <c r="D2013">
        <v>3345</v>
      </c>
    </row>
    <row r="2014" spans="1:4" x14ac:dyDescent="0.55000000000000004">
      <c r="A2014" s="6">
        <v>1.753170147042397E+19</v>
      </c>
      <c r="B2014">
        <v>600</v>
      </c>
      <c r="C2014">
        <v>1</v>
      </c>
      <c r="D2014">
        <v>119</v>
      </c>
    </row>
    <row r="2015" spans="1:4" x14ac:dyDescent="0.55000000000000004">
      <c r="A2015" s="6">
        <v>1.7534096007983391E+19</v>
      </c>
      <c r="B2015">
        <v>551</v>
      </c>
      <c r="C2015">
        <v>1</v>
      </c>
      <c r="D2015">
        <v>297</v>
      </c>
    </row>
    <row r="2016" spans="1:4" x14ac:dyDescent="0.55000000000000004">
      <c r="A2016" s="6">
        <v>1.753490343112645E+19</v>
      </c>
      <c r="B2016">
        <v>567</v>
      </c>
      <c r="C2016">
        <v>2</v>
      </c>
      <c r="D2016">
        <v>1614</v>
      </c>
    </row>
    <row r="2017" spans="1:4" x14ac:dyDescent="0.55000000000000004">
      <c r="A2017" s="6">
        <v>1.753867985580528E+19</v>
      </c>
      <c r="B2017">
        <v>389</v>
      </c>
      <c r="C2017">
        <v>2</v>
      </c>
      <c r="D2017">
        <v>1848</v>
      </c>
    </row>
    <row r="2018" spans="1:4" x14ac:dyDescent="0.55000000000000004">
      <c r="A2018" s="6">
        <v>1.755281943127748E+19</v>
      </c>
      <c r="B2018">
        <v>648</v>
      </c>
      <c r="C2018">
        <v>1</v>
      </c>
      <c r="D2018">
        <v>9660</v>
      </c>
    </row>
    <row r="2019" spans="1:4" x14ac:dyDescent="0.55000000000000004">
      <c r="A2019" s="6">
        <v>1.7553228398623441E+19</v>
      </c>
      <c r="B2019">
        <v>115</v>
      </c>
      <c r="C2019">
        <v>1</v>
      </c>
      <c r="D2019">
        <v>838</v>
      </c>
    </row>
    <row r="2020" spans="1:4" x14ac:dyDescent="0.55000000000000004">
      <c r="A2020" s="6">
        <v>1.755766016541449E+19</v>
      </c>
      <c r="B2020">
        <v>311</v>
      </c>
      <c r="C2020">
        <v>1</v>
      </c>
      <c r="D2020">
        <v>255</v>
      </c>
    </row>
    <row r="2021" spans="1:4" x14ac:dyDescent="0.55000000000000004">
      <c r="A2021" s="6">
        <v>1.7563684205649531E+19</v>
      </c>
      <c r="B2021">
        <v>404</v>
      </c>
      <c r="C2021">
        <v>1</v>
      </c>
      <c r="D2021">
        <v>155</v>
      </c>
    </row>
    <row r="2022" spans="1:4" x14ac:dyDescent="0.55000000000000004">
      <c r="A2022" s="6">
        <v>1.756406149997612E+19</v>
      </c>
      <c r="B2022">
        <v>22</v>
      </c>
      <c r="C2022">
        <v>1</v>
      </c>
      <c r="D2022">
        <v>1115</v>
      </c>
    </row>
    <row r="2023" spans="1:4" x14ac:dyDescent="0.55000000000000004">
      <c r="A2023" s="6">
        <v>1.757283772298506E+19</v>
      </c>
      <c r="B2023">
        <v>619</v>
      </c>
      <c r="C2023">
        <v>2</v>
      </c>
      <c r="D2023">
        <v>1951</v>
      </c>
    </row>
    <row r="2024" spans="1:4" x14ac:dyDescent="0.55000000000000004">
      <c r="A2024" s="6">
        <v>1.757412242164845E+19</v>
      </c>
      <c r="B2024">
        <v>413</v>
      </c>
      <c r="C2024">
        <v>1</v>
      </c>
      <c r="D2024">
        <v>440</v>
      </c>
    </row>
    <row r="2025" spans="1:4" x14ac:dyDescent="0.55000000000000004">
      <c r="A2025" s="6">
        <v>1.7578254558691111E+19</v>
      </c>
      <c r="B2025">
        <v>280</v>
      </c>
      <c r="C2025">
        <v>1</v>
      </c>
      <c r="D2025">
        <v>2837</v>
      </c>
    </row>
    <row r="2026" spans="1:4" x14ac:dyDescent="0.55000000000000004">
      <c r="A2026" s="6">
        <v>1.758266025071504E+19</v>
      </c>
      <c r="B2026">
        <v>22</v>
      </c>
      <c r="C2026">
        <v>1</v>
      </c>
      <c r="D2026">
        <v>1336</v>
      </c>
    </row>
    <row r="2027" spans="1:4" x14ac:dyDescent="0.55000000000000004">
      <c r="A2027" s="6">
        <v>1.7584192800198799E+19</v>
      </c>
      <c r="B2027">
        <v>785</v>
      </c>
      <c r="C2027">
        <v>2</v>
      </c>
      <c r="D2027">
        <v>374</v>
      </c>
    </row>
    <row r="2028" spans="1:4" x14ac:dyDescent="0.55000000000000004">
      <c r="A2028" s="6">
        <v>1.758784029319852E+19</v>
      </c>
      <c r="B2028">
        <v>955</v>
      </c>
      <c r="C2028">
        <v>1</v>
      </c>
      <c r="D2028">
        <v>1576</v>
      </c>
    </row>
    <row r="2029" spans="1:4" x14ac:dyDescent="0.55000000000000004">
      <c r="A2029" s="6">
        <v>1.76099964690646E+19</v>
      </c>
      <c r="B2029">
        <v>332</v>
      </c>
      <c r="C2029">
        <v>1</v>
      </c>
      <c r="D2029">
        <v>335</v>
      </c>
    </row>
    <row r="2030" spans="1:4" x14ac:dyDescent="0.55000000000000004">
      <c r="A2030" s="6">
        <v>1.7614093725734171E+19</v>
      </c>
      <c r="B2030">
        <v>907</v>
      </c>
      <c r="C2030">
        <v>1</v>
      </c>
      <c r="D2030">
        <v>6975</v>
      </c>
    </row>
    <row r="2031" spans="1:4" x14ac:dyDescent="0.55000000000000004">
      <c r="A2031" s="6">
        <v>1.761906681546685E+19</v>
      </c>
      <c r="B2031">
        <v>118</v>
      </c>
      <c r="C2031">
        <v>3</v>
      </c>
      <c r="D2031">
        <v>3867</v>
      </c>
    </row>
    <row r="2032" spans="1:4" x14ac:dyDescent="0.55000000000000004">
      <c r="A2032" s="6">
        <v>1.763360733464313E+19</v>
      </c>
      <c r="B2032">
        <v>430</v>
      </c>
      <c r="C2032">
        <v>1</v>
      </c>
      <c r="D2032">
        <v>885</v>
      </c>
    </row>
    <row r="2033" spans="1:4" x14ac:dyDescent="0.55000000000000004">
      <c r="A2033" s="6">
        <v>1.764911761322428E+19</v>
      </c>
      <c r="B2033">
        <v>149</v>
      </c>
      <c r="C2033">
        <v>3</v>
      </c>
      <c r="D2033">
        <v>8566</v>
      </c>
    </row>
    <row r="2034" spans="1:4" x14ac:dyDescent="0.55000000000000004">
      <c r="A2034" s="6">
        <v>1.765545775684148E+19</v>
      </c>
      <c r="B2034">
        <v>1006</v>
      </c>
      <c r="C2034">
        <v>1</v>
      </c>
      <c r="D2034">
        <v>827</v>
      </c>
    </row>
    <row r="2035" spans="1:4" x14ac:dyDescent="0.55000000000000004">
      <c r="A2035" s="6">
        <v>1.765569553264256E+19</v>
      </c>
      <c r="B2035">
        <v>135</v>
      </c>
      <c r="C2035">
        <v>1</v>
      </c>
      <c r="D2035">
        <v>988</v>
      </c>
    </row>
    <row r="2036" spans="1:4" x14ac:dyDescent="0.55000000000000004">
      <c r="A2036" s="6">
        <v>1.765727192276854E+19</v>
      </c>
      <c r="B2036">
        <v>296</v>
      </c>
      <c r="C2036">
        <v>2</v>
      </c>
      <c r="D2036">
        <v>2317</v>
      </c>
    </row>
    <row r="2037" spans="1:4" x14ac:dyDescent="0.55000000000000004">
      <c r="A2037" s="6">
        <v>1.765796912698626E+19</v>
      </c>
      <c r="B2037">
        <v>726</v>
      </c>
      <c r="C2037">
        <v>1</v>
      </c>
      <c r="D2037">
        <v>2135</v>
      </c>
    </row>
    <row r="2038" spans="1:4" x14ac:dyDescent="0.55000000000000004">
      <c r="A2038" s="6">
        <v>1.766031630693997E+19</v>
      </c>
      <c r="B2038">
        <v>413</v>
      </c>
      <c r="C2038">
        <v>2</v>
      </c>
      <c r="D2038">
        <v>1430</v>
      </c>
    </row>
    <row r="2039" spans="1:4" x14ac:dyDescent="0.55000000000000004">
      <c r="A2039" s="6">
        <v>1.7685824260975499E+19</v>
      </c>
      <c r="B2039">
        <v>96</v>
      </c>
      <c r="C2039">
        <v>1</v>
      </c>
      <c r="D2039">
        <v>311</v>
      </c>
    </row>
    <row r="2040" spans="1:4" x14ac:dyDescent="0.55000000000000004">
      <c r="A2040" s="6">
        <v>1.76949978522245E+19</v>
      </c>
      <c r="B2040">
        <v>33</v>
      </c>
      <c r="C2040">
        <v>3</v>
      </c>
      <c r="D2040">
        <v>601</v>
      </c>
    </row>
    <row r="2041" spans="1:4" x14ac:dyDescent="0.55000000000000004">
      <c r="A2041" s="6">
        <v>1.769683217212792E+19</v>
      </c>
      <c r="B2041">
        <v>449</v>
      </c>
      <c r="C2041">
        <v>2</v>
      </c>
      <c r="D2041">
        <v>7075</v>
      </c>
    </row>
    <row r="2042" spans="1:4" x14ac:dyDescent="0.55000000000000004">
      <c r="A2042" s="6">
        <v>1.76979563705582E+19</v>
      </c>
      <c r="B2042">
        <v>480</v>
      </c>
      <c r="C2042">
        <v>1</v>
      </c>
      <c r="D2042">
        <v>3613</v>
      </c>
    </row>
    <row r="2043" spans="1:4" x14ac:dyDescent="0.55000000000000004">
      <c r="A2043" s="6">
        <v>1.7701496478709729E+19</v>
      </c>
      <c r="B2043">
        <v>105</v>
      </c>
      <c r="C2043">
        <v>1</v>
      </c>
      <c r="D2043">
        <v>380</v>
      </c>
    </row>
    <row r="2044" spans="1:4" x14ac:dyDescent="0.55000000000000004">
      <c r="A2044" s="6">
        <v>1.7714807636284101E+19</v>
      </c>
      <c r="B2044">
        <v>119</v>
      </c>
      <c r="C2044">
        <v>3</v>
      </c>
      <c r="D2044">
        <v>7228</v>
      </c>
    </row>
    <row r="2045" spans="1:4" x14ac:dyDescent="0.55000000000000004">
      <c r="A2045" s="6">
        <v>1.7718341296387379E+19</v>
      </c>
      <c r="B2045">
        <v>1131</v>
      </c>
      <c r="C2045">
        <v>2</v>
      </c>
      <c r="D2045">
        <v>1738</v>
      </c>
    </row>
    <row r="2046" spans="1:4" x14ac:dyDescent="0.55000000000000004">
      <c r="A2046" s="6">
        <v>1.7729421144758659E+19</v>
      </c>
      <c r="B2046">
        <v>416</v>
      </c>
      <c r="C2046">
        <v>1</v>
      </c>
      <c r="D2046">
        <v>563</v>
      </c>
    </row>
    <row r="2047" spans="1:4" x14ac:dyDescent="0.55000000000000004">
      <c r="A2047" s="6">
        <v>1.7735722794972459E+19</v>
      </c>
      <c r="B2047">
        <v>909</v>
      </c>
      <c r="C2047">
        <v>1</v>
      </c>
      <c r="D2047">
        <v>1507</v>
      </c>
    </row>
    <row r="2048" spans="1:4" x14ac:dyDescent="0.55000000000000004">
      <c r="A2048" s="6">
        <v>1.7742685391402451E+19</v>
      </c>
      <c r="B2048">
        <v>1014</v>
      </c>
      <c r="C2048">
        <v>1</v>
      </c>
      <c r="D2048">
        <v>561</v>
      </c>
    </row>
    <row r="2049" spans="1:4" x14ac:dyDescent="0.55000000000000004">
      <c r="A2049" s="6">
        <v>1.7751398782340669E+19</v>
      </c>
      <c r="B2049">
        <v>745</v>
      </c>
      <c r="C2049">
        <v>1</v>
      </c>
      <c r="D2049">
        <v>489</v>
      </c>
    </row>
    <row r="2050" spans="1:4" x14ac:dyDescent="0.55000000000000004">
      <c r="A2050" s="6">
        <v>1.775150302071936E+19</v>
      </c>
      <c r="B2050">
        <v>169</v>
      </c>
      <c r="C2050">
        <v>1</v>
      </c>
      <c r="D2050">
        <v>453</v>
      </c>
    </row>
    <row r="2051" spans="1:4" x14ac:dyDescent="0.55000000000000004">
      <c r="A2051" s="6">
        <v>1.7777396627559979E+19</v>
      </c>
      <c r="B2051">
        <v>84</v>
      </c>
      <c r="C2051">
        <v>1</v>
      </c>
      <c r="D2051">
        <v>699</v>
      </c>
    </row>
    <row r="2052" spans="1:4" x14ac:dyDescent="0.55000000000000004">
      <c r="A2052" s="6">
        <v>1.7784724407515521E+19</v>
      </c>
      <c r="B2052">
        <v>93</v>
      </c>
      <c r="C2052">
        <v>2</v>
      </c>
      <c r="D2052">
        <v>1627</v>
      </c>
    </row>
    <row r="2053" spans="1:4" x14ac:dyDescent="0.55000000000000004">
      <c r="A2053" s="6">
        <v>1.7799815536532591E+19</v>
      </c>
      <c r="B2053">
        <v>52</v>
      </c>
      <c r="C2053">
        <v>2</v>
      </c>
      <c r="D2053">
        <v>1745</v>
      </c>
    </row>
    <row r="2054" spans="1:4" x14ac:dyDescent="0.55000000000000004">
      <c r="A2054" s="6">
        <v>1.780933424292872E+19</v>
      </c>
      <c r="B2054">
        <v>205</v>
      </c>
      <c r="C2054">
        <v>2</v>
      </c>
      <c r="D2054">
        <v>2143</v>
      </c>
    </row>
    <row r="2055" spans="1:4" x14ac:dyDescent="0.55000000000000004">
      <c r="A2055" s="6">
        <v>1.7830572075161309E+19</v>
      </c>
      <c r="B2055">
        <v>706</v>
      </c>
      <c r="C2055">
        <v>2</v>
      </c>
      <c r="D2055">
        <v>2045</v>
      </c>
    </row>
    <row r="2056" spans="1:4" x14ac:dyDescent="0.55000000000000004">
      <c r="A2056" s="6">
        <v>1.783469102070373E+19</v>
      </c>
      <c r="B2056">
        <v>1312</v>
      </c>
      <c r="C2056">
        <v>1</v>
      </c>
      <c r="D2056">
        <v>117</v>
      </c>
    </row>
    <row r="2057" spans="1:4" x14ac:dyDescent="0.55000000000000004">
      <c r="A2057" s="6">
        <v>1.784571887939184E+19</v>
      </c>
      <c r="B2057">
        <v>565</v>
      </c>
      <c r="C2057">
        <v>2</v>
      </c>
      <c r="D2057">
        <v>537</v>
      </c>
    </row>
    <row r="2058" spans="1:4" x14ac:dyDescent="0.55000000000000004">
      <c r="A2058" s="6">
        <v>1.7849563115073061E+19</v>
      </c>
      <c r="B2058">
        <v>634</v>
      </c>
      <c r="C2058">
        <v>3</v>
      </c>
      <c r="D2058">
        <v>2936</v>
      </c>
    </row>
    <row r="2059" spans="1:4" x14ac:dyDescent="0.55000000000000004">
      <c r="A2059" s="6">
        <v>1.7855228102245231E+19</v>
      </c>
      <c r="B2059">
        <v>668</v>
      </c>
      <c r="C2059">
        <v>1</v>
      </c>
      <c r="D2059">
        <v>1494</v>
      </c>
    </row>
    <row r="2060" spans="1:4" x14ac:dyDescent="0.55000000000000004">
      <c r="A2060" s="6">
        <v>1.786116080626841E+19</v>
      </c>
      <c r="B2060">
        <v>195</v>
      </c>
      <c r="C2060">
        <v>2</v>
      </c>
      <c r="D2060">
        <v>8698</v>
      </c>
    </row>
    <row r="2061" spans="1:4" x14ac:dyDescent="0.55000000000000004">
      <c r="A2061" s="6">
        <v>1.78681892567855E+19</v>
      </c>
      <c r="B2061">
        <v>125</v>
      </c>
      <c r="C2061">
        <v>2</v>
      </c>
      <c r="D2061">
        <v>1816</v>
      </c>
    </row>
    <row r="2062" spans="1:4" x14ac:dyDescent="0.55000000000000004">
      <c r="A2062" s="6">
        <v>1.787517190708941E+19</v>
      </c>
      <c r="B2062">
        <v>445</v>
      </c>
      <c r="C2062">
        <v>1</v>
      </c>
      <c r="D2062">
        <v>419</v>
      </c>
    </row>
    <row r="2063" spans="1:4" x14ac:dyDescent="0.55000000000000004">
      <c r="A2063" s="6">
        <v>1.7876883666677039E+19</v>
      </c>
      <c r="B2063">
        <v>376</v>
      </c>
      <c r="C2063">
        <v>3</v>
      </c>
      <c r="D2063">
        <v>18802</v>
      </c>
    </row>
    <row r="2064" spans="1:4" x14ac:dyDescent="0.55000000000000004">
      <c r="A2064" s="6">
        <v>1.790383277032789E+19</v>
      </c>
      <c r="B2064">
        <v>462</v>
      </c>
      <c r="C2064">
        <v>1</v>
      </c>
      <c r="D2064">
        <v>238</v>
      </c>
    </row>
    <row r="2065" spans="1:4" x14ac:dyDescent="0.55000000000000004">
      <c r="A2065" s="6">
        <v>1.7935006761815679E+19</v>
      </c>
      <c r="B2065">
        <v>757</v>
      </c>
      <c r="C2065">
        <v>1</v>
      </c>
      <c r="D2065">
        <v>2960</v>
      </c>
    </row>
    <row r="2066" spans="1:4" x14ac:dyDescent="0.55000000000000004">
      <c r="A2066" s="6">
        <v>1.793701719582576E+19</v>
      </c>
      <c r="B2066">
        <v>490</v>
      </c>
      <c r="C2066">
        <v>1</v>
      </c>
      <c r="D2066">
        <v>4265</v>
      </c>
    </row>
    <row r="2067" spans="1:4" x14ac:dyDescent="0.55000000000000004">
      <c r="A2067" s="6">
        <v>1.795121824473095E+19</v>
      </c>
      <c r="B2067">
        <v>461</v>
      </c>
      <c r="C2067">
        <v>1</v>
      </c>
      <c r="D2067">
        <v>29</v>
      </c>
    </row>
    <row r="2068" spans="1:4" x14ac:dyDescent="0.55000000000000004">
      <c r="A2068" s="6">
        <v>1.7951873441832131E+19</v>
      </c>
      <c r="B2068">
        <v>885</v>
      </c>
      <c r="C2068">
        <v>1</v>
      </c>
      <c r="D2068">
        <v>99</v>
      </c>
    </row>
    <row r="2069" spans="1:4" x14ac:dyDescent="0.55000000000000004">
      <c r="A2069" s="6">
        <v>1.7953314412259219E+19</v>
      </c>
      <c r="B2069">
        <v>455</v>
      </c>
      <c r="C2069">
        <v>1</v>
      </c>
      <c r="D2069">
        <v>4390</v>
      </c>
    </row>
    <row r="2070" spans="1:4" x14ac:dyDescent="0.55000000000000004">
      <c r="A2070" s="6">
        <v>1.7955982481916549E+19</v>
      </c>
      <c r="B2070">
        <v>981</v>
      </c>
      <c r="C2070">
        <v>2</v>
      </c>
      <c r="D2070">
        <v>1360</v>
      </c>
    </row>
    <row r="2071" spans="1:4" x14ac:dyDescent="0.55000000000000004">
      <c r="A2071" s="6">
        <v>1.7961524696104471E+19</v>
      </c>
      <c r="B2071">
        <v>290</v>
      </c>
      <c r="C2071">
        <v>1</v>
      </c>
      <c r="D2071">
        <v>129</v>
      </c>
    </row>
    <row r="2072" spans="1:4" x14ac:dyDescent="0.55000000000000004">
      <c r="A2072" s="6">
        <v>1.7968689873967131E+19</v>
      </c>
      <c r="B2072">
        <v>173</v>
      </c>
      <c r="C2072">
        <v>1</v>
      </c>
      <c r="D2072">
        <v>2874</v>
      </c>
    </row>
    <row r="2073" spans="1:4" x14ac:dyDescent="0.55000000000000004">
      <c r="A2073" s="6">
        <v>1.7972254181524779E+19</v>
      </c>
      <c r="B2073">
        <v>1205</v>
      </c>
      <c r="C2073">
        <v>1</v>
      </c>
      <c r="D2073">
        <v>2415</v>
      </c>
    </row>
    <row r="2074" spans="1:4" x14ac:dyDescent="0.55000000000000004">
      <c r="A2074" s="6">
        <v>1.7976821978033129E+19</v>
      </c>
      <c r="B2074">
        <v>959</v>
      </c>
      <c r="C2074">
        <v>1</v>
      </c>
      <c r="D2074">
        <v>1197</v>
      </c>
    </row>
    <row r="2075" spans="1:4" x14ac:dyDescent="0.55000000000000004">
      <c r="A2075" s="6">
        <v>1.7989877110360539E+19</v>
      </c>
      <c r="B2075">
        <v>333</v>
      </c>
      <c r="C2075">
        <v>1</v>
      </c>
      <c r="D2075">
        <v>1139</v>
      </c>
    </row>
    <row r="2076" spans="1:4" x14ac:dyDescent="0.55000000000000004">
      <c r="A2076" s="6">
        <v>1.799160600154973E+19</v>
      </c>
      <c r="B2076">
        <v>510</v>
      </c>
      <c r="C2076">
        <v>2</v>
      </c>
      <c r="D2076">
        <v>591</v>
      </c>
    </row>
    <row r="2077" spans="1:4" x14ac:dyDescent="0.55000000000000004">
      <c r="A2077" s="6">
        <v>1.8004859116404771E+19</v>
      </c>
      <c r="B2077">
        <v>519</v>
      </c>
      <c r="C2077">
        <v>1</v>
      </c>
      <c r="D2077">
        <v>238</v>
      </c>
    </row>
    <row r="2078" spans="1:4" x14ac:dyDescent="0.55000000000000004">
      <c r="A2078" s="6">
        <v>1.8017309185027719E+19</v>
      </c>
      <c r="B2078">
        <v>75</v>
      </c>
      <c r="C2078">
        <v>2</v>
      </c>
      <c r="D2078">
        <v>2054</v>
      </c>
    </row>
    <row r="2079" spans="1:4" x14ac:dyDescent="0.55000000000000004">
      <c r="A2079" s="6">
        <v>1.802287598892639E+19</v>
      </c>
      <c r="B2079">
        <v>694</v>
      </c>
      <c r="C2079">
        <v>2</v>
      </c>
      <c r="D2079">
        <v>1630</v>
      </c>
    </row>
    <row r="2080" spans="1:4" x14ac:dyDescent="0.55000000000000004">
      <c r="A2080" s="6">
        <v>1.802481165492719E+19</v>
      </c>
      <c r="B2080">
        <v>359</v>
      </c>
      <c r="C2080">
        <v>1</v>
      </c>
      <c r="D2080">
        <v>10848</v>
      </c>
    </row>
    <row r="2081" spans="1:4" x14ac:dyDescent="0.55000000000000004">
      <c r="A2081" s="6">
        <v>1.8030433549853759E+19</v>
      </c>
      <c r="B2081">
        <v>724</v>
      </c>
      <c r="C2081">
        <v>3</v>
      </c>
      <c r="D2081">
        <v>2383</v>
      </c>
    </row>
    <row r="2082" spans="1:4" x14ac:dyDescent="0.55000000000000004">
      <c r="A2082" s="6">
        <v>1.80353009413986E+19</v>
      </c>
      <c r="B2082">
        <v>431</v>
      </c>
      <c r="C2082">
        <v>1</v>
      </c>
      <c r="D2082">
        <v>2793</v>
      </c>
    </row>
    <row r="2083" spans="1:4" x14ac:dyDescent="0.55000000000000004">
      <c r="A2083" s="6">
        <v>1.8064953439810699E+19</v>
      </c>
      <c r="B2083">
        <v>713</v>
      </c>
      <c r="C2083">
        <v>2</v>
      </c>
      <c r="D2083">
        <v>12117</v>
      </c>
    </row>
    <row r="2084" spans="1:4" x14ac:dyDescent="0.55000000000000004">
      <c r="A2084" s="6">
        <v>1.8069216572077091E+19</v>
      </c>
      <c r="B2084">
        <v>14</v>
      </c>
      <c r="C2084">
        <v>1</v>
      </c>
      <c r="D2084">
        <v>2024</v>
      </c>
    </row>
    <row r="2085" spans="1:4" x14ac:dyDescent="0.55000000000000004">
      <c r="A2085" s="6">
        <v>1.8075727275591049E+19</v>
      </c>
      <c r="B2085">
        <v>4</v>
      </c>
      <c r="C2085">
        <v>1</v>
      </c>
      <c r="D2085">
        <v>286</v>
      </c>
    </row>
    <row r="2086" spans="1:4" x14ac:dyDescent="0.55000000000000004">
      <c r="A2086" s="6">
        <v>1.808540139662284E+19</v>
      </c>
      <c r="B2086">
        <v>258</v>
      </c>
      <c r="C2086">
        <v>1</v>
      </c>
      <c r="D2086">
        <v>676</v>
      </c>
    </row>
    <row r="2087" spans="1:4" x14ac:dyDescent="0.55000000000000004">
      <c r="A2087" s="6">
        <v>1.8095816446598441E+19</v>
      </c>
      <c r="B2087">
        <v>593</v>
      </c>
      <c r="C2087">
        <v>2</v>
      </c>
      <c r="D2087">
        <v>2022</v>
      </c>
    </row>
    <row r="2088" spans="1:4" x14ac:dyDescent="0.55000000000000004">
      <c r="A2088" s="6">
        <v>1.8105990993554E+19</v>
      </c>
      <c r="B2088">
        <v>105</v>
      </c>
      <c r="C2088">
        <v>2</v>
      </c>
      <c r="D2088">
        <v>877</v>
      </c>
    </row>
    <row r="2089" spans="1:4" x14ac:dyDescent="0.55000000000000004">
      <c r="A2089" s="6">
        <v>1.811954021724073E+19</v>
      </c>
      <c r="B2089">
        <v>1327</v>
      </c>
      <c r="C2089">
        <v>1</v>
      </c>
      <c r="D2089">
        <v>5010</v>
      </c>
    </row>
    <row r="2090" spans="1:4" x14ac:dyDescent="0.55000000000000004">
      <c r="A2090" s="6">
        <v>1.8137111385135651E+19</v>
      </c>
      <c r="B2090">
        <v>1024</v>
      </c>
      <c r="C2090">
        <v>3</v>
      </c>
      <c r="D2090">
        <v>316</v>
      </c>
    </row>
    <row r="2091" spans="1:4" x14ac:dyDescent="0.55000000000000004">
      <c r="A2091" s="6">
        <v>1.81502859460929E+19</v>
      </c>
      <c r="B2091">
        <v>45</v>
      </c>
      <c r="C2091">
        <v>1</v>
      </c>
      <c r="D2091">
        <v>808</v>
      </c>
    </row>
    <row r="2092" spans="1:4" x14ac:dyDescent="0.55000000000000004">
      <c r="A2092" s="6">
        <v>1.8150622644532199E+19</v>
      </c>
      <c r="B2092">
        <v>316</v>
      </c>
      <c r="C2092">
        <v>2</v>
      </c>
      <c r="D2092">
        <v>6569</v>
      </c>
    </row>
    <row r="2093" spans="1:4" x14ac:dyDescent="0.55000000000000004">
      <c r="A2093" s="6">
        <v>1.815082326075271E+19</v>
      </c>
      <c r="B2093">
        <v>964</v>
      </c>
      <c r="C2093">
        <v>2</v>
      </c>
      <c r="D2093">
        <v>1517</v>
      </c>
    </row>
    <row r="2094" spans="1:4" x14ac:dyDescent="0.55000000000000004">
      <c r="A2094" s="6">
        <v>1.815269932860136E+19</v>
      </c>
      <c r="B2094">
        <v>125</v>
      </c>
      <c r="C2094">
        <v>2</v>
      </c>
      <c r="D2094">
        <v>4831</v>
      </c>
    </row>
    <row r="2095" spans="1:4" x14ac:dyDescent="0.55000000000000004">
      <c r="A2095" s="6">
        <v>1.815677024883312E+19</v>
      </c>
      <c r="B2095">
        <v>224</v>
      </c>
      <c r="C2095">
        <v>1</v>
      </c>
      <c r="D2095">
        <v>246</v>
      </c>
    </row>
    <row r="2096" spans="1:4" x14ac:dyDescent="0.55000000000000004">
      <c r="A2096" s="6">
        <v>1.816587074405564E+19</v>
      </c>
      <c r="B2096">
        <v>1286</v>
      </c>
      <c r="C2096">
        <v>1</v>
      </c>
      <c r="D2096">
        <v>7740</v>
      </c>
    </row>
    <row r="2097" spans="1:4" x14ac:dyDescent="0.55000000000000004">
      <c r="A2097" s="6">
        <v>1.8182398520451611E+19</v>
      </c>
      <c r="B2097">
        <v>568</v>
      </c>
      <c r="C2097">
        <v>1</v>
      </c>
      <c r="D2097">
        <v>228</v>
      </c>
    </row>
    <row r="2098" spans="1:4" x14ac:dyDescent="0.55000000000000004">
      <c r="A2098" s="6">
        <v>1.820327599306591E+19</v>
      </c>
      <c r="B2098">
        <v>28</v>
      </c>
      <c r="C2098">
        <v>1</v>
      </c>
      <c r="D2098">
        <v>2412</v>
      </c>
    </row>
    <row r="2099" spans="1:4" x14ac:dyDescent="0.55000000000000004">
      <c r="A2099" s="6">
        <v>1.822140064359714E+19</v>
      </c>
      <c r="B2099">
        <v>576</v>
      </c>
      <c r="C2099">
        <v>1</v>
      </c>
      <c r="D2099">
        <v>234</v>
      </c>
    </row>
    <row r="2100" spans="1:4" x14ac:dyDescent="0.55000000000000004">
      <c r="A2100" s="6">
        <v>1.82282442793025E+19</v>
      </c>
      <c r="B2100">
        <v>259</v>
      </c>
      <c r="C2100">
        <v>1</v>
      </c>
      <c r="D2100">
        <v>2210</v>
      </c>
    </row>
    <row r="2101" spans="1:4" x14ac:dyDescent="0.55000000000000004">
      <c r="A2101" s="6">
        <v>1.824794439040693E+19</v>
      </c>
      <c r="B2101">
        <v>864</v>
      </c>
      <c r="C2101">
        <v>1</v>
      </c>
      <c r="D2101">
        <v>267</v>
      </c>
    </row>
    <row r="2102" spans="1:4" x14ac:dyDescent="0.55000000000000004">
      <c r="A2102" s="6">
        <v>1.825626145972831E+19</v>
      </c>
      <c r="B2102">
        <v>509</v>
      </c>
      <c r="C2102">
        <v>2</v>
      </c>
      <c r="D2102">
        <v>5850</v>
      </c>
    </row>
    <row r="2103" spans="1:4" x14ac:dyDescent="0.55000000000000004">
      <c r="A2103" s="6">
        <v>1.825832144440671E+19</v>
      </c>
      <c r="B2103">
        <v>50</v>
      </c>
      <c r="C2103">
        <v>1</v>
      </c>
      <c r="D2103">
        <v>519</v>
      </c>
    </row>
    <row r="2104" spans="1:4" x14ac:dyDescent="0.55000000000000004">
      <c r="A2104" s="6">
        <v>1.827375784926251E+19</v>
      </c>
      <c r="B2104">
        <v>1233</v>
      </c>
      <c r="C2104">
        <v>1</v>
      </c>
      <c r="D2104">
        <v>478</v>
      </c>
    </row>
    <row r="2105" spans="1:4" x14ac:dyDescent="0.55000000000000004">
      <c r="A2105" s="6">
        <v>1.828978405457094E+19</v>
      </c>
      <c r="B2105">
        <v>10</v>
      </c>
      <c r="C2105">
        <v>2</v>
      </c>
      <c r="D2105">
        <v>2448</v>
      </c>
    </row>
    <row r="2106" spans="1:4" x14ac:dyDescent="0.55000000000000004">
      <c r="A2106" s="6">
        <v>1.8290896633043259E+19</v>
      </c>
      <c r="B2106">
        <v>700</v>
      </c>
      <c r="C2106">
        <v>2</v>
      </c>
      <c r="D2106">
        <v>4061</v>
      </c>
    </row>
    <row r="2107" spans="1:4" x14ac:dyDescent="0.55000000000000004">
      <c r="A2107" s="6">
        <v>1.8296913374114109E+19</v>
      </c>
      <c r="B2107">
        <v>606</v>
      </c>
      <c r="C2107">
        <v>1</v>
      </c>
      <c r="D2107">
        <v>629</v>
      </c>
    </row>
    <row r="2108" spans="1:4" x14ac:dyDescent="0.55000000000000004">
      <c r="A2108" s="6">
        <v>1.830235197192389E+19</v>
      </c>
      <c r="B2108">
        <v>319</v>
      </c>
      <c r="C2108">
        <v>3</v>
      </c>
      <c r="D2108">
        <v>14945</v>
      </c>
    </row>
    <row r="2109" spans="1:4" x14ac:dyDescent="0.55000000000000004">
      <c r="A2109" s="6">
        <v>1.83139076252951E+19</v>
      </c>
      <c r="B2109">
        <v>513</v>
      </c>
      <c r="C2109">
        <v>3</v>
      </c>
      <c r="D2109">
        <v>8291</v>
      </c>
    </row>
    <row r="2110" spans="1:4" x14ac:dyDescent="0.55000000000000004">
      <c r="A2110" s="6">
        <v>1.832646097835544E+19</v>
      </c>
      <c r="B2110">
        <v>1</v>
      </c>
      <c r="C2110">
        <v>2</v>
      </c>
      <c r="D2110">
        <v>11106</v>
      </c>
    </row>
    <row r="2111" spans="1:4" x14ac:dyDescent="0.55000000000000004">
      <c r="A2111" s="6">
        <v>1.837888610150903E+19</v>
      </c>
      <c r="B2111">
        <v>403</v>
      </c>
      <c r="C2111">
        <v>1</v>
      </c>
      <c r="D2111">
        <v>768</v>
      </c>
    </row>
    <row r="2112" spans="1:4" x14ac:dyDescent="0.55000000000000004">
      <c r="A2112" s="6">
        <v>1.8380950668525359E+19</v>
      </c>
      <c r="B2112">
        <v>172</v>
      </c>
      <c r="C2112">
        <v>1</v>
      </c>
      <c r="D2112">
        <v>967</v>
      </c>
    </row>
    <row r="2113" spans="1:4" x14ac:dyDescent="0.55000000000000004">
      <c r="A2113" s="6">
        <v>1.8389639499405119E+19</v>
      </c>
      <c r="B2113">
        <v>959</v>
      </c>
      <c r="C2113">
        <v>1</v>
      </c>
      <c r="D2113">
        <v>258</v>
      </c>
    </row>
    <row r="2114" spans="1:4" x14ac:dyDescent="0.55000000000000004">
      <c r="A2114" s="6">
        <v>1.8411369914734201E+19</v>
      </c>
      <c r="B2114">
        <v>218</v>
      </c>
      <c r="C2114">
        <v>1</v>
      </c>
      <c r="D2114">
        <v>663</v>
      </c>
    </row>
    <row r="2115" spans="1:4" x14ac:dyDescent="0.55000000000000004">
      <c r="A2115" s="6">
        <v>1.842367595461267E+19</v>
      </c>
      <c r="B2115">
        <v>1235</v>
      </c>
      <c r="C2115">
        <v>1</v>
      </c>
      <c r="D2115">
        <v>459</v>
      </c>
    </row>
    <row r="2116" spans="1:4" x14ac:dyDescent="0.55000000000000004">
      <c r="A2116" s="6">
        <v>1.843320053906817E+19</v>
      </c>
      <c r="B2116">
        <v>1030</v>
      </c>
      <c r="C2116">
        <v>1</v>
      </c>
      <c r="D2116">
        <v>3290</v>
      </c>
    </row>
    <row r="2117" spans="1:4" x14ac:dyDescent="0.55000000000000004">
      <c r="A2117" s="6">
        <v>1.8435387853663261E+19</v>
      </c>
      <c r="B2117">
        <v>267</v>
      </c>
      <c r="C2117">
        <v>1</v>
      </c>
      <c r="D2117">
        <v>5179</v>
      </c>
    </row>
    <row r="2118" spans="1:4" x14ac:dyDescent="0.55000000000000004">
      <c r="A2118" s="6">
        <v>1.8440167898002801E+19</v>
      </c>
      <c r="B2118">
        <v>390</v>
      </c>
      <c r="C2118">
        <v>1</v>
      </c>
      <c r="D2118">
        <v>500</v>
      </c>
    </row>
    <row r="2119" spans="1:4" x14ac:dyDescent="0.55000000000000004">
      <c r="A2119" s="6">
        <v>1.8443997980654549E+19</v>
      </c>
      <c r="B2119">
        <v>318</v>
      </c>
      <c r="C2119">
        <v>1</v>
      </c>
      <c r="D2119">
        <v>3760</v>
      </c>
    </row>
    <row r="2120" spans="1:4" x14ac:dyDescent="0.55000000000000004">
      <c r="A2120" s="6" t="s">
        <v>1209</v>
      </c>
      <c r="B2120">
        <v>0</v>
      </c>
      <c r="C2120">
        <v>3000</v>
      </c>
      <c r="D2120">
        <v>44373205.189999998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09B9-284D-4FBC-9C00-80AF503149FF}">
  <dimension ref="A1:M2117"/>
  <sheetViews>
    <sheetView workbookViewId="0">
      <selection activeCell="E2" sqref="E2"/>
    </sheetView>
  </sheetViews>
  <sheetFormatPr defaultRowHeight="14.4" x14ac:dyDescent="0.55000000000000004"/>
  <cols>
    <col min="1" max="1" width="13.68359375" customWidth="1"/>
  </cols>
  <sheetData>
    <row r="1" spans="1:13" x14ac:dyDescent="0.55000000000000004">
      <c r="A1" s="1" t="s">
        <v>0</v>
      </c>
      <c r="B1" s="13" t="s">
        <v>1210</v>
      </c>
      <c r="C1" s="14" t="s">
        <v>1211</v>
      </c>
      <c r="D1" s="15" t="s">
        <v>1212</v>
      </c>
      <c r="E1" s="13" t="s">
        <v>1213</v>
      </c>
      <c r="F1" s="14" t="s">
        <v>1214</v>
      </c>
      <c r="G1" s="15" t="s">
        <v>1215</v>
      </c>
      <c r="H1" s="7" t="s">
        <v>1216</v>
      </c>
      <c r="J1" t="s">
        <v>1217</v>
      </c>
      <c r="K1">
        <f>MIN(B:B)</f>
        <v>0</v>
      </c>
    </row>
    <row r="2" spans="1:13" x14ac:dyDescent="0.55000000000000004">
      <c r="A2" s="6">
        <v>2816901033034348</v>
      </c>
      <c r="B2">
        <v>979</v>
      </c>
      <c r="C2">
        <v>1</v>
      </c>
      <c r="D2">
        <v>260</v>
      </c>
      <c r="E2">
        <f>VLOOKUP(B2,$K$5:$L$9,2,1)</f>
        <v>2</v>
      </c>
      <c r="F2">
        <f>VLOOKUP(C2,$K$15:$L$17,2,1)</f>
        <v>1</v>
      </c>
      <c r="G2">
        <f>VLOOKUP(D2,$K$24:$L$26,2,1)</f>
        <v>1</v>
      </c>
      <c r="H2">
        <f>E2*100+F2*10+G2</f>
        <v>211</v>
      </c>
      <c r="J2" t="s">
        <v>1218</v>
      </c>
      <c r="K2">
        <f>MAX(B:B)</f>
        <v>1446</v>
      </c>
    </row>
    <row r="3" spans="1:13" x14ac:dyDescent="0.55000000000000004">
      <c r="A3" s="6">
        <v>8764728508113736</v>
      </c>
      <c r="B3">
        <v>211</v>
      </c>
      <c r="C3">
        <v>1</v>
      </c>
      <c r="D3">
        <v>3821</v>
      </c>
      <c r="E3">
        <f t="shared" ref="E3:E66" si="0">VLOOKUP(B3,$K$5:$L$9,2,1)</f>
        <v>5</v>
      </c>
      <c r="F3">
        <f t="shared" ref="F3:F66" si="1">VLOOKUP(C3,$K$15:$L$17,2,1)</f>
        <v>1</v>
      </c>
      <c r="G3">
        <f t="shared" ref="G3:G66" si="2">VLOOKUP(D3,$K$24:$L$26,2,1)</f>
        <v>3</v>
      </c>
      <c r="H3">
        <f t="shared" ref="H3:H66" si="3">E3*100+F3*10+G3</f>
        <v>513</v>
      </c>
      <c r="J3" t="s">
        <v>1219</v>
      </c>
      <c r="K3">
        <f>K2-K1</f>
        <v>1446</v>
      </c>
    </row>
    <row r="4" spans="1:13" x14ac:dyDescent="0.55000000000000004">
      <c r="A4" s="6">
        <v>2.675483009273758E+16</v>
      </c>
      <c r="B4">
        <v>662</v>
      </c>
      <c r="C4">
        <v>1</v>
      </c>
      <c r="D4">
        <v>400</v>
      </c>
      <c r="E4">
        <f t="shared" si="0"/>
        <v>3</v>
      </c>
      <c r="F4">
        <f t="shared" si="1"/>
        <v>1</v>
      </c>
      <c r="G4">
        <f t="shared" si="2"/>
        <v>1</v>
      </c>
      <c r="H4">
        <f t="shared" si="3"/>
        <v>311</v>
      </c>
      <c r="J4" t="s">
        <v>1220</v>
      </c>
      <c r="K4">
        <f>K3/5</f>
        <v>289.2</v>
      </c>
      <c r="M4" t="s">
        <v>1226</v>
      </c>
    </row>
    <row r="5" spans="1:13" x14ac:dyDescent="0.55000000000000004">
      <c r="A5" s="6">
        <v>4.159539491611084E+16</v>
      </c>
      <c r="B5">
        <v>497</v>
      </c>
      <c r="C5">
        <v>1</v>
      </c>
      <c r="D5">
        <v>525</v>
      </c>
      <c r="E5">
        <f t="shared" si="0"/>
        <v>4</v>
      </c>
      <c r="F5">
        <f t="shared" si="1"/>
        <v>1</v>
      </c>
      <c r="G5">
        <f t="shared" si="2"/>
        <v>1</v>
      </c>
      <c r="H5">
        <f t="shared" si="3"/>
        <v>411</v>
      </c>
      <c r="J5" s="8"/>
      <c r="K5" s="8">
        <v>0</v>
      </c>
      <c r="L5" s="8">
        <v>5</v>
      </c>
      <c r="M5">
        <f>COUNTIF(E:E,L5)</f>
        <v>800</v>
      </c>
    </row>
    <row r="6" spans="1:13" x14ac:dyDescent="0.55000000000000004">
      <c r="A6" s="6">
        <v>4.2908079193108336E+16</v>
      </c>
      <c r="B6">
        <v>649</v>
      </c>
      <c r="C6">
        <v>2</v>
      </c>
      <c r="D6">
        <v>1013</v>
      </c>
      <c r="E6">
        <f t="shared" si="0"/>
        <v>3</v>
      </c>
      <c r="F6">
        <f t="shared" si="1"/>
        <v>2</v>
      </c>
      <c r="G6">
        <f t="shared" si="2"/>
        <v>2</v>
      </c>
      <c r="H6">
        <f t="shared" si="3"/>
        <v>322</v>
      </c>
      <c r="J6" s="8" t="s">
        <v>1221</v>
      </c>
      <c r="K6" s="8">
        <f>K1+$K$4</f>
        <v>289.2</v>
      </c>
      <c r="L6" s="8">
        <v>4</v>
      </c>
      <c r="M6">
        <f t="shared" ref="M6:M9" si="4">COUNTIF(E:E,L6)</f>
        <v>556</v>
      </c>
    </row>
    <row r="7" spans="1:13" x14ac:dyDescent="0.55000000000000004">
      <c r="A7" s="6">
        <v>4.3439807576502672E+16</v>
      </c>
      <c r="B7">
        <v>225</v>
      </c>
      <c r="C7">
        <v>1</v>
      </c>
      <c r="D7">
        <v>4120</v>
      </c>
      <c r="E7">
        <f t="shared" si="0"/>
        <v>5</v>
      </c>
      <c r="F7">
        <f t="shared" si="1"/>
        <v>1</v>
      </c>
      <c r="G7">
        <f t="shared" si="2"/>
        <v>3</v>
      </c>
      <c r="H7">
        <f t="shared" si="3"/>
        <v>513</v>
      </c>
      <c r="J7" s="8" t="s">
        <v>1222</v>
      </c>
      <c r="K7" s="8">
        <f>K6+$K$4</f>
        <v>578.4</v>
      </c>
      <c r="L7" s="8">
        <v>3</v>
      </c>
      <c r="M7">
        <f t="shared" si="4"/>
        <v>397</v>
      </c>
    </row>
    <row r="8" spans="1:13" x14ac:dyDescent="0.55000000000000004">
      <c r="A8" s="6">
        <v>6.2331944931402336E+16</v>
      </c>
      <c r="B8">
        <v>39</v>
      </c>
      <c r="C8">
        <v>2</v>
      </c>
      <c r="D8">
        <v>313</v>
      </c>
      <c r="E8">
        <f t="shared" si="0"/>
        <v>5</v>
      </c>
      <c r="F8">
        <f t="shared" si="1"/>
        <v>2</v>
      </c>
      <c r="G8">
        <f t="shared" si="2"/>
        <v>1</v>
      </c>
      <c r="H8">
        <f t="shared" si="3"/>
        <v>521</v>
      </c>
      <c r="J8" s="8" t="s">
        <v>1223</v>
      </c>
      <c r="K8" s="8">
        <f t="shared" ref="K8:K9" si="5">K7+$K$4</f>
        <v>867.59999999999991</v>
      </c>
      <c r="L8" s="8">
        <v>2</v>
      </c>
      <c r="M8">
        <f t="shared" si="4"/>
        <v>251</v>
      </c>
    </row>
    <row r="9" spans="1:13" x14ac:dyDescent="0.55000000000000004">
      <c r="A9" s="6">
        <v>7.1926447705133344E+16</v>
      </c>
      <c r="B9">
        <v>885</v>
      </c>
      <c r="C9">
        <v>1</v>
      </c>
      <c r="D9">
        <v>590</v>
      </c>
      <c r="E9">
        <f t="shared" si="0"/>
        <v>2</v>
      </c>
      <c r="F9">
        <f t="shared" si="1"/>
        <v>1</v>
      </c>
      <c r="G9">
        <f t="shared" si="2"/>
        <v>1</v>
      </c>
      <c r="H9">
        <f t="shared" si="3"/>
        <v>211</v>
      </c>
      <c r="J9" s="8" t="s">
        <v>1224</v>
      </c>
      <c r="K9" s="8">
        <f t="shared" si="5"/>
        <v>1156.8</v>
      </c>
      <c r="L9" s="8">
        <v>1</v>
      </c>
      <c r="M9">
        <f t="shared" si="4"/>
        <v>112</v>
      </c>
    </row>
    <row r="10" spans="1:13" x14ac:dyDescent="0.55000000000000004">
      <c r="A10" s="6">
        <v>7.5960602852994256E+16</v>
      </c>
      <c r="B10">
        <v>27</v>
      </c>
      <c r="C10">
        <v>2</v>
      </c>
      <c r="D10">
        <v>1497</v>
      </c>
      <c r="E10">
        <f t="shared" si="0"/>
        <v>5</v>
      </c>
      <c r="F10">
        <f t="shared" si="1"/>
        <v>2</v>
      </c>
      <c r="G10">
        <f t="shared" si="2"/>
        <v>2</v>
      </c>
      <c r="H10">
        <f t="shared" si="3"/>
        <v>522</v>
      </c>
      <c r="M10">
        <f>SUM(M5:M9)</f>
        <v>2116</v>
      </c>
    </row>
    <row r="11" spans="1:13" x14ac:dyDescent="0.55000000000000004">
      <c r="A11" s="6">
        <v>7.658255809365472E+16</v>
      </c>
      <c r="B11">
        <v>831</v>
      </c>
      <c r="C11">
        <v>1</v>
      </c>
      <c r="D11">
        <v>526</v>
      </c>
      <c r="E11">
        <f t="shared" si="0"/>
        <v>3</v>
      </c>
      <c r="F11">
        <f t="shared" si="1"/>
        <v>1</v>
      </c>
      <c r="G11">
        <f t="shared" si="2"/>
        <v>1</v>
      </c>
      <c r="H11">
        <f t="shared" si="3"/>
        <v>311</v>
      </c>
      <c r="J11" t="s">
        <v>1217</v>
      </c>
      <c r="K11">
        <f>MIN(C:C)</f>
        <v>1</v>
      </c>
    </row>
    <row r="12" spans="1:13" x14ac:dyDescent="0.55000000000000004">
      <c r="A12" s="6">
        <v>7.7522488485274096E+16</v>
      </c>
      <c r="B12">
        <v>377</v>
      </c>
      <c r="C12">
        <v>2</v>
      </c>
      <c r="D12">
        <v>888</v>
      </c>
      <c r="E12">
        <f t="shared" si="0"/>
        <v>4</v>
      </c>
      <c r="F12">
        <f t="shared" si="1"/>
        <v>2</v>
      </c>
      <c r="G12">
        <f t="shared" si="2"/>
        <v>2</v>
      </c>
      <c r="H12">
        <f t="shared" si="3"/>
        <v>422</v>
      </c>
      <c r="J12" t="s">
        <v>1218</v>
      </c>
      <c r="K12">
        <f>MAX(C:C)</f>
        <v>81</v>
      </c>
    </row>
    <row r="13" spans="1:13" x14ac:dyDescent="0.55000000000000004">
      <c r="A13" s="6">
        <v>1.0133316379391859E+17</v>
      </c>
      <c r="B13">
        <v>516</v>
      </c>
      <c r="C13">
        <v>1</v>
      </c>
      <c r="D13">
        <v>6996</v>
      </c>
      <c r="E13">
        <f t="shared" si="0"/>
        <v>4</v>
      </c>
      <c r="F13">
        <f t="shared" si="1"/>
        <v>1</v>
      </c>
      <c r="G13">
        <f t="shared" si="2"/>
        <v>3</v>
      </c>
      <c r="H13">
        <f t="shared" si="3"/>
        <v>413</v>
      </c>
      <c r="J13" t="s">
        <v>1219</v>
      </c>
      <c r="K13">
        <f>K12-K11</f>
        <v>80</v>
      </c>
    </row>
    <row r="14" spans="1:13" x14ac:dyDescent="0.55000000000000004">
      <c r="A14" s="6">
        <v>1.050880082467677E+17</v>
      </c>
      <c r="B14">
        <v>1088</v>
      </c>
      <c r="C14">
        <v>1</v>
      </c>
      <c r="D14">
        <v>3880</v>
      </c>
      <c r="E14">
        <f t="shared" si="0"/>
        <v>2</v>
      </c>
      <c r="F14">
        <f t="shared" si="1"/>
        <v>1</v>
      </c>
      <c r="G14">
        <f t="shared" si="2"/>
        <v>3</v>
      </c>
      <c r="H14">
        <f t="shared" si="3"/>
        <v>213</v>
      </c>
      <c r="J14" t="s">
        <v>1225</v>
      </c>
      <c r="K14">
        <f>K13/3</f>
        <v>26.666666666666668</v>
      </c>
    </row>
    <row r="15" spans="1:13" x14ac:dyDescent="0.55000000000000004">
      <c r="A15" s="6">
        <v>1.125281831084453E+17</v>
      </c>
      <c r="B15">
        <v>942</v>
      </c>
      <c r="C15">
        <v>1</v>
      </c>
      <c r="D15">
        <v>109</v>
      </c>
      <c r="E15">
        <f t="shared" si="0"/>
        <v>2</v>
      </c>
      <c r="F15">
        <f t="shared" si="1"/>
        <v>1</v>
      </c>
      <c r="G15">
        <f t="shared" si="2"/>
        <v>1</v>
      </c>
      <c r="H15">
        <f t="shared" si="3"/>
        <v>211</v>
      </c>
      <c r="J15" s="9"/>
      <c r="K15" s="9">
        <v>0</v>
      </c>
      <c r="L15" s="9">
        <v>1</v>
      </c>
      <c r="M15">
        <f>COUNTIF(F:F,L15)</f>
        <v>1483</v>
      </c>
    </row>
    <row r="16" spans="1:13" x14ac:dyDescent="0.55000000000000004">
      <c r="A16" s="6">
        <v>1.179509387340972E+17</v>
      </c>
      <c r="B16">
        <v>337</v>
      </c>
      <c r="C16">
        <v>1</v>
      </c>
      <c r="D16">
        <v>1550</v>
      </c>
      <c r="E16">
        <f t="shared" si="0"/>
        <v>4</v>
      </c>
      <c r="F16">
        <f t="shared" si="1"/>
        <v>1</v>
      </c>
      <c r="G16">
        <f t="shared" si="2"/>
        <v>2</v>
      </c>
      <c r="H16">
        <f t="shared" si="3"/>
        <v>412</v>
      </c>
      <c r="J16" s="9" t="s">
        <v>1221</v>
      </c>
      <c r="K16" s="11">
        <v>2</v>
      </c>
      <c r="L16" s="9">
        <v>2</v>
      </c>
      <c r="M16">
        <f>COUNTIF(F:F,L16)</f>
        <v>493</v>
      </c>
    </row>
    <row r="17" spans="1:13" x14ac:dyDescent="0.55000000000000004">
      <c r="A17" s="6">
        <v>1.205505894706743E+17</v>
      </c>
      <c r="B17">
        <v>325</v>
      </c>
      <c r="C17">
        <v>1</v>
      </c>
      <c r="D17">
        <v>659</v>
      </c>
      <c r="E17">
        <f t="shared" si="0"/>
        <v>4</v>
      </c>
      <c r="F17">
        <f t="shared" si="1"/>
        <v>1</v>
      </c>
      <c r="G17">
        <f t="shared" si="2"/>
        <v>2</v>
      </c>
      <c r="H17">
        <f t="shared" si="3"/>
        <v>412</v>
      </c>
      <c r="J17" s="9" t="s">
        <v>1222</v>
      </c>
      <c r="K17" s="11">
        <v>3</v>
      </c>
      <c r="L17" s="9">
        <v>3</v>
      </c>
      <c r="M17">
        <f t="shared" ref="M17" si="6">COUNTIF(F:F,L17)</f>
        <v>140</v>
      </c>
    </row>
    <row r="18" spans="1:13" x14ac:dyDescent="0.55000000000000004">
      <c r="A18" s="6">
        <v>1.262782042322577E+17</v>
      </c>
      <c r="B18">
        <v>43</v>
      </c>
      <c r="C18">
        <v>1</v>
      </c>
      <c r="D18">
        <v>2153</v>
      </c>
      <c r="E18">
        <f t="shared" si="0"/>
        <v>5</v>
      </c>
      <c r="F18">
        <f t="shared" si="1"/>
        <v>1</v>
      </c>
      <c r="G18">
        <f t="shared" si="2"/>
        <v>2</v>
      </c>
      <c r="H18">
        <f t="shared" si="3"/>
        <v>512</v>
      </c>
      <c r="M18">
        <f>SUM(M15:M17)</f>
        <v>2116</v>
      </c>
    </row>
    <row r="19" spans="1:13" x14ac:dyDescent="0.55000000000000004">
      <c r="A19" s="6">
        <v>1.508520758869896E+17</v>
      </c>
      <c r="B19">
        <v>175</v>
      </c>
      <c r="C19">
        <v>1</v>
      </c>
      <c r="D19">
        <v>0</v>
      </c>
      <c r="E19">
        <f t="shared" si="0"/>
        <v>5</v>
      </c>
      <c r="F19">
        <f t="shared" si="1"/>
        <v>1</v>
      </c>
      <c r="G19">
        <f t="shared" si="2"/>
        <v>1</v>
      </c>
      <c r="H19">
        <f t="shared" si="3"/>
        <v>511</v>
      </c>
    </row>
    <row r="20" spans="1:13" x14ac:dyDescent="0.55000000000000004">
      <c r="A20" s="6">
        <v>1.5129134836081629E+17</v>
      </c>
      <c r="B20">
        <v>1215</v>
      </c>
      <c r="C20">
        <v>1</v>
      </c>
      <c r="D20">
        <v>340</v>
      </c>
      <c r="E20">
        <f t="shared" si="0"/>
        <v>1</v>
      </c>
      <c r="F20">
        <f t="shared" si="1"/>
        <v>1</v>
      </c>
      <c r="G20">
        <f t="shared" si="2"/>
        <v>1</v>
      </c>
      <c r="H20">
        <f t="shared" si="3"/>
        <v>111</v>
      </c>
      <c r="J20" t="s">
        <v>1217</v>
      </c>
      <c r="K20">
        <f>MIN(D:D)</f>
        <v>0</v>
      </c>
    </row>
    <row r="21" spans="1:13" x14ac:dyDescent="0.55000000000000004">
      <c r="A21" s="6">
        <v>1.6006104658813891E+17</v>
      </c>
      <c r="B21">
        <v>53</v>
      </c>
      <c r="C21">
        <v>1</v>
      </c>
      <c r="D21">
        <v>1750</v>
      </c>
      <c r="E21">
        <f t="shared" si="0"/>
        <v>5</v>
      </c>
      <c r="F21">
        <f t="shared" si="1"/>
        <v>1</v>
      </c>
      <c r="G21">
        <f t="shared" si="2"/>
        <v>2</v>
      </c>
      <c r="H21">
        <f t="shared" si="3"/>
        <v>512</v>
      </c>
      <c r="J21" t="s">
        <v>1218</v>
      </c>
      <c r="K21">
        <f>MAX(D:D)</f>
        <v>38689102.890000001</v>
      </c>
    </row>
    <row r="22" spans="1:13" x14ac:dyDescent="0.55000000000000004">
      <c r="A22" s="6">
        <v>1.7892811772394758E+17</v>
      </c>
      <c r="B22">
        <v>126</v>
      </c>
      <c r="C22">
        <v>2</v>
      </c>
      <c r="D22">
        <v>934</v>
      </c>
      <c r="E22">
        <f t="shared" si="0"/>
        <v>5</v>
      </c>
      <c r="F22">
        <f t="shared" si="1"/>
        <v>2</v>
      </c>
      <c r="G22">
        <f t="shared" si="2"/>
        <v>2</v>
      </c>
      <c r="H22">
        <f t="shared" si="3"/>
        <v>522</v>
      </c>
      <c r="J22" t="s">
        <v>1219</v>
      </c>
      <c r="K22">
        <f>K21-K20</f>
        <v>38689102.890000001</v>
      </c>
    </row>
    <row r="23" spans="1:13" x14ac:dyDescent="0.55000000000000004">
      <c r="A23" s="6">
        <v>1.8435006646178829E+17</v>
      </c>
      <c r="B23">
        <v>236</v>
      </c>
      <c r="C23">
        <v>1</v>
      </c>
      <c r="D23">
        <v>2556</v>
      </c>
      <c r="E23">
        <f t="shared" si="0"/>
        <v>5</v>
      </c>
      <c r="F23">
        <f t="shared" si="1"/>
        <v>1</v>
      </c>
      <c r="G23">
        <f t="shared" si="2"/>
        <v>3</v>
      </c>
      <c r="H23">
        <f t="shared" si="3"/>
        <v>513</v>
      </c>
      <c r="J23" t="s">
        <v>1225</v>
      </c>
      <c r="K23">
        <f>K22/3</f>
        <v>12896367.630000001</v>
      </c>
    </row>
    <row r="24" spans="1:13" x14ac:dyDescent="0.55000000000000004">
      <c r="A24" s="6">
        <v>1.844682043730959E+17</v>
      </c>
      <c r="B24">
        <v>1200</v>
      </c>
      <c r="C24">
        <v>1</v>
      </c>
      <c r="D24">
        <v>229</v>
      </c>
      <c r="E24">
        <f t="shared" si="0"/>
        <v>1</v>
      </c>
      <c r="F24">
        <f t="shared" si="1"/>
        <v>1</v>
      </c>
      <c r="G24">
        <f t="shared" si="2"/>
        <v>1</v>
      </c>
      <c r="H24">
        <f t="shared" si="3"/>
        <v>111</v>
      </c>
      <c r="J24" s="10"/>
      <c r="K24" s="10">
        <v>0</v>
      </c>
      <c r="L24" s="10">
        <v>1</v>
      </c>
      <c r="M24">
        <f>COUNTIF(G:G,L24)</f>
        <v>705</v>
      </c>
    </row>
    <row r="25" spans="1:13" x14ac:dyDescent="0.55000000000000004">
      <c r="A25" s="6">
        <v>1.991966278736863E+17</v>
      </c>
      <c r="B25">
        <v>166</v>
      </c>
      <c r="C25">
        <v>1</v>
      </c>
      <c r="D25">
        <v>1057</v>
      </c>
      <c r="E25">
        <f t="shared" si="0"/>
        <v>5</v>
      </c>
      <c r="F25">
        <f t="shared" si="1"/>
        <v>1</v>
      </c>
      <c r="G25">
        <f t="shared" si="2"/>
        <v>2</v>
      </c>
      <c r="H25">
        <f t="shared" si="3"/>
        <v>512</v>
      </c>
      <c r="J25" s="10" t="s">
        <v>1221</v>
      </c>
      <c r="K25" s="12">
        <f>_xlfn.PERCENTILE.INC(D:D,1/3)</f>
        <v>654</v>
      </c>
      <c r="L25" s="10">
        <v>2</v>
      </c>
      <c r="M25">
        <f t="shared" ref="M25:M26" si="7">COUNTIF(G:G,L25)</f>
        <v>705</v>
      </c>
    </row>
    <row r="26" spans="1:13" x14ac:dyDescent="0.55000000000000004">
      <c r="A26" s="6">
        <v>2.0274978980772051E+17</v>
      </c>
      <c r="B26">
        <v>200</v>
      </c>
      <c r="C26">
        <v>1</v>
      </c>
      <c r="D26">
        <v>564</v>
      </c>
      <c r="E26">
        <f t="shared" si="0"/>
        <v>5</v>
      </c>
      <c r="F26">
        <f t="shared" si="1"/>
        <v>1</v>
      </c>
      <c r="G26">
        <f t="shared" si="2"/>
        <v>1</v>
      </c>
      <c r="H26">
        <f t="shared" si="3"/>
        <v>511</v>
      </c>
      <c r="J26" s="10" t="s">
        <v>1222</v>
      </c>
      <c r="K26" s="12">
        <f>_xlfn.PERCENTILE.INC(D:D,2/3)</f>
        <v>2248</v>
      </c>
      <c r="L26" s="10">
        <v>3</v>
      </c>
      <c r="M26">
        <f t="shared" si="7"/>
        <v>706</v>
      </c>
    </row>
    <row r="27" spans="1:13" x14ac:dyDescent="0.55000000000000004">
      <c r="A27" s="6">
        <v>2.0614502803442918E+17</v>
      </c>
      <c r="B27">
        <v>173</v>
      </c>
      <c r="C27">
        <v>1</v>
      </c>
      <c r="D27">
        <v>595</v>
      </c>
      <c r="E27">
        <f t="shared" si="0"/>
        <v>5</v>
      </c>
      <c r="F27">
        <f t="shared" si="1"/>
        <v>1</v>
      </c>
      <c r="G27">
        <f t="shared" si="2"/>
        <v>1</v>
      </c>
      <c r="H27">
        <f t="shared" si="3"/>
        <v>511</v>
      </c>
      <c r="M27">
        <f>SUM(M24:M26)</f>
        <v>2116</v>
      </c>
    </row>
    <row r="28" spans="1:13" x14ac:dyDescent="0.55000000000000004">
      <c r="A28" s="6">
        <v>2.1153047796426621E+17</v>
      </c>
      <c r="B28">
        <v>464</v>
      </c>
      <c r="C28">
        <v>1</v>
      </c>
      <c r="D28">
        <v>1828</v>
      </c>
      <c r="E28">
        <f t="shared" si="0"/>
        <v>4</v>
      </c>
      <c r="F28">
        <f t="shared" si="1"/>
        <v>1</v>
      </c>
      <c r="G28">
        <f t="shared" si="2"/>
        <v>2</v>
      </c>
      <c r="H28">
        <f t="shared" si="3"/>
        <v>412</v>
      </c>
    </row>
    <row r="29" spans="1:13" x14ac:dyDescent="0.55000000000000004">
      <c r="A29" s="6">
        <v>2.170703312628712E+17</v>
      </c>
      <c r="B29">
        <v>71</v>
      </c>
      <c r="C29">
        <v>1</v>
      </c>
      <c r="D29">
        <v>4845</v>
      </c>
      <c r="E29">
        <f t="shared" si="0"/>
        <v>5</v>
      </c>
      <c r="F29">
        <f t="shared" si="1"/>
        <v>1</v>
      </c>
      <c r="G29">
        <f t="shared" si="2"/>
        <v>3</v>
      </c>
      <c r="H29">
        <f t="shared" si="3"/>
        <v>513</v>
      </c>
    </row>
    <row r="30" spans="1:13" x14ac:dyDescent="0.55000000000000004">
      <c r="A30" s="6">
        <v>2.2735627226089562E+17</v>
      </c>
      <c r="B30">
        <v>1217</v>
      </c>
      <c r="C30">
        <v>1</v>
      </c>
      <c r="D30">
        <v>455</v>
      </c>
      <c r="E30">
        <f t="shared" si="0"/>
        <v>1</v>
      </c>
      <c r="F30">
        <f t="shared" si="1"/>
        <v>1</v>
      </c>
      <c r="G30">
        <f t="shared" si="2"/>
        <v>1</v>
      </c>
      <c r="H30">
        <f t="shared" si="3"/>
        <v>111</v>
      </c>
    </row>
    <row r="31" spans="1:13" x14ac:dyDescent="0.55000000000000004">
      <c r="A31" s="6">
        <v>2.510202513728401E+17</v>
      </c>
      <c r="B31">
        <v>48</v>
      </c>
      <c r="C31">
        <v>2</v>
      </c>
      <c r="D31">
        <v>1948</v>
      </c>
      <c r="E31">
        <f t="shared" si="0"/>
        <v>5</v>
      </c>
      <c r="F31">
        <f t="shared" si="1"/>
        <v>2</v>
      </c>
      <c r="G31">
        <f t="shared" si="2"/>
        <v>2</v>
      </c>
      <c r="H31">
        <f t="shared" si="3"/>
        <v>522</v>
      </c>
    </row>
    <row r="32" spans="1:13" x14ac:dyDescent="0.55000000000000004">
      <c r="A32" s="6">
        <v>2.5539692136129722E+17</v>
      </c>
      <c r="B32">
        <v>344</v>
      </c>
      <c r="C32">
        <v>3</v>
      </c>
      <c r="D32">
        <v>4810</v>
      </c>
      <c r="E32">
        <f t="shared" si="0"/>
        <v>4</v>
      </c>
      <c r="F32">
        <f t="shared" si="1"/>
        <v>3</v>
      </c>
      <c r="G32">
        <f t="shared" si="2"/>
        <v>3</v>
      </c>
      <c r="H32">
        <f t="shared" si="3"/>
        <v>433</v>
      </c>
    </row>
    <row r="33" spans="1:8" x14ac:dyDescent="0.55000000000000004">
      <c r="A33" s="6">
        <v>2.558736456745999E+17</v>
      </c>
      <c r="B33">
        <v>414</v>
      </c>
      <c r="C33">
        <v>2</v>
      </c>
      <c r="D33">
        <v>2429</v>
      </c>
      <c r="E33">
        <f t="shared" si="0"/>
        <v>4</v>
      </c>
      <c r="F33">
        <f t="shared" si="1"/>
        <v>2</v>
      </c>
      <c r="G33">
        <f t="shared" si="2"/>
        <v>3</v>
      </c>
      <c r="H33">
        <f t="shared" si="3"/>
        <v>423</v>
      </c>
    </row>
    <row r="34" spans="1:8" x14ac:dyDescent="0.55000000000000004">
      <c r="A34" s="6">
        <v>2.6284022932710202E+17</v>
      </c>
      <c r="B34">
        <v>510</v>
      </c>
      <c r="C34">
        <v>2</v>
      </c>
      <c r="D34">
        <v>524</v>
      </c>
      <c r="E34">
        <f t="shared" si="0"/>
        <v>4</v>
      </c>
      <c r="F34">
        <f t="shared" si="1"/>
        <v>2</v>
      </c>
      <c r="G34">
        <f t="shared" si="2"/>
        <v>1</v>
      </c>
      <c r="H34">
        <f t="shared" si="3"/>
        <v>421</v>
      </c>
    </row>
    <row r="35" spans="1:8" x14ac:dyDescent="0.55000000000000004">
      <c r="A35" s="6">
        <v>2.6730237118069891E+17</v>
      </c>
      <c r="B35">
        <v>21</v>
      </c>
      <c r="C35">
        <v>2</v>
      </c>
      <c r="D35">
        <v>1269</v>
      </c>
      <c r="E35">
        <f t="shared" si="0"/>
        <v>5</v>
      </c>
      <c r="F35">
        <f t="shared" si="1"/>
        <v>2</v>
      </c>
      <c r="G35">
        <f t="shared" si="2"/>
        <v>2</v>
      </c>
      <c r="H35">
        <f t="shared" si="3"/>
        <v>522</v>
      </c>
    </row>
    <row r="36" spans="1:8" x14ac:dyDescent="0.55000000000000004">
      <c r="A36" s="6">
        <v>2.7912441794673299E+17</v>
      </c>
      <c r="B36">
        <v>265</v>
      </c>
      <c r="C36">
        <v>1</v>
      </c>
      <c r="D36">
        <v>1550</v>
      </c>
      <c r="E36">
        <f t="shared" si="0"/>
        <v>5</v>
      </c>
      <c r="F36">
        <f t="shared" si="1"/>
        <v>1</v>
      </c>
      <c r="G36">
        <f t="shared" si="2"/>
        <v>2</v>
      </c>
      <c r="H36">
        <f t="shared" si="3"/>
        <v>512</v>
      </c>
    </row>
    <row r="37" spans="1:8" x14ac:dyDescent="0.55000000000000004">
      <c r="A37" s="6">
        <v>3.0216912176067718E+17</v>
      </c>
      <c r="B37">
        <v>45</v>
      </c>
      <c r="C37">
        <v>1</v>
      </c>
      <c r="D37">
        <v>152</v>
      </c>
      <c r="E37">
        <f t="shared" si="0"/>
        <v>5</v>
      </c>
      <c r="F37">
        <f t="shared" si="1"/>
        <v>1</v>
      </c>
      <c r="G37">
        <f t="shared" si="2"/>
        <v>1</v>
      </c>
      <c r="H37">
        <f t="shared" si="3"/>
        <v>511</v>
      </c>
    </row>
    <row r="38" spans="1:8" x14ac:dyDescent="0.55000000000000004">
      <c r="A38" s="6">
        <v>3.0310206824360947E+17</v>
      </c>
      <c r="B38">
        <v>263</v>
      </c>
      <c r="C38">
        <v>3</v>
      </c>
      <c r="D38">
        <v>16528</v>
      </c>
      <c r="E38">
        <f t="shared" si="0"/>
        <v>5</v>
      </c>
      <c r="F38">
        <f t="shared" si="1"/>
        <v>3</v>
      </c>
      <c r="G38">
        <f t="shared" si="2"/>
        <v>3</v>
      </c>
      <c r="H38">
        <f t="shared" si="3"/>
        <v>533</v>
      </c>
    </row>
    <row r="39" spans="1:8" x14ac:dyDescent="0.55000000000000004">
      <c r="A39" s="6">
        <v>3.1122270540513478E+17</v>
      </c>
      <c r="B39">
        <v>48</v>
      </c>
      <c r="C39">
        <v>1</v>
      </c>
      <c r="D39">
        <v>534</v>
      </c>
      <c r="E39">
        <f t="shared" si="0"/>
        <v>5</v>
      </c>
      <c r="F39">
        <f t="shared" si="1"/>
        <v>1</v>
      </c>
      <c r="G39">
        <f t="shared" si="2"/>
        <v>1</v>
      </c>
      <c r="H39">
        <f t="shared" si="3"/>
        <v>511</v>
      </c>
    </row>
    <row r="40" spans="1:8" x14ac:dyDescent="0.55000000000000004">
      <c r="A40" s="6">
        <v>3.3239069988387597E+17</v>
      </c>
      <c r="B40">
        <v>675</v>
      </c>
      <c r="C40">
        <v>2</v>
      </c>
      <c r="D40">
        <v>7667</v>
      </c>
      <c r="E40">
        <f t="shared" si="0"/>
        <v>3</v>
      </c>
      <c r="F40">
        <f t="shared" si="1"/>
        <v>2</v>
      </c>
      <c r="G40">
        <f t="shared" si="2"/>
        <v>3</v>
      </c>
      <c r="H40">
        <f t="shared" si="3"/>
        <v>323</v>
      </c>
    </row>
    <row r="41" spans="1:8" x14ac:dyDescent="0.55000000000000004">
      <c r="A41" s="6">
        <v>3.3761717883426061E+17</v>
      </c>
      <c r="B41">
        <v>1132</v>
      </c>
      <c r="C41">
        <v>1</v>
      </c>
      <c r="D41">
        <v>285</v>
      </c>
      <c r="E41">
        <f t="shared" si="0"/>
        <v>2</v>
      </c>
      <c r="F41">
        <f t="shared" si="1"/>
        <v>1</v>
      </c>
      <c r="G41">
        <f t="shared" si="2"/>
        <v>1</v>
      </c>
      <c r="H41">
        <f t="shared" si="3"/>
        <v>211</v>
      </c>
    </row>
    <row r="42" spans="1:8" x14ac:dyDescent="0.55000000000000004">
      <c r="A42" s="6">
        <v>3.496079894106553E+17</v>
      </c>
      <c r="B42">
        <v>829</v>
      </c>
      <c r="C42">
        <v>1</v>
      </c>
      <c r="D42">
        <v>918</v>
      </c>
      <c r="E42">
        <f t="shared" si="0"/>
        <v>3</v>
      </c>
      <c r="F42">
        <f t="shared" si="1"/>
        <v>1</v>
      </c>
      <c r="G42">
        <f t="shared" si="2"/>
        <v>2</v>
      </c>
      <c r="H42">
        <f t="shared" si="3"/>
        <v>312</v>
      </c>
    </row>
    <row r="43" spans="1:8" x14ac:dyDescent="0.55000000000000004">
      <c r="A43" s="6">
        <v>3.599136762635753E+17</v>
      </c>
      <c r="B43">
        <v>363</v>
      </c>
      <c r="C43">
        <v>1</v>
      </c>
      <c r="D43">
        <v>3760</v>
      </c>
      <c r="E43">
        <f t="shared" si="0"/>
        <v>4</v>
      </c>
      <c r="F43">
        <f t="shared" si="1"/>
        <v>1</v>
      </c>
      <c r="G43">
        <f t="shared" si="2"/>
        <v>3</v>
      </c>
      <c r="H43">
        <f t="shared" si="3"/>
        <v>413</v>
      </c>
    </row>
    <row r="44" spans="1:8" x14ac:dyDescent="0.55000000000000004">
      <c r="A44" s="6">
        <v>3.6529955794416147E+17</v>
      </c>
      <c r="B44">
        <v>469</v>
      </c>
      <c r="C44">
        <v>1</v>
      </c>
      <c r="D44">
        <v>1708</v>
      </c>
      <c r="E44">
        <f t="shared" si="0"/>
        <v>4</v>
      </c>
      <c r="F44">
        <f t="shared" si="1"/>
        <v>1</v>
      </c>
      <c r="G44">
        <f t="shared" si="2"/>
        <v>2</v>
      </c>
      <c r="H44">
        <f t="shared" si="3"/>
        <v>412</v>
      </c>
    </row>
    <row r="45" spans="1:8" x14ac:dyDescent="0.55000000000000004">
      <c r="A45" s="6">
        <v>3.7695374929120262E+17</v>
      </c>
      <c r="B45">
        <v>1094</v>
      </c>
      <c r="C45">
        <v>1</v>
      </c>
      <c r="D45">
        <v>1526</v>
      </c>
      <c r="E45">
        <f t="shared" si="0"/>
        <v>2</v>
      </c>
      <c r="F45">
        <f t="shared" si="1"/>
        <v>1</v>
      </c>
      <c r="G45">
        <f t="shared" si="2"/>
        <v>2</v>
      </c>
      <c r="H45">
        <f t="shared" si="3"/>
        <v>212</v>
      </c>
    </row>
    <row r="46" spans="1:8" x14ac:dyDescent="0.55000000000000004">
      <c r="A46" s="6">
        <v>4.0056088428659872E+17</v>
      </c>
      <c r="B46">
        <v>144</v>
      </c>
      <c r="C46">
        <v>1</v>
      </c>
      <c r="D46">
        <v>196</v>
      </c>
      <c r="E46">
        <f t="shared" si="0"/>
        <v>5</v>
      </c>
      <c r="F46">
        <f t="shared" si="1"/>
        <v>1</v>
      </c>
      <c r="G46">
        <f t="shared" si="2"/>
        <v>1</v>
      </c>
      <c r="H46">
        <f t="shared" si="3"/>
        <v>511</v>
      </c>
    </row>
    <row r="47" spans="1:8" x14ac:dyDescent="0.55000000000000004">
      <c r="A47" s="6">
        <v>4.0567490631498502E+17</v>
      </c>
      <c r="B47">
        <v>907</v>
      </c>
      <c r="C47">
        <v>1</v>
      </c>
      <c r="D47">
        <v>258</v>
      </c>
      <c r="E47">
        <f t="shared" si="0"/>
        <v>2</v>
      </c>
      <c r="F47">
        <f t="shared" si="1"/>
        <v>1</v>
      </c>
      <c r="G47">
        <f t="shared" si="2"/>
        <v>1</v>
      </c>
      <c r="H47">
        <f t="shared" si="3"/>
        <v>211</v>
      </c>
    </row>
    <row r="48" spans="1:8" x14ac:dyDescent="0.55000000000000004">
      <c r="A48" s="6">
        <v>4.2128249009435482E+17</v>
      </c>
      <c r="B48">
        <v>39</v>
      </c>
      <c r="C48">
        <v>1</v>
      </c>
      <c r="D48">
        <v>2086</v>
      </c>
      <c r="E48">
        <f t="shared" si="0"/>
        <v>5</v>
      </c>
      <c r="F48">
        <f t="shared" si="1"/>
        <v>1</v>
      </c>
      <c r="G48">
        <f t="shared" si="2"/>
        <v>2</v>
      </c>
      <c r="H48">
        <f t="shared" si="3"/>
        <v>512</v>
      </c>
    </row>
    <row r="49" spans="1:8" x14ac:dyDescent="0.55000000000000004">
      <c r="A49" s="6">
        <v>4.2232134497167789E+17</v>
      </c>
      <c r="B49">
        <v>729</v>
      </c>
      <c r="C49">
        <v>2</v>
      </c>
      <c r="D49">
        <v>2499</v>
      </c>
      <c r="E49">
        <f t="shared" si="0"/>
        <v>3</v>
      </c>
      <c r="F49">
        <f t="shared" si="1"/>
        <v>2</v>
      </c>
      <c r="G49">
        <f t="shared" si="2"/>
        <v>3</v>
      </c>
      <c r="H49">
        <f t="shared" si="3"/>
        <v>323</v>
      </c>
    </row>
    <row r="50" spans="1:8" x14ac:dyDescent="0.55000000000000004">
      <c r="A50" s="6">
        <v>4.2674102297674528E+17</v>
      </c>
      <c r="B50">
        <v>112</v>
      </c>
      <c r="C50">
        <v>2</v>
      </c>
      <c r="D50">
        <v>497</v>
      </c>
      <c r="E50">
        <f t="shared" si="0"/>
        <v>5</v>
      </c>
      <c r="F50">
        <f t="shared" si="1"/>
        <v>2</v>
      </c>
      <c r="G50">
        <f t="shared" si="2"/>
        <v>1</v>
      </c>
      <c r="H50">
        <f t="shared" si="3"/>
        <v>521</v>
      </c>
    </row>
    <row r="51" spans="1:8" x14ac:dyDescent="0.55000000000000004">
      <c r="A51" s="6">
        <v>4.3485892790521062E+17</v>
      </c>
      <c r="B51">
        <v>718</v>
      </c>
      <c r="C51">
        <v>1</v>
      </c>
      <c r="D51">
        <v>1224</v>
      </c>
      <c r="E51">
        <f t="shared" si="0"/>
        <v>3</v>
      </c>
      <c r="F51">
        <f t="shared" si="1"/>
        <v>1</v>
      </c>
      <c r="G51">
        <f t="shared" si="2"/>
        <v>2</v>
      </c>
      <c r="H51">
        <f t="shared" si="3"/>
        <v>312</v>
      </c>
    </row>
    <row r="52" spans="1:8" x14ac:dyDescent="0.55000000000000004">
      <c r="A52" s="6">
        <v>4.6013205350899379E+17</v>
      </c>
      <c r="B52">
        <v>116</v>
      </c>
      <c r="C52">
        <v>1</v>
      </c>
      <c r="D52">
        <v>1890</v>
      </c>
      <c r="E52">
        <f t="shared" si="0"/>
        <v>5</v>
      </c>
      <c r="F52">
        <f t="shared" si="1"/>
        <v>1</v>
      </c>
      <c r="G52">
        <f t="shared" si="2"/>
        <v>2</v>
      </c>
      <c r="H52">
        <f t="shared" si="3"/>
        <v>512</v>
      </c>
    </row>
    <row r="53" spans="1:8" x14ac:dyDescent="0.55000000000000004">
      <c r="A53" s="6">
        <v>4.7412492185996429E+17</v>
      </c>
      <c r="B53">
        <v>240</v>
      </c>
      <c r="C53">
        <v>4</v>
      </c>
      <c r="D53">
        <v>11830</v>
      </c>
      <c r="E53">
        <f t="shared" si="0"/>
        <v>5</v>
      </c>
      <c r="F53">
        <f t="shared" si="1"/>
        <v>3</v>
      </c>
      <c r="G53">
        <f t="shared" si="2"/>
        <v>3</v>
      </c>
      <c r="H53">
        <f t="shared" si="3"/>
        <v>533</v>
      </c>
    </row>
    <row r="54" spans="1:8" x14ac:dyDescent="0.55000000000000004">
      <c r="A54" s="6">
        <v>4.8461358195959821E+17</v>
      </c>
      <c r="B54">
        <v>124</v>
      </c>
      <c r="C54">
        <v>2</v>
      </c>
      <c r="D54">
        <v>35480</v>
      </c>
      <c r="E54">
        <f t="shared" si="0"/>
        <v>5</v>
      </c>
      <c r="F54">
        <f t="shared" si="1"/>
        <v>2</v>
      </c>
      <c r="G54">
        <f t="shared" si="2"/>
        <v>3</v>
      </c>
      <c r="H54">
        <f t="shared" si="3"/>
        <v>523</v>
      </c>
    </row>
    <row r="55" spans="1:8" x14ac:dyDescent="0.55000000000000004">
      <c r="A55" s="6">
        <v>4.9488081381740602E+17</v>
      </c>
      <c r="B55">
        <v>269</v>
      </c>
      <c r="C55">
        <v>1</v>
      </c>
      <c r="D55">
        <v>215</v>
      </c>
      <c r="E55">
        <f t="shared" si="0"/>
        <v>5</v>
      </c>
      <c r="F55">
        <f t="shared" si="1"/>
        <v>1</v>
      </c>
      <c r="G55">
        <f t="shared" si="2"/>
        <v>1</v>
      </c>
      <c r="H55">
        <f t="shared" si="3"/>
        <v>511</v>
      </c>
    </row>
    <row r="56" spans="1:8" x14ac:dyDescent="0.55000000000000004">
      <c r="A56" s="6">
        <v>5.0554200549703558E+17</v>
      </c>
      <c r="B56">
        <v>119</v>
      </c>
      <c r="C56">
        <v>1</v>
      </c>
      <c r="D56">
        <v>3270</v>
      </c>
      <c r="E56">
        <f t="shared" si="0"/>
        <v>5</v>
      </c>
      <c r="F56">
        <f t="shared" si="1"/>
        <v>1</v>
      </c>
      <c r="G56">
        <f t="shared" si="2"/>
        <v>3</v>
      </c>
      <c r="H56">
        <f t="shared" si="3"/>
        <v>513</v>
      </c>
    </row>
    <row r="57" spans="1:8" x14ac:dyDescent="0.55000000000000004">
      <c r="A57" s="6">
        <v>5.101889176606089E+17</v>
      </c>
      <c r="B57">
        <v>216</v>
      </c>
      <c r="C57">
        <v>2</v>
      </c>
      <c r="D57">
        <v>3866</v>
      </c>
      <c r="E57">
        <f t="shared" si="0"/>
        <v>5</v>
      </c>
      <c r="F57">
        <f t="shared" si="1"/>
        <v>2</v>
      </c>
      <c r="G57">
        <f t="shared" si="2"/>
        <v>3</v>
      </c>
      <c r="H57">
        <f t="shared" si="3"/>
        <v>523</v>
      </c>
    </row>
    <row r="58" spans="1:8" x14ac:dyDescent="0.55000000000000004">
      <c r="A58" s="6">
        <v>5.1490237090920947E+17</v>
      </c>
      <c r="B58">
        <v>540</v>
      </c>
      <c r="C58">
        <v>3</v>
      </c>
      <c r="D58">
        <v>6386</v>
      </c>
      <c r="E58">
        <f t="shared" si="0"/>
        <v>4</v>
      </c>
      <c r="F58">
        <f t="shared" si="1"/>
        <v>3</v>
      </c>
      <c r="G58">
        <f t="shared" si="2"/>
        <v>3</v>
      </c>
      <c r="H58">
        <f t="shared" si="3"/>
        <v>433</v>
      </c>
    </row>
    <row r="59" spans="1:8" x14ac:dyDescent="0.55000000000000004">
      <c r="A59" s="6">
        <v>5.2033099489170362E+17</v>
      </c>
      <c r="B59">
        <v>110</v>
      </c>
      <c r="C59">
        <v>1</v>
      </c>
      <c r="D59">
        <v>4136</v>
      </c>
      <c r="E59">
        <f t="shared" si="0"/>
        <v>5</v>
      </c>
      <c r="F59">
        <f t="shared" si="1"/>
        <v>1</v>
      </c>
      <c r="G59">
        <f t="shared" si="2"/>
        <v>3</v>
      </c>
      <c r="H59">
        <f t="shared" si="3"/>
        <v>513</v>
      </c>
    </row>
    <row r="60" spans="1:8" x14ac:dyDescent="0.55000000000000004">
      <c r="A60" s="6">
        <v>5.2409836785042022E+17</v>
      </c>
      <c r="B60">
        <v>75</v>
      </c>
      <c r="C60">
        <v>1</v>
      </c>
      <c r="D60">
        <v>13965</v>
      </c>
      <c r="E60">
        <f t="shared" si="0"/>
        <v>5</v>
      </c>
      <c r="F60">
        <f t="shared" si="1"/>
        <v>1</v>
      </c>
      <c r="G60">
        <f t="shared" si="2"/>
        <v>3</v>
      </c>
      <c r="H60">
        <f t="shared" si="3"/>
        <v>513</v>
      </c>
    </row>
    <row r="61" spans="1:8" x14ac:dyDescent="0.55000000000000004">
      <c r="A61" s="6">
        <v>5.2888979487340147E+17</v>
      </c>
      <c r="B61">
        <v>220</v>
      </c>
      <c r="C61">
        <v>2</v>
      </c>
      <c r="D61">
        <v>3489</v>
      </c>
      <c r="E61">
        <f t="shared" si="0"/>
        <v>5</v>
      </c>
      <c r="F61">
        <f t="shared" si="1"/>
        <v>2</v>
      </c>
      <c r="G61">
        <f t="shared" si="2"/>
        <v>3</v>
      </c>
      <c r="H61">
        <f t="shared" si="3"/>
        <v>523</v>
      </c>
    </row>
    <row r="62" spans="1:8" x14ac:dyDescent="0.55000000000000004">
      <c r="A62" s="6">
        <v>5.4414353538628083E+17</v>
      </c>
      <c r="B62">
        <v>230</v>
      </c>
      <c r="C62">
        <v>1</v>
      </c>
      <c r="D62">
        <v>11873</v>
      </c>
      <c r="E62">
        <f t="shared" si="0"/>
        <v>5</v>
      </c>
      <c r="F62">
        <f t="shared" si="1"/>
        <v>1</v>
      </c>
      <c r="G62">
        <f t="shared" si="2"/>
        <v>3</v>
      </c>
      <c r="H62">
        <f t="shared" si="3"/>
        <v>513</v>
      </c>
    </row>
    <row r="63" spans="1:8" x14ac:dyDescent="0.55000000000000004">
      <c r="A63" s="6">
        <v>5.718961874495673E+17</v>
      </c>
      <c r="B63">
        <v>7</v>
      </c>
      <c r="C63">
        <v>3</v>
      </c>
      <c r="D63">
        <v>2466</v>
      </c>
      <c r="E63">
        <f t="shared" si="0"/>
        <v>5</v>
      </c>
      <c r="F63">
        <f t="shared" si="1"/>
        <v>3</v>
      </c>
      <c r="G63">
        <f t="shared" si="2"/>
        <v>3</v>
      </c>
      <c r="H63">
        <f t="shared" si="3"/>
        <v>533</v>
      </c>
    </row>
    <row r="64" spans="1:8" x14ac:dyDescent="0.55000000000000004">
      <c r="A64" s="6">
        <v>5.7242372799877747E+17</v>
      </c>
      <c r="B64">
        <v>281</v>
      </c>
      <c r="C64">
        <v>1</v>
      </c>
      <c r="D64">
        <v>3175</v>
      </c>
      <c r="E64">
        <f t="shared" si="0"/>
        <v>5</v>
      </c>
      <c r="F64">
        <f t="shared" si="1"/>
        <v>1</v>
      </c>
      <c r="G64">
        <f t="shared" si="2"/>
        <v>3</v>
      </c>
      <c r="H64">
        <f t="shared" si="3"/>
        <v>513</v>
      </c>
    </row>
    <row r="65" spans="1:8" x14ac:dyDescent="0.55000000000000004">
      <c r="A65" s="6">
        <v>5.7520093369095059E+17</v>
      </c>
      <c r="B65">
        <v>366</v>
      </c>
      <c r="C65">
        <v>1</v>
      </c>
      <c r="D65">
        <v>504</v>
      </c>
      <c r="E65">
        <f t="shared" si="0"/>
        <v>4</v>
      </c>
      <c r="F65">
        <f t="shared" si="1"/>
        <v>1</v>
      </c>
      <c r="G65">
        <f t="shared" si="2"/>
        <v>1</v>
      </c>
      <c r="H65">
        <f t="shared" si="3"/>
        <v>411</v>
      </c>
    </row>
    <row r="66" spans="1:8" x14ac:dyDescent="0.55000000000000004">
      <c r="A66" s="6">
        <v>5.8332898819975539E+17</v>
      </c>
      <c r="B66">
        <v>34</v>
      </c>
      <c r="C66">
        <v>1</v>
      </c>
      <c r="D66">
        <v>217</v>
      </c>
      <c r="E66">
        <f t="shared" si="0"/>
        <v>5</v>
      </c>
      <c r="F66">
        <f t="shared" si="1"/>
        <v>1</v>
      </c>
      <c r="G66">
        <f t="shared" si="2"/>
        <v>1</v>
      </c>
      <c r="H66">
        <f t="shared" si="3"/>
        <v>511</v>
      </c>
    </row>
    <row r="67" spans="1:8" x14ac:dyDescent="0.55000000000000004">
      <c r="A67" s="6">
        <v>5.8347292509330957E+17</v>
      </c>
      <c r="B67">
        <v>728</v>
      </c>
      <c r="C67">
        <v>1</v>
      </c>
      <c r="D67">
        <v>1524</v>
      </c>
      <c r="E67">
        <f t="shared" ref="E67:E130" si="8">VLOOKUP(B67,$K$5:$L$9,2,1)</f>
        <v>3</v>
      </c>
      <c r="F67">
        <f t="shared" ref="F67:F130" si="9">VLOOKUP(C67,$K$15:$L$17,2,1)</f>
        <v>1</v>
      </c>
      <c r="G67">
        <f t="shared" ref="G67:G130" si="10">VLOOKUP(D67,$K$24:$L$26,2,1)</f>
        <v>2</v>
      </c>
      <c r="H67">
        <f t="shared" ref="H67:H130" si="11">E67*100+F67*10+G67</f>
        <v>312</v>
      </c>
    </row>
    <row r="68" spans="1:8" x14ac:dyDescent="0.55000000000000004">
      <c r="A68" s="6">
        <v>5.9528414625950733E+17</v>
      </c>
      <c r="B68">
        <v>595</v>
      </c>
      <c r="C68">
        <v>1</v>
      </c>
      <c r="D68">
        <v>2250</v>
      </c>
      <c r="E68">
        <f t="shared" si="8"/>
        <v>3</v>
      </c>
      <c r="F68">
        <f t="shared" si="9"/>
        <v>1</v>
      </c>
      <c r="G68">
        <f t="shared" si="10"/>
        <v>3</v>
      </c>
      <c r="H68">
        <f t="shared" si="11"/>
        <v>313</v>
      </c>
    </row>
    <row r="69" spans="1:8" x14ac:dyDescent="0.55000000000000004">
      <c r="A69" s="6">
        <v>6.4384708484770816E+17</v>
      </c>
      <c r="B69">
        <v>415</v>
      </c>
      <c r="C69">
        <v>2</v>
      </c>
      <c r="D69">
        <v>1727</v>
      </c>
      <c r="E69">
        <f t="shared" si="8"/>
        <v>4</v>
      </c>
      <c r="F69">
        <f t="shared" si="9"/>
        <v>2</v>
      </c>
      <c r="G69">
        <f t="shared" si="10"/>
        <v>2</v>
      </c>
      <c r="H69">
        <f t="shared" si="11"/>
        <v>422</v>
      </c>
    </row>
    <row r="70" spans="1:8" x14ac:dyDescent="0.55000000000000004">
      <c r="A70" s="6">
        <v>6.5042221589072218E+17</v>
      </c>
      <c r="B70">
        <v>437</v>
      </c>
      <c r="C70">
        <v>1</v>
      </c>
      <c r="D70">
        <v>1304</v>
      </c>
      <c r="E70">
        <f t="shared" si="8"/>
        <v>4</v>
      </c>
      <c r="F70">
        <f t="shared" si="9"/>
        <v>1</v>
      </c>
      <c r="G70">
        <f t="shared" si="10"/>
        <v>2</v>
      </c>
      <c r="H70">
        <f t="shared" si="11"/>
        <v>412</v>
      </c>
    </row>
    <row r="71" spans="1:8" x14ac:dyDescent="0.55000000000000004">
      <c r="A71" s="6">
        <v>6.5094737371796442E+17</v>
      </c>
      <c r="B71">
        <v>1128</v>
      </c>
      <c r="C71">
        <v>1</v>
      </c>
      <c r="D71">
        <v>199</v>
      </c>
      <c r="E71">
        <f t="shared" si="8"/>
        <v>2</v>
      </c>
      <c r="F71">
        <f t="shared" si="9"/>
        <v>1</v>
      </c>
      <c r="G71">
        <f t="shared" si="10"/>
        <v>1</v>
      </c>
      <c r="H71">
        <f t="shared" si="11"/>
        <v>211</v>
      </c>
    </row>
    <row r="72" spans="1:8" x14ac:dyDescent="0.55000000000000004">
      <c r="A72" s="6">
        <v>6.5503717846688806E+17</v>
      </c>
      <c r="B72">
        <v>768</v>
      </c>
      <c r="C72">
        <v>1</v>
      </c>
      <c r="D72">
        <v>249</v>
      </c>
      <c r="E72">
        <f t="shared" si="8"/>
        <v>3</v>
      </c>
      <c r="F72">
        <f t="shared" si="9"/>
        <v>1</v>
      </c>
      <c r="G72">
        <f t="shared" si="10"/>
        <v>1</v>
      </c>
      <c r="H72">
        <f t="shared" si="11"/>
        <v>311</v>
      </c>
    </row>
    <row r="73" spans="1:8" x14ac:dyDescent="0.55000000000000004">
      <c r="A73" s="6">
        <v>6.6437018081170381E+17</v>
      </c>
      <c r="B73">
        <v>534</v>
      </c>
      <c r="C73">
        <v>3</v>
      </c>
      <c r="D73">
        <v>5435</v>
      </c>
      <c r="E73">
        <f t="shared" si="8"/>
        <v>4</v>
      </c>
      <c r="F73">
        <f t="shared" si="9"/>
        <v>3</v>
      </c>
      <c r="G73">
        <f t="shared" si="10"/>
        <v>3</v>
      </c>
      <c r="H73">
        <f t="shared" si="11"/>
        <v>433</v>
      </c>
    </row>
    <row r="74" spans="1:8" x14ac:dyDescent="0.55000000000000004">
      <c r="A74" s="6">
        <v>6.7143940165693606E+17</v>
      </c>
      <c r="B74">
        <v>601</v>
      </c>
      <c r="C74">
        <v>1</v>
      </c>
      <c r="D74">
        <v>2054</v>
      </c>
      <c r="E74">
        <f t="shared" si="8"/>
        <v>3</v>
      </c>
      <c r="F74">
        <f t="shared" si="9"/>
        <v>1</v>
      </c>
      <c r="G74">
        <f t="shared" si="10"/>
        <v>2</v>
      </c>
      <c r="H74">
        <f t="shared" si="11"/>
        <v>312</v>
      </c>
    </row>
    <row r="75" spans="1:8" x14ac:dyDescent="0.55000000000000004">
      <c r="A75" s="6">
        <v>6.9147518516432422E+17</v>
      </c>
      <c r="B75">
        <v>58</v>
      </c>
      <c r="C75">
        <v>3</v>
      </c>
      <c r="D75">
        <v>7695</v>
      </c>
      <c r="E75">
        <f t="shared" si="8"/>
        <v>5</v>
      </c>
      <c r="F75">
        <f t="shared" si="9"/>
        <v>3</v>
      </c>
      <c r="G75">
        <f t="shared" si="10"/>
        <v>3</v>
      </c>
      <c r="H75">
        <f t="shared" si="11"/>
        <v>533</v>
      </c>
    </row>
    <row r="76" spans="1:8" x14ac:dyDescent="0.55000000000000004">
      <c r="A76" s="6">
        <v>6.9217811551564902E+17</v>
      </c>
      <c r="B76">
        <v>960</v>
      </c>
      <c r="C76">
        <v>1</v>
      </c>
      <c r="D76">
        <v>208</v>
      </c>
      <c r="E76">
        <f t="shared" si="8"/>
        <v>2</v>
      </c>
      <c r="F76">
        <f t="shared" si="9"/>
        <v>1</v>
      </c>
      <c r="G76">
        <f t="shared" si="10"/>
        <v>1</v>
      </c>
      <c r="H76">
        <f t="shared" si="11"/>
        <v>211</v>
      </c>
    </row>
    <row r="77" spans="1:8" x14ac:dyDescent="0.55000000000000004">
      <c r="A77" s="6">
        <v>7.0215235198250227E+17</v>
      </c>
      <c r="B77">
        <v>383</v>
      </c>
      <c r="C77">
        <v>1</v>
      </c>
      <c r="D77">
        <v>2594</v>
      </c>
      <c r="E77">
        <f t="shared" si="8"/>
        <v>4</v>
      </c>
      <c r="F77">
        <f t="shared" si="9"/>
        <v>1</v>
      </c>
      <c r="G77">
        <f t="shared" si="10"/>
        <v>3</v>
      </c>
      <c r="H77">
        <f t="shared" si="11"/>
        <v>413</v>
      </c>
    </row>
    <row r="78" spans="1:8" x14ac:dyDescent="0.55000000000000004">
      <c r="A78" s="6">
        <v>7.0551409579902822E+17</v>
      </c>
      <c r="B78">
        <v>174</v>
      </c>
      <c r="C78">
        <v>1</v>
      </c>
      <c r="D78">
        <v>989</v>
      </c>
      <c r="E78">
        <f t="shared" si="8"/>
        <v>5</v>
      </c>
      <c r="F78">
        <f t="shared" si="9"/>
        <v>1</v>
      </c>
      <c r="G78">
        <f t="shared" si="10"/>
        <v>2</v>
      </c>
      <c r="H78">
        <f t="shared" si="11"/>
        <v>512</v>
      </c>
    </row>
    <row r="79" spans="1:8" x14ac:dyDescent="0.55000000000000004">
      <c r="A79" s="6">
        <v>7.1131906820418394E+17</v>
      </c>
      <c r="B79">
        <v>289</v>
      </c>
      <c r="C79">
        <v>2</v>
      </c>
      <c r="D79">
        <v>9370</v>
      </c>
      <c r="E79">
        <f t="shared" si="8"/>
        <v>5</v>
      </c>
      <c r="F79">
        <f t="shared" si="9"/>
        <v>2</v>
      </c>
      <c r="G79">
        <f t="shared" si="10"/>
        <v>3</v>
      </c>
      <c r="H79">
        <f t="shared" si="11"/>
        <v>523</v>
      </c>
    </row>
    <row r="80" spans="1:8" x14ac:dyDescent="0.55000000000000004">
      <c r="A80" s="6">
        <v>7.4680932947525184E+17</v>
      </c>
      <c r="B80">
        <v>84</v>
      </c>
      <c r="C80">
        <v>2</v>
      </c>
      <c r="D80">
        <v>2617</v>
      </c>
      <c r="E80">
        <f t="shared" si="8"/>
        <v>5</v>
      </c>
      <c r="F80">
        <f t="shared" si="9"/>
        <v>2</v>
      </c>
      <c r="G80">
        <f t="shared" si="10"/>
        <v>3</v>
      </c>
      <c r="H80">
        <f t="shared" si="11"/>
        <v>523</v>
      </c>
    </row>
    <row r="81" spans="1:8" x14ac:dyDescent="0.55000000000000004">
      <c r="A81" s="6">
        <v>7.7097380129693888E+17</v>
      </c>
      <c r="B81">
        <v>408</v>
      </c>
      <c r="C81">
        <v>1</v>
      </c>
      <c r="D81">
        <v>5112</v>
      </c>
      <c r="E81">
        <f t="shared" si="8"/>
        <v>4</v>
      </c>
      <c r="F81">
        <f t="shared" si="9"/>
        <v>1</v>
      </c>
      <c r="G81">
        <f t="shared" si="10"/>
        <v>3</v>
      </c>
      <c r="H81">
        <f t="shared" si="11"/>
        <v>413</v>
      </c>
    </row>
    <row r="82" spans="1:8" x14ac:dyDescent="0.55000000000000004">
      <c r="A82" s="6">
        <v>7.7222975608200474E+17</v>
      </c>
      <c r="B82">
        <v>1124</v>
      </c>
      <c r="C82">
        <v>1</v>
      </c>
      <c r="D82">
        <v>89</v>
      </c>
      <c r="E82">
        <f t="shared" si="8"/>
        <v>2</v>
      </c>
      <c r="F82">
        <f t="shared" si="9"/>
        <v>1</v>
      </c>
      <c r="G82">
        <f t="shared" si="10"/>
        <v>1</v>
      </c>
      <c r="H82">
        <f t="shared" si="11"/>
        <v>211</v>
      </c>
    </row>
    <row r="83" spans="1:8" x14ac:dyDescent="0.55000000000000004">
      <c r="A83" s="6">
        <v>7.7311230077990822E+17</v>
      </c>
      <c r="B83">
        <v>249</v>
      </c>
      <c r="C83">
        <v>3</v>
      </c>
      <c r="D83">
        <v>4900</v>
      </c>
      <c r="E83">
        <f t="shared" si="8"/>
        <v>5</v>
      </c>
      <c r="F83">
        <f t="shared" si="9"/>
        <v>3</v>
      </c>
      <c r="G83">
        <f t="shared" si="10"/>
        <v>3</v>
      </c>
      <c r="H83">
        <f t="shared" si="11"/>
        <v>533</v>
      </c>
    </row>
    <row r="84" spans="1:8" x14ac:dyDescent="0.55000000000000004">
      <c r="A84" s="6">
        <v>7.7545241007708902E+17</v>
      </c>
      <c r="B84">
        <v>298</v>
      </c>
      <c r="C84">
        <v>3</v>
      </c>
      <c r="D84">
        <v>827</v>
      </c>
      <c r="E84">
        <f t="shared" si="8"/>
        <v>4</v>
      </c>
      <c r="F84">
        <f t="shared" si="9"/>
        <v>3</v>
      </c>
      <c r="G84">
        <f t="shared" si="10"/>
        <v>2</v>
      </c>
      <c r="H84">
        <f t="shared" si="11"/>
        <v>432</v>
      </c>
    </row>
    <row r="85" spans="1:8" x14ac:dyDescent="0.55000000000000004">
      <c r="A85" s="6">
        <v>7.8213919786076019E+17</v>
      </c>
      <c r="B85">
        <v>210</v>
      </c>
      <c r="C85">
        <v>1</v>
      </c>
      <c r="D85">
        <v>296</v>
      </c>
      <c r="E85">
        <f t="shared" si="8"/>
        <v>5</v>
      </c>
      <c r="F85">
        <f t="shared" si="9"/>
        <v>1</v>
      </c>
      <c r="G85">
        <f t="shared" si="10"/>
        <v>1</v>
      </c>
      <c r="H85">
        <f t="shared" si="11"/>
        <v>511</v>
      </c>
    </row>
    <row r="86" spans="1:8" x14ac:dyDescent="0.55000000000000004">
      <c r="A86" s="6">
        <v>7.8620508395246733E+17</v>
      </c>
      <c r="B86">
        <v>1281</v>
      </c>
      <c r="C86">
        <v>2</v>
      </c>
      <c r="D86">
        <v>13233</v>
      </c>
      <c r="E86">
        <f t="shared" si="8"/>
        <v>1</v>
      </c>
      <c r="F86">
        <f t="shared" si="9"/>
        <v>2</v>
      </c>
      <c r="G86">
        <f t="shared" si="10"/>
        <v>3</v>
      </c>
      <c r="H86">
        <f t="shared" si="11"/>
        <v>123</v>
      </c>
    </row>
    <row r="87" spans="1:8" x14ac:dyDescent="0.55000000000000004">
      <c r="A87" s="6">
        <v>8.0436897055711142E+17</v>
      </c>
      <c r="B87">
        <v>158</v>
      </c>
      <c r="C87">
        <v>2</v>
      </c>
      <c r="D87">
        <v>852</v>
      </c>
      <c r="E87">
        <f t="shared" si="8"/>
        <v>5</v>
      </c>
      <c r="F87">
        <f t="shared" si="9"/>
        <v>2</v>
      </c>
      <c r="G87">
        <f t="shared" si="10"/>
        <v>2</v>
      </c>
      <c r="H87">
        <f t="shared" si="11"/>
        <v>522</v>
      </c>
    </row>
    <row r="88" spans="1:8" x14ac:dyDescent="0.55000000000000004">
      <c r="A88" s="6">
        <v>8.0907281256138419E+17</v>
      </c>
      <c r="B88">
        <v>593</v>
      </c>
      <c r="C88">
        <v>1</v>
      </c>
      <c r="D88">
        <v>9542</v>
      </c>
      <c r="E88">
        <f t="shared" si="8"/>
        <v>3</v>
      </c>
      <c r="F88">
        <f t="shared" si="9"/>
        <v>1</v>
      </c>
      <c r="G88">
        <f t="shared" si="10"/>
        <v>3</v>
      </c>
      <c r="H88">
        <f t="shared" si="11"/>
        <v>313</v>
      </c>
    </row>
    <row r="89" spans="1:8" x14ac:dyDescent="0.55000000000000004">
      <c r="A89" s="6">
        <v>8.2096220943901811E+17</v>
      </c>
      <c r="B89">
        <v>523</v>
      </c>
      <c r="C89">
        <v>1</v>
      </c>
      <c r="D89">
        <v>10530</v>
      </c>
      <c r="E89">
        <f t="shared" si="8"/>
        <v>4</v>
      </c>
      <c r="F89">
        <f t="shared" si="9"/>
        <v>1</v>
      </c>
      <c r="G89">
        <f t="shared" si="10"/>
        <v>3</v>
      </c>
      <c r="H89">
        <f t="shared" si="11"/>
        <v>413</v>
      </c>
    </row>
    <row r="90" spans="1:8" x14ac:dyDescent="0.55000000000000004">
      <c r="A90" s="6">
        <v>8.466503340618112E+17</v>
      </c>
      <c r="B90">
        <v>748</v>
      </c>
      <c r="C90">
        <v>2</v>
      </c>
      <c r="D90">
        <v>1005</v>
      </c>
      <c r="E90">
        <f t="shared" si="8"/>
        <v>3</v>
      </c>
      <c r="F90">
        <f t="shared" si="9"/>
        <v>2</v>
      </c>
      <c r="G90">
        <f t="shared" si="10"/>
        <v>2</v>
      </c>
      <c r="H90">
        <f t="shared" si="11"/>
        <v>322</v>
      </c>
    </row>
    <row r="91" spans="1:8" x14ac:dyDescent="0.55000000000000004">
      <c r="A91" s="6">
        <v>8.5783702206405376E+17</v>
      </c>
      <c r="B91">
        <v>1219</v>
      </c>
      <c r="C91">
        <v>2</v>
      </c>
      <c r="D91">
        <v>598</v>
      </c>
      <c r="E91">
        <f t="shared" si="8"/>
        <v>1</v>
      </c>
      <c r="F91">
        <f t="shared" si="9"/>
        <v>2</v>
      </c>
      <c r="G91">
        <f t="shared" si="10"/>
        <v>1</v>
      </c>
      <c r="H91">
        <f t="shared" si="11"/>
        <v>121</v>
      </c>
    </row>
    <row r="92" spans="1:8" x14ac:dyDescent="0.55000000000000004">
      <c r="A92" s="6">
        <v>8.8108714399872422E+17</v>
      </c>
      <c r="B92">
        <v>1190</v>
      </c>
      <c r="C92">
        <v>1</v>
      </c>
      <c r="D92">
        <v>195</v>
      </c>
      <c r="E92">
        <f t="shared" si="8"/>
        <v>1</v>
      </c>
      <c r="F92">
        <f t="shared" si="9"/>
        <v>1</v>
      </c>
      <c r="G92">
        <f t="shared" si="10"/>
        <v>1</v>
      </c>
      <c r="H92">
        <f t="shared" si="11"/>
        <v>111</v>
      </c>
    </row>
    <row r="93" spans="1:8" x14ac:dyDescent="0.55000000000000004">
      <c r="A93" s="6">
        <v>8.8511970587505523E+17</v>
      </c>
      <c r="B93">
        <v>935</v>
      </c>
      <c r="C93">
        <v>1</v>
      </c>
      <c r="D93">
        <v>4122</v>
      </c>
      <c r="E93">
        <f t="shared" si="8"/>
        <v>2</v>
      </c>
      <c r="F93">
        <f t="shared" si="9"/>
        <v>1</v>
      </c>
      <c r="G93">
        <f t="shared" si="10"/>
        <v>3</v>
      </c>
      <c r="H93">
        <f t="shared" si="11"/>
        <v>213</v>
      </c>
    </row>
    <row r="94" spans="1:8" x14ac:dyDescent="0.55000000000000004">
      <c r="A94" s="6">
        <v>8.8780906955512128E+17</v>
      </c>
      <c r="B94">
        <v>379</v>
      </c>
      <c r="C94">
        <v>1</v>
      </c>
      <c r="D94">
        <v>1122</v>
      </c>
      <c r="E94">
        <f t="shared" si="8"/>
        <v>4</v>
      </c>
      <c r="F94">
        <f t="shared" si="9"/>
        <v>1</v>
      </c>
      <c r="G94">
        <f t="shared" si="10"/>
        <v>2</v>
      </c>
      <c r="H94">
        <f t="shared" si="11"/>
        <v>412</v>
      </c>
    </row>
    <row r="95" spans="1:8" x14ac:dyDescent="0.55000000000000004">
      <c r="A95" s="6">
        <v>8.9076997654689088E+17</v>
      </c>
      <c r="B95">
        <v>299</v>
      </c>
      <c r="C95">
        <v>2</v>
      </c>
      <c r="D95">
        <v>6540</v>
      </c>
      <c r="E95">
        <f t="shared" si="8"/>
        <v>4</v>
      </c>
      <c r="F95">
        <f t="shared" si="9"/>
        <v>2</v>
      </c>
      <c r="G95">
        <f t="shared" si="10"/>
        <v>3</v>
      </c>
      <c r="H95">
        <f t="shared" si="11"/>
        <v>423</v>
      </c>
    </row>
    <row r="96" spans="1:8" x14ac:dyDescent="0.55000000000000004">
      <c r="A96" s="6">
        <v>8.9188782512294784E+17</v>
      </c>
      <c r="B96">
        <v>216</v>
      </c>
      <c r="C96">
        <v>3</v>
      </c>
      <c r="D96">
        <v>779</v>
      </c>
      <c r="E96">
        <f t="shared" si="8"/>
        <v>5</v>
      </c>
      <c r="F96">
        <f t="shared" si="9"/>
        <v>3</v>
      </c>
      <c r="G96">
        <f t="shared" si="10"/>
        <v>2</v>
      </c>
      <c r="H96">
        <f t="shared" si="11"/>
        <v>532</v>
      </c>
    </row>
    <row r="97" spans="1:8" x14ac:dyDescent="0.55000000000000004">
      <c r="A97" s="6">
        <v>8.9323290244367526E+17</v>
      </c>
      <c r="B97">
        <v>404</v>
      </c>
      <c r="C97">
        <v>3</v>
      </c>
      <c r="D97">
        <v>2296</v>
      </c>
      <c r="E97">
        <f t="shared" si="8"/>
        <v>4</v>
      </c>
      <c r="F97">
        <f t="shared" si="9"/>
        <v>3</v>
      </c>
      <c r="G97">
        <f t="shared" si="10"/>
        <v>3</v>
      </c>
      <c r="H97">
        <f t="shared" si="11"/>
        <v>433</v>
      </c>
    </row>
    <row r="98" spans="1:8" x14ac:dyDescent="0.55000000000000004">
      <c r="A98" s="6">
        <v>9.0032645547577498E+17</v>
      </c>
      <c r="B98">
        <v>56</v>
      </c>
      <c r="C98">
        <v>2</v>
      </c>
      <c r="D98">
        <v>796</v>
      </c>
      <c r="E98">
        <f t="shared" si="8"/>
        <v>5</v>
      </c>
      <c r="F98">
        <f t="shared" si="9"/>
        <v>2</v>
      </c>
      <c r="G98">
        <f t="shared" si="10"/>
        <v>2</v>
      </c>
      <c r="H98">
        <f t="shared" si="11"/>
        <v>522</v>
      </c>
    </row>
    <row r="99" spans="1:8" x14ac:dyDescent="0.55000000000000004">
      <c r="A99" s="6">
        <v>9.4126919788709043E+17</v>
      </c>
      <c r="B99">
        <v>1130</v>
      </c>
      <c r="C99">
        <v>1</v>
      </c>
      <c r="D99">
        <v>234</v>
      </c>
      <c r="E99">
        <f t="shared" si="8"/>
        <v>2</v>
      </c>
      <c r="F99">
        <f t="shared" si="9"/>
        <v>1</v>
      </c>
      <c r="G99">
        <f t="shared" si="10"/>
        <v>1</v>
      </c>
      <c r="H99">
        <f t="shared" si="11"/>
        <v>211</v>
      </c>
    </row>
    <row r="100" spans="1:8" x14ac:dyDescent="0.55000000000000004">
      <c r="A100" s="6">
        <v>9.5319592315029478E+17</v>
      </c>
      <c r="B100">
        <v>66</v>
      </c>
      <c r="C100">
        <v>3</v>
      </c>
      <c r="D100">
        <v>5817</v>
      </c>
      <c r="E100">
        <f t="shared" si="8"/>
        <v>5</v>
      </c>
      <c r="F100">
        <f t="shared" si="9"/>
        <v>3</v>
      </c>
      <c r="G100">
        <f t="shared" si="10"/>
        <v>3</v>
      </c>
      <c r="H100">
        <f t="shared" si="11"/>
        <v>533</v>
      </c>
    </row>
    <row r="101" spans="1:8" x14ac:dyDescent="0.55000000000000004">
      <c r="A101" s="6">
        <v>9.6473097955478285E+17</v>
      </c>
      <c r="B101">
        <v>119</v>
      </c>
      <c r="C101">
        <v>2</v>
      </c>
      <c r="D101">
        <v>683</v>
      </c>
      <c r="E101">
        <f t="shared" si="8"/>
        <v>5</v>
      </c>
      <c r="F101">
        <f t="shared" si="9"/>
        <v>2</v>
      </c>
      <c r="G101">
        <f t="shared" si="10"/>
        <v>2</v>
      </c>
      <c r="H101">
        <f t="shared" si="11"/>
        <v>522</v>
      </c>
    </row>
    <row r="102" spans="1:8" x14ac:dyDescent="0.55000000000000004">
      <c r="A102" s="6">
        <v>9.6724537078458496E+17</v>
      </c>
      <c r="B102">
        <v>97</v>
      </c>
      <c r="C102">
        <v>3</v>
      </c>
      <c r="D102">
        <v>3952</v>
      </c>
      <c r="E102">
        <f t="shared" si="8"/>
        <v>5</v>
      </c>
      <c r="F102">
        <f t="shared" si="9"/>
        <v>3</v>
      </c>
      <c r="G102">
        <f t="shared" si="10"/>
        <v>3</v>
      </c>
      <c r="H102">
        <f t="shared" si="11"/>
        <v>533</v>
      </c>
    </row>
    <row r="103" spans="1:8" x14ac:dyDescent="0.55000000000000004">
      <c r="A103" s="6">
        <v>9.7907267103041267E+17</v>
      </c>
      <c r="B103">
        <v>106</v>
      </c>
      <c r="C103">
        <v>2</v>
      </c>
      <c r="D103">
        <v>2186</v>
      </c>
      <c r="E103">
        <f t="shared" si="8"/>
        <v>5</v>
      </c>
      <c r="F103">
        <f t="shared" si="9"/>
        <v>2</v>
      </c>
      <c r="G103">
        <f t="shared" si="10"/>
        <v>2</v>
      </c>
      <c r="H103">
        <f t="shared" si="11"/>
        <v>522</v>
      </c>
    </row>
    <row r="104" spans="1:8" x14ac:dyDescent="0.55000000000000004">
      <c r="A104" s="6">
        <v>9.8270771362328934E+17</v>
      </c>
      <c r="B104">
        <v>405</v>
      </c>
      <c r="C104">
        <v>1</v>
      </c>
      <c r="D104">
        <v>495</v>
      </c>
      <c r="E104">
        <f t="shared" si="8"/>
        <v>4</v>
      </c>
      <c r="F104">
        <f t="shared" si="9"/>
        <v>1</v>
      </c>
      <c r="G104">
        <f t="shared" si="10"/>
        <v>1</v>
      </c>
      <c r="H104">
        <f t="shared" si="11"/>
        <v>411</v>
      </c>
    </row>
    <row r="105" spans="1:8" x14ac:dyDescent="0.55000000000000004">
      <c r="A105" s="6">
        <v>9.8353873328945715E+17</v>
      </c>
      <c r="B105">
        <v>1433</v>
      </c>
      <c r="C105">
        <v>1</v>
      </c>
      <c r="D105">
        <v>597</v>
      </c>
      <c r="E105">
        <f t="shared" si="8"/>
        <v>1</v>
      </c>
      <c r="F105">
        <f t="shared" si="9"/>
        <v>1</v>
      </c>
      <c r="G105">
        <f t="shared" si="10"/>
        <v>1</v>
      </c>
      <c r="H105">
        <f t="shared" si="11"/>
        <v>111</v>
      </c>
    </row>
    <row r="106" spans="1:8" x14ac:dyDescent="0.55000000000000004">
      <c r="A106" s="6">
        <v>9.9997063924467917E+17</v>
      </c>
      <c r="B106">
        <v>587</v>
      </c>
      <c r="C106">
        <v>3</v>
      </c>
      <c r="D106">
        <v>2695</v>
      </c>
      <c r="E106">
        <f t="shared" si="8"/>
        <v>3</v>
      </c>
      <c r="F106">
        <f t="shared" si="9"/>
        <v>3</v>
      </c>
      <c r="G106">
        <f t="shared" si="10"/>
        <v>3</v>
      </c>
      <c r="H106">
        <f t="shared" si="11"/>
        <v>333</v>
      </c>
    </row>
    <row r="107" spans="1:8" x14ac:dyDescent="0.55000000000000004">
      <c r="A107" s="6">
        <v>1.000332499578177E+18</v>
      </c>
      <c r="B107">
        <v>961</v>
      </c>
      <c r="C107">
        <v>1</v>
      </c>
      <c r="D107">
        <v>1382</v>
      </c>
      <c r="E107">
        <f t="shared" si="8"/>
        <v>2</v>
      </c>
      <c r="F107">
        <f t="shared" si="9"/>
        <v>1</v>
      </c>
      <c r="G107">
        <f t="shared" si="10"/>
        <v>2</v>
      </c>
      <c r="H107">
        <f t="shared" si="11"/>
        <v>212</v>
      </c>
    </row>
    <row r="108" spans="1:8" x14ac:dyDescent="0.55000000000000004">
      <c r="A108" s="6">
        <v>1.005152142697114E+18</v>
      </c>
      <c r="B108">
        <v>85</v>
      </c>
      <c r="C108">
        <v>1</v>
      </c>
      <c r="D108">
        <v>2241</v>
      </c>
      <c r="E108">
        <f t="shared" si="8"/>
        <v>5</v>
      </c>
      <c r="F108">
        <f t="shared" si="9"/>
        <v>1</v>
      </c>
      <c r="G108">
        <f t="shared" si="10"/>
        <v>2</v>
      </c>
      <c r="H108">
        <f t="shared" si="11"/>
        <v>512</v>
      </c>
    </row>
    <row r="109" spans="1:8" x14ac:dyDescent="0.55000000000000004">
      <c r="A109" s="6">
        <v>1.01315417837344E+18</v>
      </c>
      <c r="B109">
        <v>721</v>
      </c>
      <c r="C109">
        <v>1</v>
      </c>
      <c r="D109">
        <v>5856</v>
      </c>
      <c r="E109">
        <f t="shared" si="8"/>
        <v>3</v>
      </c>
      <c r="F109">
        <f t="shared" si="9"/>
        <v>1</v>
      </c>
      <c r="G109">
        <f t="shared" si="10"/>
        <v>3</v>
      </c>
      <c r="H109">
        <f t="shared" si="11"/>
        <v>313</v>
      </c>
    </row>
    <row r="110" spans="1:8" x14ac:dyDescent="0.55000000000000004">
      <c r="A110" s="6">
        <v>1.023189554626777E+18</v>
      </c>
      <c r="B110">
        <v>1446</v>
      </c>
      <c r="C110">
        <v>1</v>
      </c>
      <c r="D110">
        <v>13341</v>
      </c>
      <c r="E110">
        <f t="shared" si="8"/>
        <v>1</v>
      </c>
      <c r="F110">
        <f t="shared" si="9"/>
        <v>1</v>
      </c>
      <c r="G110">
        <f t="shared" si="10"/>
        <v>3</v>
      </c>
      <c r="H110">
        <f t="shared" si="11"/>
        <v>113</v>
      </c>
    </row>
    <row r="111" spans="1:8" x14ac:dyDescent="0.55000000000000004">
      <c r="A111" s="6">
        <v>1.046303413898793E+18</v>
      </c>
      <c r="B111">
        <v>333</v>
      </c>
      <c r="C111">
        <v>1</v>
      </c>
      <c r="D111">
        <v>40953</v>
      </c>
      <c r="E111">
        <f t="shared" si="8"/>
        <v>4</v>
      </c>
      <c r="F111">
        <f t="shared" si="9"/>
        <v>1</v>
      </c>
      <c r="G111">
        <f t="shared" si="10"/>
        <v>3</v>
      </c>
      <c r="H111">
        <f t="shared" si="11"/>
        <v>413</v>
      </c>
    </row>
    <row r="112" spans="1:8" x14ac:dyDescent="0.55000000000000004">
      <c r="A112" s="6">
        <v>1.048674536434862E+18</v>
      </c>
      <c r="B112">
        <v>309</v>
      </c>
      <c r="C112">
        <v>1</v>
      </c>
      <c r="D112">
        <v>1141</v>
      </c>
      <c r="E112">
        <f t="shared" si="8"/>
        <v>4</v>
      </c>
      <c r="F112">
        <f t="shared" si="9"/>
        <v>1</v>
      </c>
      <c r="G112">
        <f t="shared" si="10"/>
        <v>2</v>
      </c>
      <c r="H112">
        <f t="shared" si="11"/>
        <v>412</v>
      </c>
    </row>
    <row r="113" spans="1:8" x14ac:dyDescent="0.55000000000000004">
      <c r="A113" s="6">
        <v>1.0510261592622371E+18</v>
      </c>
      <c r="B113">
        <v>510</v>
      </c>
      <c r="C113">
        <v>2</v>
      </c>
      <c r="D113">
        <v>2402</v>
      </c>
      <c r="E113">
        <f t="shared" si="8"/>
        <v>4</v>
      </c>
      <c r="F113">
        <f t="shared" si="9"/>
        <v>2</v>
      </c>
      <c r="G113">
        <f t="shared" si="10"/>
        <v>3</v>
      </c>
      <c r="H113">
        <f t="shared" si="11"/>
        <v>423</v>
      </c>
    </row>
    <row r="114" spans="1:8" x14ac:dyDescent="0.55000000000000004">
      <c r="A114" s="6">
        <v>1.0786140050935439E+18</v>
      </c>
      <c r="B114">
        <v>386</v>
      </c>
      <c r="C114">
        <v>1</v>
      </c>
      <c r="D114">
        <v>580</v>
      </c>
      <c r="E114">
        <f t="shared" si="8"/>
        <v>4</v>
      </c>
      <c r="F114">
        <f t="shared" si="9"/>
        <v>1</v>
      </c>
      <c r="G114">
        <f t="shared" si="10"/>
        <v>1</v>
      </c>
      <c r="H114">
        <f t="shared" si="11"/>
        <v>411</v>
      </c>
    </row>
    <row r="115" spans="1:8" x14ac:dyDescent="0.55000000000000004">
      <c r="A115" s="6">
        <v>1.089144262980412E+18</v>
      </c>
      <c r="B115">
        <v>361</v>
      </c>
      <c r="C115">
        <v>1</v>
      </c>
      <c r="D115">
        <v>478</v>
      </c>
      <c r="E115">
        <f t="shared" si="8"/>
        <v>4</v>
      </c>
      <c r="F115">
        <f t="shared" si="9"/>
        <v>1</v>
      </c>
      <c r="G115">
        <f t="shared" si="10"/>
        <v>1</v>
      </c>
      <c r="H115">
        <f t="shared" si="11"/>
        <v>411</v>
      </c>
    </row>
    <row r="116" spans="1:8" x14ac:dyDescent="0.55000000000000004">
      <c r="A116" s="6">
        <v>1.096945308280745E+18</v>
      </c>
      <c r="B116">
        <v>321</v>
      </c>
      <c r="C116">
        <v>1</v>
      </c>
      <c r="D116">
        <v>4491</v>
      </c>
      <c r="E116">
        <f t="shared" si="8"/>
        <v>4</v>
      </c>
      <c r="F116">
        <f t="shared" si="9"/>
        <v>1</v>
      </c>
      <c r="G116">
        <f t="shared" si="10"/>
        <v>3</v>
      </c>
      <c r="H116">
        <f t="shared" si="11"/>
        <v>413</v>
      </c>
    </row>
    <row r="117" spans="1:8" x14ac:dyDescent="0.55000000000000004">
      <c r="A117" s="6">
        <v>1.100379652071211E+18</v>
      </c>
      <c r="B117">
        <v>509</v>
      </c>
      <c r="C117">
        <v>1</v>
      </c>
      <c r="D117">
        <v>3890</v>
      </c>
      <c r="E117">
        <f t="shared" si="8"/>
        <v>4</v>
      </c>
      <c r="F117">
        <f t="shared" si="9"/>
        <v>1</v>
      </c>
      <c r="G117">
        <f t="shared" si="10"/>
        <v>3</v>
      </c>
      <c r="H117">
        <f t="shared" si="11"/>
        <v>413</v>
      </c>
    </row>
    <row r="118" spans="1:8" x14ac:dyDescent="0.55000000000000004">
      <c r="A118" s="6">
        <v>1.119270324334366E+18</v>
      </c>
      <c r="B118">
        <v>880</v>
      </c>
      <c r="C118">
        <v>1</v>
      </c>
      <c r="D118">
        <v>408</v>
      </c>
      <c r="E118">
        <f t="shared" si="8"/>
        <v>2</v>
      </c>
      <c r="F118">
        <f t="shared" si="9"/>
        <v>1</v>
      </c>
      <c r="G118">
        <f t="shared" si="10"/>
        <v>1</v>
      </c>
      <c r="H118">
        <f t="shared" si="11"/>
        <v>211</v>
      </c>
    </row>
    <row r="119" spans="1:8" x14ac:dyDescent="0.55000000000000004">
      <c r="A119" s="6">
        <v>1.122980992366614E+18</v>
      </c>
      <c r="B119">
        <v>478</v>
      </c>
      <c r="C119">
        <v>1</v>
      </c>
      <c r="D119">
        <v>1930</v>
      </c>
      <c r="E119">
        <f t="shared" si="8"/>
        <v>4</v>
      </c>
      <c r="F119">
        <f t="shared" si="9"/>
        <v>1</v>
      </c>
      <c r="G119">
        <f t="shared" si="10"/>
        <v>2</v>
      </c>
      <c r="H119">
        <f t="shared" si="11"/>
        <v>412</v>
      </c>
    </row>
    <row r="120" spans="1:8" x14ac:dyDescent="0.55000000000000004">
      <c r="A120" s="6">
        <v>1.13681671892592E+18</v>
      </c>
      <c r="B120">
        <v>942</v>
      </c>
      <c r="C120">
        <v>1</v>
      </c>
      <c r="D120">
        <v>58</v>
      </c>
      <c r="E120">
        <f t="shared" si="8"/>
        <v>2</v>
      </c>
      <c r="F120">
        <f t="shared" si="9"/>
        <v>1</v>
      </c>
      <c r="G120">
        <f t="shared" si="10"/>
        <v>1</v>
      </c>
      <c r="H120">
        <f t="shared" si="11"/>
        <v>211</v>
      </c>
    </row>
    <row r="121" spans="1:8" x14ac:dyDescent="0.55000000000000004">
      <c r="A121" s="6">
        <v>1.152853398103018E+18</v>
      </c>
      <c r="B121">
        <v>745</v>
      </c>
      <c r="C121">
        <v>1</v>
      </c>
      <c r="D121">
        <v>1698</v>
      </c>
      <c r="E121">
        <f t="shared" si="8"/>
        <v>3</v>
      </c>
      <c r="F121">
        <f t="shared" si="9"/>
        <v>1</v>
      </c>
      <c r="G121">
        <f t="shared" si="10"/>
        <v>2</v>
      </c>
      <c r="H121">
        <f t="shared" si="11"/>
        <v>312</v>
      </c>
    </row>
    <row r="122" spans="1:8" x14ac:dyDescent="0.55000000000000004">
      <c r="A122" s="6">
        <v>1.160880881456226E+18</v>
      </c>
      <c r="B122">
        <v>78</v>
      </c>
      <c r="C122">
        <v>1</v>
      </c>
      <c r="D122">
        <v>5080</v>
      </c>
      <c r="E122">
        <f t="shared" si="8"/>
        <v>5</v>
      </c>
      <c r="F122">
        <f t="shared" si="9"/>
        <v>1</v>
      </c>
      <c r="G122">
        <f t="shared" si="10"/>
        <v>3</v>
      </c>
      <c r="H122">
        <f t="shared" si="11"/>
        <v>513</v>
      </c>
    </row>
    <row r="123" spans="1:8" x14ac:dyDescent="0.55000000000000004">
      <c r="A123" s="6">
        <v>1.162597696295221E+18</v>
      </c>
      <c r="B123">
        <v>180</v>
      </c>
      <c r="C123">
        <v>2</v>
      </c>
      <c r="D123">
        <v>2163</v>
      </c>
      <c r="E123">
        <f t="shared" si="8"/>
        <v>5</v>
      </c>
      <c r="F123">
        <f t="shared" si="9"/>
        <v>2</v>
      </c>
      <c r="G123">
        <f t="shared" si="10"/>
        <v>2</v>
      </c>
      <c r="H123">
        <f t="shared" si="11"/>
        <v>522</v>
      </c>
    </row>
    <row r="124" spans="1:8" x14ac:dyDescent="0.55000000000000004">
      <c r="A124" s="6">
        <v>1.170482534092361E+18</v>
      </c>
      <c r="B124">
        <v>933</v>
      </c>
      <c r="C124">
        <v>1</v>
      </c>
      <c r="D124">
        <v>109</v>
      </c>
      <c r="E124">
        <f t="shared" si="8"/>
        <v>2</v>
      </c>
      <c r="F124">
        <f t="shared" si="9"/>
        <v>1</v>
      </c>
      <c r="G124">
        <f t="shared" si="10"/>
        <v>1</v>
      </c>
      <c r="H124">
        <f t="shared" si="11"/>
        <v>211</v>
      </c>
    </row>
    <row r="125" spans="1:8" x14ac:dyDescent="0.55000000000000004">
      <c r="A125" s="6">
        <v>1.1721901524167759E+18</v>
      </c>
      <c r="B125">
        <v>207</v>
      </c>
      <c r="C125">
        <v>1</v>
      </c>
      <c r="D125">
        <v>2550</v>
      </c>
      <c r="E125">
        <f t="shared" si="8"/>
        <v>5</v>
      </c>
      <c r="F125">
        <f t="shared" si="9"/>
        <v>1</v>
      </c>
      <c r="G125">
        <f t="shared" si="10"/>
        <v>3</v>
      </c>
      <c r="H125">
        <f t="shared" si="11"/>
        <v>513</v>
      </c>
    </row>
    <row r="126" spans="1:8" x14ac:dyDescent="0.55000000000000004">
      <c r="A126" s="6">
        <v>1.1774399960171579E+18</v>
      </c>
      <c r="B126">
        <v>219</v>
      </c>
      <c r="C126">
        <v>3</v>
      </c>
      <c r="D126">
        <v>7981</v>
      </c>
      <c r="E126">
        <f t="shared" si="8"/>
        <v>5</v>
      </c>
      <c r="F126">
        <f t="shared" si="9"/>
        <v>3</v>
      </c>
      <c r="G126">
        <f t="shared" si="10"/>
        <v>3</v>
      </c>
      <c r="H126">
        <f t="shared" si="11"/>
        <v>533</v>
      </c>
    </row>
    <row r="127" spans="1:8" x14ac:dyDescent="0.55000000000000004">
      <c r="A127" s="6">
        <v>1.189350777522923E+18</v>
      </c>
      <c r="B127">
        <v>1023</v>
      </c>
      <c r="C127">
        <v>1</v>
      </c>
      <c r="D127">
        <v>199</v>
      </c>
      <c r="E127">
        <f t="shared" si="8"/>
        <v>2</v>
      </c>
      <c r="F127">
        <f t="shared" si="9"/>
        <v>1</v>
      </c>
      <c r="G127">
        <f t="shared" si="10"/>
        <v>1</v>
      </c>
      <c r="H127">
        <f t="shared" si="11"/>
        <v>211</v>
      </c>
    </row>
    <row r="128" spans="1:8" x14ac:dyDescent="0.55000000000000004">
      <c r="A128" s="6">
        <v>1.196782103337771E+18</v>
      </c>
      <c r="B128">
        <v>397</v>
      </c>
      <c r="C128">
        <v>2</v>
      </c>
      <c r="D128">
        <v>1611</v>
      </c>
      <c r="E128">
        <f t="shared" si="8"/>
        <v>4</v>
      </c>
      <c r="F128">
        <f t="shared" si="9"/>
        <v>2</v>
      </c>
      <c r="G128">
        <f t="shared" si="10"/>
        <v>2</v>
      </c>
      <c r="H128">
        <f t="shared" si="11"/>
        <v>422</v>
      </c>
    </row>
    <row r="129" spans="1:8" x14ac:dyDescent="0.55000000000000004">
      <c r="A129" s="6">
        <v>1.2095133762377641E+18</v>
      </c>
      <c r="B129">
        <v>817</v>
      </c>
      <c r="C129">
        <v>1</v>
      </c>
      <c r="D129">
        <v>51</v>
      </c>
      <c r="E129">
        <f t="shared" si="8"/>
        <v>3</v>
      </c>
      <c r="F129">
        <f t="shared" si="9"/>
        <v>1</v>
      </c>
      <c r="G129">
        <f t="shared" si="10"/>
        <v>1</v>
      </c>
      <c r="H129">
        <f t="shared" si="11"/>
        <v>311</v>
      </c>
    </row>
    <row r="130" spans="1:8" x14ac:dyDescent="0.55000000000000004">
      <c r="A130" s="6">
        <v>1.2121490274912891E+18</v>
      </c>
      <c r="B130">
        <v>108</v>
      </c>
      <c r="C130">
        <v>1</v>
      </c>
      <c r="D130">
        <v>5982</v>
      </c>
      <c r="E130">
        <f t="shared" si="8"/>
        <v>5</v>
      </c>
      <c r="F130">
        <f t="shared" si="9"/>
        <v>1</v>
      </c>
      <c r="G130">
        <f t="shared" si="10"/>
        <v>3</v>
      </c>
      <c r="H130">
        <f t="shared" si="11"/>
        <v>513</v>
      </c>
    </row>
    <row r="131" spans="1:8" x14ac:dyDescent="0.55000000000000004">
      <c r="A131" s="6">
        <v>1.218487979043211E+18</v>
      </c>
      <c r="B131">
        <v>52</v>
      </c>
      <c r="C131">
        <v>1</v>
      </c>
      <c r="D131">
        <v>754</v>
      </c>
      <c r="E131">
        <f t="shared" ref="E131:E194" si="12">VLOOKUP(B131,$K$5:$L$9,2,1)</f>
        <v>5</v>
      </c>
      <c r="F131">
        <f t="shared" ref="F131:F194" si="13">VLOOKUP(C131,$K$15:$L$17,2,1)</f>
        <v>1</v>
      </c>
      <c r="G131">
        <f t="shared" ref="G131:G194" si="14">VLOOKUP(D131,$K$24:$L$26,2,1)</f>
        <v>2</v>
      </c>
      <c r="H131">
        <f t="shared" ref="H131:H194" si="15">E131*100+F131*10+G131</f>
        <v>512</v>
      </c>
    </row>
    <row r="132" spans="1:8" x14ac:dyDescent="0.55000000000000004">
      <c r="A132" s="6">
        <v>1.2239227043159931E+18</v>
      </c>
      <c r="B132">
        <v>106</v>
      </c>
      <c r="C132">
        <v>1</v>
      </c>
      <c r="D132">
        <v>1479</v>
      </c>
      <c r="E132">
        <f t="shared" si="12"/>
        <v>5</v>
      </c>
      <c r="F132">
        <f t="shared" si="13"/>
        <v>1</v>
      </c>
      <c r="G132">
        <f t="shared" si="14"/>
        <v>2</v>
      </c>
      <c r="H132">
        <f t="shared" si="15"/>
        <v>512</v>
      </c>
    </row>
    <row r="133" spans="1:8" x14ac:dyDescent="0.55000000000000004">
      <c r="A133" s="6">
        <v>1.243022858022132E+18</v>
      </c>
      <c r="B133">
        <v>686</v>
      </c>
      <c r="C133">
        <v>1</v>
      </c>
      <c r="D133">
        <v>8541</v>
      </c>
      <c r="E133">
        <f t="shared" si="12"/>
        <v>3</v>
      </c>
      <c r="F133">
        <f t="shared" si="13"/>
        <v>1</v>
      </c>
      <c r="G133">
        <f t="shared" si="14"/>
        <v>3</v>
      </c>
      <c r="H133">
        <f t="shared" si="15"/>
        <v>313</v>
      </c>
    </row>
    <row r="134" spans="1:8" x14ac:dyDescent="0.55000000000000004">
      <c r="A134" s="6">
        <v>1.264290519837441E+18</v>
      </c>
      <c r="B134">
        <v>154</v>
      </c>
      <c r="C134">
        <v>1</v>
      </c>
      <c r="D134">
        <v>390</v>
      </c>
      <c r="E134">
        <f t="shared" si="12"/>
        <v>5</v>
      </c>
      <c r="F134">
        <f t="shared" si="13"/>
        <v>1</v>
      </c>
      <c r="G134">
        <f t="shared" si="14"/>
        <v>1</v>
      </c>
      <c r="H134">
        <f t="shared" si="15"/>
        <v>511</v>
      </c>
    </row>
    <row r="135" spans="1:8" x14ac:dyDescent="0.55000000000000004">
      <c r="A135" s="6">
        <v>1.284150528335927E+18</v>
      </c>
      <c r="B135">
        <v>503</v>
      </c>
      <c r="C135">
        <v>2</v>
      </c>
      <c r="D135">
        <v>2869</v>
      </c>
      <c r="E135">
        <f t="shared" si="12"/>
        <v>4</v>
      </c>
      <c r="F135">
        <f t="shared" si="13"/>
        <v>2</v>
      </c>
      <c r="G135">
        <f t="shared" si="14"/>
        <v>3</v>
      </c>
      <c r="H135">
        <f t="shared" si="15"/>
        <v>423</v>
      </c>
    </row>
    <row r="136" spans="1:8" x14ac:dyDescent="0.55000000000000004">
      <c r="A136" s="6">
        <v>1.2984463081915011E+18</v>
      </c>
      <c r="B136">
        <v>237</v>
      </c>
      <c r="C136">
        <v>1</v>
      </c>
      <c r="D136">
        <v>621</v>
      </c>
      <c r="E136">
        <f t="shared" si="12"/>
        <v>5</v>
      </c>
      <c r="F136">
        <f t="shared" si="13"/>
        <v>1</v>
      </c>
      <c r="G136">
        <f t="shared" si="14"/>
        <v>1</v>
      </c>
      <c r="H136">
        <f t="shared" si="15"/>
        <v>511</v>
      </c>
    </row>
    <row r="137" spans="1:8" x14ac:dyDescent="0.55000000000000004">
      <c r="A137" s="6">
        <v>1.3005240302932129E+18</v>
      </c>
      <c r="B137">
        <v>765</v>
      </c>
      <c r="C137">
        <v>1</v>
      </c>
      <c r="D137">
        <v>567</v>
      </c>
      <c r="E137">
        <f t="shared" si="12"/>
        <v>3</v>
      </c>
      <c r="F137">
        <f t="shared" si="13"/>
        <v>1</v>
      </c>
      <c r="G137">
        <f t="shared" si="14"/>
        <v>1</v>
      </c>
      <c r="H137">
        <f t="shared" si="15"/>
        <v>311</v>
      </c>
    </row>
    <row r="138" spans="1:8" x14ac:dyDescent="0.55000000000000004">
      <c r="A138" s="6">
        <v>1.3007881861818691E+18</v>
      </c>
      <c r="B138">
        <v>452</v>
      </c>
      <c r="C138">
        <v>1</v>
      </c>
      <c r="D138">
        <v>1937</v>
      </c>
      <c r="E138">
        <f t="shared" si="12"/>
        <v>4</v>
      </c>
      <c r="F138">
        <f t="shared" si="13"/>
        <v>1</v>
      </c>
      <c r="G138">
        <f t="shared" si="14"/>
        <v>2</v>
      </c>
      <c r="H138">
        <f t="shared" si="15"/>
        <v>412</v>
      </c>
    </row>
    <row r="139" spans="1:8" x14ac:dyDescent="0.55000000000000004">
      <c r="A139" s="6">
        <v>1.3063865385494589E+18</v>
      </c>
      <c r="B139">
        <v>196</v>
      </c>
      <c r="C139">
        <v>2</v>
      </c>
      <c r="D139">
        <v>3559</v>
      </c>
      <c r="E139">
        <f t="shared" si="12"/>
        <v>5</v>
      </c>
      <c r="F139">
        <f t="shared" si="13"/>
        <v>2</v>
      </c>
      <c r="G139">
        <f t="shared" si="14"/>
        <v>3</v>
      </c>
      <c r="H139">
        <f t="shared" si="15"/>
        <v>523</v>
      </c>
    </row>
    <row r="140" spans="1:8" x14ac:dyDescent="0.55000000000000004">
      <c r="A140" s="6">
        <v>1.3087525420781629E+18</v>
      </c>
      <c r="B140">
        <v>10</v>
      </c>
      <c r="C140">
        <v>1</v>
      </c>
      <c r="D140">
        <v>1481</v>
      </c>
      <c r="E140">
        <f t="shared" si="12"/>
        <v>5</v>
      </c>
      <c r="F140">
        <f t="shared" si="13"/>
        <v>1</v>
      </c>
      <c r="G140">
        <f t="shared" si="14"/>
        <v>2</v>
      </c>
      <c r="H140">
        <f t="shared" si="15"/>
        <v>512</v>
      </c>
    </row>
    <row r="141" spans="1:8" x14ac:dyDescent="0.55000000000000004">
      <c r="A141" s="6">
        <v>1.3250399522734999E+18</v>
      </c>
      <c r="B141">
        <v>289</v>
      </c>
      <c r="C141">
        <v>1</v>
      </c>
      <c r="D141">
        <v>950</v>
      </c>
      <c r="E141">
        <f t="shared" si="12"/>
        <v>5</v>
      </c>
      <c r="F141">
        <f t="shared" si="13"/>
        <v>1</v>
      </c>
      <c r="G141">
        <f t="shared" si="14"/>
        <v>2</v>
      </c>
      <c r="H141">
        <f t="shared" si="15"/>
        <v>512</v>
      </c>
    </row>
    <row r="142" spans="1:8" x14ac:dyDescent="0.55000000000000004">
      <c r="A142" s="6">
        <v>1.330946700836863E+18</v>
      </c>
      <c r="B142">
        <v>377</v>
      </c>
      <c r="C142">
        <v>1</v>
      </c>
      <c r="D142">
        <v>2628</v>
      </c>
      <c r="E142">
        <f t="shared" si="12"/>
        <v>4</v>
      </c>
      <c r="F142">
        <f t="shared" si="13"/>
        <v>1</v>
      </c>
      <c r="G142">
        <f t="shared" si="14"/>
        <v>3</v>
      </c>
      <c r="H142">
        <f t="shared" si="15"/>
        <v>413</v>
      </c>
    </row>
    <row r="143" spans="1:8" x14ac:dyDescent="0.55000000000000004">
      <c r="A143" s="6">
        <v>1.3397155537099141E+18</v>
      </c>
      <c r="B143">
        <v>993</v>
      </c>
      <c r="C143">
        <v>2</v>
      </c>
      <c r="D143">
        <v>790</v>
      </c>
      <c r="E143">
        <f t="shared" si="12"/>
        <v>2</v>
      </c>
      <c r="F143">
        <f t="shared" si="13"/>
        <v>2</v>
      </c>
      <c r="G143">
        <f t="shared" si="14"/>
        <v>2</v>
      </c>
      <c r="H143">
        <f t="shared" si="15"/>
        <v>222</v>
      </c>
    </row>
    <row r="144" spans="1:8" x14ac:dyDescent="0.55000000000000004">
      <c r="A144" s="6">
        <v>1.342000908502272E+18</v>
      </c>
      <c r="B144">
        <v>994</v>
      </c>
      <c r="C144">
        <v>1</v>
      </c>
      <c r="D144">
        <v>1174</v>
      </c>
      <c r="E144">
        <f t="shared" si="12"/>
        <v>2</v>
      </c>
      <c r="F144">
        <f t="shared" si="13"/>
        <v>1</v>
      </c>
      <c r="G144">
        <f t="shared" si="14"/>
        <v>2</v>
      </c>
      <c r="H144">
        <f t="shared" si="15"/>
        <v>212</v>
      </c>
    </row>
    <row r="145" spans="1:8" x14ac:dyDescent="0.55000000000000004">
      <c r="A145" s="6">
        <v>1.3482468725153029E+18</v>
      </c>
      <c r="B145">
        <v>354</v>
      </c>
      <c r="C145">
        <v>1</v>
      </c>
      <c r="D145">
        <v>4892</v>
      </c>
      <c r="E145">
        <f t="shared" si="12"/>
        <v>4</v>
      </c>
      <c r="F145">
        <f t="shared" si="13"/>
        <v>1</v>
      </c>
      <c r="G145">
        <f t="shared" si="14"/>
        <v>3</v>
      </c>
      <c r="H145">
        <f t="shared" si="15"/>
        <v>413</v>
      </c>
    </row>
    <row r="146" spans="1:8" x14ac:dyDescent="0.55000000000000004">
      <c r="A146" s="6">
        <v>1.363244259854325E+18</v>
      </c>
      <c r="B146">
        <v>1114</v>
      </c>
      <c r="C146">
        <v>1</v>
      </c>
      <c r="D146">
        <v>612</v>
      </c>
      <c r="E146">
        <f t="shared" si="12"/>
        <v>2</v>
      </c>
      <c r="F146">
        <f t="shared" si="13"/>
        <v>1</v>
      </c>
      <c r="G146">
        <f t="shared" si="14"/>
        <v>1</v>
      </c>
      <c r="H146">
        <f t="shared" si="15"/>
        <v>211</v>
      </c>
    </row>
    <row r="147" spans="1:8" x14ac:dyDescent="0.55000000000000004">
      <c r="A147" s="6">
        <v>1.3715123392936371E+18</v>
      </c>
      <c r="B147">
        <v>834</v>
      </c>
      <c r="C147">
        <v>1</v>
      </c>
      <c r="D147">
        <v>1497</v>
      </c>
      <c r="E147">
        <f t="shared" si="12"/>
        <v>3</v>
      </c>
      <c r="F147">
        <f t="shared" si="13"/>
        <v>1</v>
      </c>
      <c r="G147">
        <f t="shared" si="14"/>
        <v>2</v>
      </c>
      <c r="H147">
        <f t="shared" si="15"/>
        <v>312</v>
      </c>
    </row>
    <row r="148" spans="1:8" x14ac:dyDescent="0.55000000000000004">
      <c r="A148" s="6">
        <v>1.3754657606156081E+18</v>
      </c>
      <c r="B148">
        <v>347</v>
      </c>
      <c r="C148">
        <v>2</v>
      </c>
      <c r="D148">
        <v>413</v>
      </c>
      <c r="E148">
        <f t="shared" si="12"/>
        <v>4</v>
      </c>
      <c r="F148">
        <f t="shared" si="13"/>
        <v>2</v>
      </c>
      <c r="G148">
        <f t="shared" si="14"/>
        <v>1</v>
      </c>
      <c r="H148">
        <f t="shared" si="15"/>
        <v>421</v>
      </c>
    </row>
    <row r="149" spans="1:8" x14ac:dyDescent="0.55000000000000004">
      <c r="A149" s="6">
        <v>1.3784045878134651E+18</v>
      </c>
      <c r="B149">
        <v>26</v>
      </c>
      <c r="C149">
        <v>2</v>
      </c>
      <c r="D149">
        <v>1736</v>
      </c>
      <c r="E149">
        <f t="shared" si="12"/>
        <v>5</v>
      </c>
      <c r="F149">
        <f t="shared" si="13"/>
        <v>2</v>
      </c>
      <c r="G149">
        <f t="shared" si="14"/>
        <v>2</v>
      </c>
      <c r="H149">
        <f t="shared" si="15"/>
        <v>522</v>
      </c>
    </row>
    <row r="150" spans="1:8" x14ac:dyDescent="0.55000000000000004">
      <c r="A150" s="6">
        <v>1.3849874418398641E+18</v>
      </c>
      <c r="B150">
        <v>604</v>
      </c>
      <c r="C150">
        <v>2</v>
      </c>
      <c r="D150">
        <v>1988</v>
      </c>
      <c r="E150">
        <f t="shared" si="12"/>
        <v>3</v>
      </c>
      <c r="F150">
        <f t="shared" si="13"/>
        <v>2</v>
      </c>
      <c r="G150">
        <f t="shared" si="14"/>
        <v>2</v>
      </c>
      <c r="H150">
        <f t="shared" si="15"/>
        <v>322</v>
      </c>
    </row>
    <row r="151" spans="1:8" x14ac:dyDescent="0.55000000000000004">
      <c r="A151" s="6">
        <v>1.39215048584352E+18</v>
      </c>
      <c r="B151">
        <v>520</v>
      </c>
      <c r="C151">
        <v>1</v>
      </c>
      <c r="D151">
        <v>193</v>
      </c>
      <c r="E151">
        <f t="shared" si="12"/>
        <v>4</v>
      </c>
      <c r="F151">
        <f t="shared" si="13"/>
        <v>1</v>
      </c>
      <c r="G151">
        <f t="shared" si="14"/>
        <v>1</v>
      </c>
      <c r="H151">
        <f t="shared" si="15"/>
        <v>411</v>
      </c>
    </row>
    <row r="152" spans="1:8" x14ac:dyDescent="0.55000000000000004">
      <c r="A152" s="6">
        <v>1.4020845570534651E+18</v>
      </c>
      <c r="B152">
        <v>1415</v>
      </c>
      <c r="C152">
        <v>1</v>
      </c>
      <c r="D152">
        <v>8760</v>
      </c>
      <c r="E152">
        <f t="shared" si="12"/>
        <v>1</v>
      </c>
      <c r="F152">
        <f t="shared" si="13"/>
        <v>1</v>
      </c>
      <c r="G152">
        <f t="shared" si="14"/>
        <v>3</v>
      </c>
      <c r="H152">
        <f t="shared" si="15"/>
        <v>113</v>
      </c>
    </row>
    <row r="153" spans="1:8" x14ac:dyDescent="0.55000000000000004">
      <c r="A153" s="6">
        <v>1.4167725370541911E+18</v>
      </c>
      <c r="B153">
        <v>1006</v>
      </c>
      <c r="C153">
        <v>1</v>
      </c>
      <c r="D153">
        <v>283</v>
      </c>
      <c r="E153">
        <f t="shared" si="12"/>
        <v>2</v>
      </c>
      <c r="F153">
        <f t="shared" si="13"/>
        <v>1</v>
      </c>
      <c r="G153">
        <f t="shared" si="14"/>
        <v>1</v>
      </c>
      <c r="H153">
        <f t="shared" si="15"/>
        <v>211</v>
      </c>
    </row>
    <row r="154" spans="1:8" x14ac:dyDescent="0.55000000000000004">
      <c r="A154" s="6">
        <v>1.4366874983721559E+18</v>
      </c>
      <c r="B154">
        <v>917</v>
      </c>
      <c r="C154">
        <v>1</v>
      </c>
      <c r="D154">
        <v>621</v>
      </c>
      <c r="E154">
        <f t="shared" si="12"/>
        <v>2</v>
      </c>
      <c r="F154">
        <f t="shared" si="13"/>
        <v>1</v>
      </c>
      <c r="G154">
        <f t="shared" si="14"/>
        <v>1</v>
      </c>
      <c r="H154">
        <f t="shared" si="15"/>
        <v>211</v>
      </c>
    </row>
    <row r="155" spans="1:8" x14ac:dyDescent="0.55000000000000004">
      <c r="A155" s="6">
        <v>1.4427428116042281E+18</v>
      </c>
      <c r="B155">
        <v>182</v>
      </c>
      <c r="C155">
        <v>1</v>
      </c>
      <c r="D155">
        <v>2218</v>
      </c>
      <c r="E155">
        <f t="shared" si="12"/>
        <v>5</v>
      </c>
      <c r="F155">
        <f t="shared" si="13"/>
        <v>1</v>
      </c>
      <c r="G155">
        <f t="shared" si="14"/>
        <v>2</v>
      </c>
      <c r="H155">
        <f t="shared" si="15"/>
        <v>512</v>
      </c>
    </row>
    <row r="156" spans="1:8" x14ac:dyDescent="0.55000000000000004">
      <c r="A156" s="6">
        <v>1.464810874174613E+18</v>
      </c>
      <c r="B156">
        <v>174</v>
      </c>
      <c r="C156">
        <v>2</v>
      </c>
      <c r="D156">
        <v>161</v>
      </c>
      <c r="E156">
        <f t="shared" si="12"/>
        <v>5</v>
      </c>
      <c r="F156">
        <f t="shared" si="13"/>
        <v>2</v>
      </c>
      <c r="G156">
        <f t="shared" si="14"/>
        <v>1</v>
      </c>
      <c r="H156">
        <f t="shared" si="15"/>
        <v>521</v>
      </c>
    </row>
    <row r="157" spans="1:8" x14ac:dyDescent="0.55000000000000004">
      <c r="A157" s="6">
        <v>1.4691213133281549E+18</v>
      </c>
      <c r="B157">
        <v>492</v>
      </c>
      <c r="C157">
        <v>1</v>
      </c>
      <c r="D157">
        <v>3260</v>
      </c>
      <c r="E157">
        <f t="shared" si="12"/>
        <v>4</v>
      </c>
      <c r="F157">
        <f t="shared" si="13"/>
        <v>1</v>
      </c>
      <c r="G157">
        <f t="shared" si="14"/>
        <v>3</v>
      </c>
      <c r="H157">
        <f t="shared" si="15"/>
        <v>413</v>
      </c>
    </row>
    <row r="158" spans="1:8" x14ac:dyDescent="0.55000000000000004">
      <c r="A158" s="6">
        <v>1.482147953417866E+18</v>
      </c>
      <c r="B158">
        <v>1014</v>
      </c>
      <c r="C158">
        <v>1</v>
      </c>
      <c r="D158">
        <v>1617</v>
      </c>
      <c r="E158">
        <f t="shared" si="12"/>
        <v>2</v>
      </c>
      <c r="F158">
        <f t="shared" si="13"/>
        <v>1</v>
      </c>
      <c r="G158">
        <f t="shared" si="14"/>
        <v>2</v>
      </c>
      <c r="H158">
        <f t="shared" si="15"/>
        <v>212</v>
      </c>
    </row>
    <row r="159" spans="1:8" x14ac:dyDescent="0.55000000000000004">
      <c r="A159" s="6">
        <v>1.482565375584491E+18</v>
      </c>
      <c r="B159">
        <v>311</v>
      </c>
      <c r="C159">
        <v>1</v>
      </c>
      <c r="D159">
        <v>398</v>
      </c>
      <c r="E159">
        <f t="shared" si="12"/>
        <v>4</v>
      </c>
      <c r="F159">
        <f t="shared" si="13"/>
        <v>1</v>
      </c>
      <c r="G159">
        <f t="shared" si="14"/>
        <v>1</v>
      </c>
      <c r="H159">
        <f t="shared" si="15"/>
        <v>411</v>
      </c>
    </row>
    <row r="160" spans="1:8" x14ac:dyDescent="0.55000000000000004">
      <c r="A160" s="6">
        <v>1.5094994883823071E+18</v>
      </c>
      <c r="B160">
        <v>952</v>
      </c>
      <c r="C160">
        <v>1</v>
      </c>
      <c r="D160">
        <v>687</v>
      </c>
      <c r="E160">
        <f t="shared" si="12"/>
        <v>2</v>
      </c>
      <c r="F160">
        <f t="shared" si="13"/>
        <v>1</v>
      </c>
      <c r="G160">
        <f t="shared" si="14"/>
        <v>2</v>
      </c>
      <c r="H160">
        <f t="shared" si="15"/>
        <v>212</v>
      </c>
    </row>
    <row r="161" spans="1:8" x14ac:dyDescent="0.55000000000000004">
      <c r="A161" s="6">
        <v>1.51815318591329E+18</v>
      </c>
      <c r="B161">
        <v>114</v>
      </c>
      <c r="C161">
        <v>1</v>
      </c>
      <c r="D161">
        <v>969</v>
      </c>
      <c r="E161">
        <f t="shared" si="12"/>
        <v>5</v>
      </c>
      <c r="F161">
        <f t="shared" si="13"/>
        <v>1</v>
      </c>
      <c r="G161">
        <f t="shared" si="14"/>
        <v>2</v>
      </c>
      <c r="H161">
        <f t="shared" si="15"/>
        <v>512</v>
      </c>
    </row>
    <row r="162" spans="1:8" x14ac:dyDescent="0.55000000000000004">
      <c r="A162" s="6">
        <v>1.522193412101396E+18</v>
      </c>
      <c r="B162">
        <v>734</v>
      </c>
      <c r="C162">
        <v>1</v>
      </c>
      <c r="D162">
        <v>910</v>
      </c>
      <c r="E162">
        <f t="shared" si="12"/>
        <v>3</v>
      </c>
      <c r="F162">
        <f t="shared" si="13"/>
        <v>1</v>
      </c>
      <c r="G162">
        <f t="shared" si="14"/>
        <v>2</v>
      </c>
      <c r="H162">
        <f t="shared" si="15"/>
        <v>312</v>
      </c>
    </row>
    <row r="163" spans="1:8" x14ac:dyDescent="0.55000000000000004">
      <c r="A163" s="6">
        <v>1.549160635335436E+18</v>
      </c>
      <c r="B163">
        <v>1238</v>
      </c>
      <c r="C163">
        <v>1</v>
      </c>
      <c r="D163">
        <v>84</v>
      </c>
      <c r="E163">
        <f t="shared" si="12"/>
        <v>1</v>
      </c>
      <c r="F163">
        <f t="shared" si="13"/>
        <v>1</v>
      </c>
      <c r="G163">
        <f t="shared" si="14"/>
        <v>1</v>
      </c>
      <c r="H163">
        <f t="shared" si="15"/>
        <v>111</v>
      </c>
    </row>
    <row r="164" spans="1:8" x14ac:dyDescent="0.55000000000000004">
      <c r="A164" s="6">
        <v>1.557734816688022E+18</v>
      </c>
      <c r="B164">
        <v>27</v>
      </c>
      <c r="C164">
        <v>1</v>
      </c>
      <c r="D164">
        <v>2939</v>
      </c>
      <c r="E164">
        <f t="shared" si="12"/>
        <v>5</v>
      </c>
      <c r="F164">
        <f t="shared" si="13"/>
        <v>1</v>
      </c>
      <c r="G164">
        <f t="shared" si="14"/>
        <v>3</v>
      </c>
      <c r="H164">
        <f t="shared" si="15"/>
        <v>513</v>
      </c>
    </row>
    <row r="165" spans="1:8" x14ac:dyDescent="0.55000000000000004">
      <c r="A165" s="6">
        <v>1.569594972860074E+18</v>
      </c>
      <c r="B165">
        <v>450</v>
      </c>
      <c r="C165">
        <v>1</v>
      </c>
      <c r="D165">
        <v>87</v>
      </c>
      <c r="E165">
        <f t="shared" si="12"/>
        <v>4</v>
      </c>
      <c r="F165">
        <f t="shared" si="13"/>
        <v>1</v>
      </c>
      <c r="G165">
        <f t="shared" si="14"/>
        <v>1</v>
      </c>
      <c r="H165">
        <f t="shared" si="15"/>
        <v>411</v>
      </c>
    </row>
    <row r="166" spans="1:8" x14ac:dyDescent="0.55000000000000004">
      <c r="A166" s="6">
        <v>1.5776470081554911E+18</v>
      </c>
      <c r="B166">
        <v>586</v>
      </c>
      <c r="C166">
        <v>1</v>
      </c>
      <c r="D166">
        <v>670</v>
      </c>
      <c r="E166">
        <f t="shared" si="12"/>
        <v>3</v>
      </c>
      <c r="F166">
        <f t="shared" si="13"/>
        <v>1</v>
      </c>
      <c r="G166">
        <f t="shared" si="14"/>
        <v>2</v>
      </c>
      <c r="H166">
        <f t="shared" si="15"/>
        <v>312</v>
      </c>
    </row>
    <row r="167" spans="1:8" x14ac:dyDescent="0.55000000000000004">
      <c r="A167" s="6">
        <v>1.5840800185098491E+18</v>
      </c>
      <c r="B167">
        <v>25</v>
      </c>
      <c r="C167">
        <v>1</v>
      </c>
      <c r="D167">
        <v>1388</v>
      </c>
      <c r="E167">
        <f t="shared" si="12"/>
        <v>5</v>
      </c>
      <c r="F167">
        <f t="shared" si="13"/>
        <v>1</v>
      </c>
      <c r="G167">
        <f t="shared" si="14"/>
        <v>2</v>
      </c>
      <c r="H167">
        <f t="shared" si="15"/>
        <v>512</v>
      </c>
    </row>
    <row r="168" spans="1:8" x14ac:dyDescent="0.55000000000000004">
      <c r="A168" s="6">
        <v>1.5844455560597929E+18</v>
      </c>
      <c r="B168">
        <v>853</v>
      </c>
      <c r="C168">
        <v>1</v>
      </c>
      <c r="D168">
        <v>847</v>
      </c>
      <c r="E168">
        <f t="shared" si="12"/>
        <v>3</v>
      </c>
      <c r="F168">
        <f t="shared" si="13"/>
        <v>1</v>
      </c>
      <c r="G168">
        <f t="shared" si="14"/>
        <v>2</v>
      </c>
      <c r="H168">
        <f t="shared" si="15"/>
        <v>312</v>
      </c>
    </row>
    <row r="169" spans="1:8" x14ac:dyDescent="0.55000000000000004">
      <c r="A169" s="6">
        <v>1.5868202505216691E+18</v>
      </c>
      <c r="B169">
        <v>398</v>
      </c>
      <c r="C169">
        <v>1</v>
      </c>
      <c r="D169">
        <v>335</v>
      </c>
      <c r="E169">
        <f t="shared" si="12"/>
        <v>4</v>
      </c>
      <c r="F169">
        <f t="shared" si="13"/>
        <v>1</v>
      </c>
      <c r="G169">
        <f t="shared" si="14"/>
        <v>1</v>
      </c>
      <c r="H169">
        <f t="shared" si="15"/>
        <v>411</v>
      </c>
    </row>
    <row r="170" spans="1:8" x14ac:dyDescent="0.55000000000000004">
      <c r="A170" s="6">
        <v>1.5935314464390359E+18</v>
      </c>
      <c r="B170">
        <v>617</v>
      </c>
      <c r="C170">
        <v>2</v>
      </c>
      <c r="D170">
        <v>7040</v>
      </c>
      <c r="E170">
        <f t="shared" si="12"/>
        <v>3</v>
      </c>
      <c r="F170">
        <f t="shared" si="13"/>
        <v>2</v>
      </c>
      <c r="G170">
        <f t="shared" si="14"/>
        <v>3</v>
      </c>
      <c r="H170">
        <f t="shared" si="15"/>
        <v>323</v>
      </c>
    </row>
    <row r="171" spans="1:8" x14ac:dyDescent="0.55000000000000004">
      <c r="A171" s="6">
        <v>1.608732702164681E+18</v>
      </c>
      <c r="B171">
        <v>471</v>
      </c>
      <c r="C171">
        <v>1</v>
      </c>
      <c r="D171">
        <v>179</v>
      </c>
      <c r="E171">
        <f t="shared" si="12"/>
        <v>4</v>
      </c>
      <c r="F171">
        <f t="shared" si="13"/>
        <v>1</v>
      </c>
      <c r="G171">
        <f t="shared" si="14"/>
        <v>1</v>
      </c>
      <c r="H171">
        <f t="shared" si="15"/>
        <v>411</v>
      </c>
    </row>
    <row r="172" spans="1:8" x14ac:dyDescent="0.55000000000000004">
      <c r="A172" s="6">
        <v>1.6172746630619489E+18</v>
      </c>
      <c r="B172">
        <v>162</v>
      </c>
      <c r="C172">
        <v>1</v>
      </c>
      <c r="D172">
        <v>380</v>
      </c>
      <c r="E172">
        <f t="shared" si="12"/>
        <v>5</v>
      </c>
      <c r="F172">
        <f t="shared" si="13"/>
        <v>1</v>
      </c>
      <c r="G172">
        <f t="shared" si="14"/>
        <v>1</v>
      </c>
      <c r="H172">
        <f t="shared" si="15"/>
        <v>511</v>
      </c>
    </row>
    <row r="173" spans="1:8" x14ac:dyDescent="0.55000000000000004">
      <c r="A173" s="6">
        <v>1.629324704820073E+18</v>
      </c>
      <c r="B173">
        <v>180</v>
      </c>
      <c r="C173">
        <v>2</v>
      </c>
      <c r="D173">
        <v>7956</v>
      </c>
      <c r="E173">
        <f t="shared" si="12"/>
        <v>5</v>
      </c>
      <c r="F173">
        <f t="shared" si="13"/>
        <v>2</v>
      </c>
      <c r="G173">
        <f t="shared" si="14"/>
        <v>3</v>
      </c>
      <c r="H173">
        <f t="shared" si="15"/>
        <v>523</v>
      </c>
    </row>
    <row r="174" spans="1:8" x14ac:dyDescent="0.55000000000000004">
      <c r="A174" s="6">
        <v>1.6398219760955021E+18</v>
      </c>
      <c r="B174">
        <v>558</v>
      </c>
      <c r="C174">
        <v>1</v>
      </c>
      <c r="D174">
        <v>6150</v>
      </c>
      <c r="E174">
        <f t="shared" si="12"/>
        <v>4</v>
      </c>
      <c r="F174">
        <f t="shared" si="13"/>
        <v>1</v>
      </c>
      <c r="G174">
        <f t="shared" si="14"/>
        <v>3</v>
      </c>
      <c r="H174">
        <f t="shared" si="15"/>
        <v>413</v>
      </c>
    </row>
    <row r="175" spans="1:8" x14ac:dyDescent="0.55000000000000004">
      <c r="A175" s="6">
        <v>1.6502892064455491E+18</v>
      </c>
      <c r="B175">
        <v>93</v>
      </c>
      <c r="C175">
        <v>2</v>
      </c>
      <c r="D175">
        <v>278</v>
      </c>
      <c r="E175">
        <f t="shared" si="12"/>
        <v>5</v>
      </c>
      <c r="F175">
        <f t="shared" si="13"/>
        <v>2</v>
      </c>
      <c r="G175">
        <f t="shared" si="14"/>
        <v>1</v>
      </c>
      <c r="H175">
        <f t="shared" si="15"/>
        <v>521</v>
      </c>
    </row>
    <row r="176" spans="1:8" x14ac:dyDescent="0.55000000000000004">
      <c r="A176" s="6">
        <v>1.667516599105642E+18</v>
      </c>
      <c r="B176">
        <v>158</v>
      </c>
      <c r="C176">
        <v>1</v>
      </c>
      <c r="D176">
        <v>1189</v>
      </c>
      <c r="E176">
        <f t="shared" si="12"/>
        <v>5</v>
      </c>
      <c r="F176">
        <f t="shared" si="13"/>
        <v>1</v>
      </c>
      <c r="G176">
        <f t="shared" si="14"/>
        <v>2</v>
      </c>
      <c r="H176">
        <f t="shared" si="15"/>
        <v>512</v>
      </c>
    </row>
    <row r="177" spans="1:8" x14ac:dyDescent="0.55000000000000004">
      <c r="A177" s="6">
        <v>1.674723087147988E+18</v>
      </c>
      <c r="B177">
        <v>41</v>
      </c>
      <c r="C177">
        <v>1</v>
      </c>
      <c r="D177">
        <v>2261</v>
      </c>
      <c r="E177">
        <f t="shared" si="12"/>
        <v>5</v>
      </c>
      <c r="F177">
        <f t="shared" si="13"/>
        <v>1</v>
      </c>
      <c r="G177">
        <f t="shared" si="14"/>
        <v>3</v>
      </c>
      <c r="H177">
        <f t="shared" si="15"/>
        <v>513</v>
      </c>
    </row>
    <row r="178" spans="1:8" x14ac:dyDescent="0.55000000000000004">
      <c r="A178" s="6">
        <v>1.677129202633119E+18</v>
      </c>
      <c r="B178">
        <v>539</v>
      </c>
      <c r="C178">
        <v>1</v>
      </c>
      <c r="D178">
        <v>2619</v>
      </c>
      <c r="E178">
        <f t="shared" si="12"/>
        <v>4</v>
      </c>
      <c r="F178">
        <f t="shared" si="13"/>
        <v>1</v>
      </c>
      <c r="G178">
        <f t="shared" si="14"/>
        <v>3</v>
      </c>
      <c r="H178">
        <f t="shared" si="15"/>
        <v>413</v>
      </c>
    </row>
    <row r="179" spans="1:8" x14ac:dyDescent="0.55000000000000004">
      <c r="A179" s="6">
        <v>1.6817203905142431E+18</v>
      </c>
      <c r="B179">
        <v>6</v>
      </c>
      <c r="C179">
        <v>1</v>
      </c>
      <c r="D179">
        <v>2731</v>
      </c>
      <c r="E179">
        <f t="shared" si="12"/>
        <v>5</v>
      </c>
      <c r="F179">
        <f t="shared" si="13"/>
        <v>1</v>
      </c>
      <c r="G179">
        <f t="shared" si="14"/>
        <v>3</v>
      </c>
      <c r="H179">
        <f t="shared" si="15"/>
        <v>513</v>
      </c>
    </row>
    <row r="180" spans="1:8" x14ac:dyDescent="0.55000000000000004">
      <c r="A180" s="6">
        <v>1.6859691985107551E+18</v>
      </c>
      <c r="B180">
        <v>572</v>
      </c>
      <c r="C180">
        <v>1</v>
      </c>
      <c r="D180">
        <v>1650</v>
      </c>
      <c r="E180">
        <f t="shared" si="12"/>
        <v>4</v>
      </c>
      <c r="F180">
        <f t="shared" si="13"/>
        <v>1</v>
      </c>
      <c r="G180">
        <f t="shared" si="14"/>
        <v>2</v>
      </c>
      <c r="H180">
        <f t="shared" si="15"/>
        <v>412</v>
      </c>
    </row>
    <row r="181" spans="1:8" x14ac:dyDescent="0.55000000000000004">
      <c r="A181" s="6">
        <v>1.695130641619191E+18</v>
      </c>
      <c r="B181">
        <v>0</v>
      </c>
      <c r="C181">
        <v>3</v>
      </c>
      <c r="D181">
        <v>9745</v>
      </c>
      <c r="E181">
        <f t="shared" si="12"/>
        <v>5</v>
      </c>
      <c r="F181">
        <f t="shared" si="13"/>
        <v>3</v>
      </c>
      <c r="G181">
        <f t="shared" si="14"/>
        <v>3</v>
      </c>
      <c r="H181">
        <f t="shared" si="15"/>
        <v>533</v>
      </c>
    </row>
    <row r="182" spans="1:8" x14ac:dyDescent="0.55000000000000004">
      <c r="A182" s="6">
        <v>1.7016907167677581E+18</v>
      </c>
      <c r="B182">
        <v>411</v>
      </c>
      <c r="C182">
        <v>2</v>
      </c>
      <c r="D182">
        <v>2966</v>
      </c>
      <c r="E182">
        <f t="shared" si="12"/>
        <v>4</v>
      </c>
      <c r="F182">
        <f t="shared" si="13"/>
        <v>2</v>
      </c>
      <c r="G182">
        <f t="shared" si="14"/>
        <v>3</v>
      </c>
      <c r="H182">
        <f t="shared" si="15"/>
        <v>423</v>
      </c>
    </row>
    <row r="183" spans="1:8" x14ac:dyDescent="0.55000000000000004">
      <c r="A183" s="6">
        <v>1.7106753465062531E+18</v>
      </c>
      <c r="B183">
        <v>69</v>
      </c>
      <c r="C183">
        <v>2</v>
      </c>
      <c r="D183">
        <v>16234</v>
      </c>
      <c r="E183">
        <f t="shared" si="12"/>
        <v>5</v>
      </c>
      <c r="F183">
        <f t="shared" si="13"/>
        <v>2</v>
      </c>
      <c r="G183">
        <f t="shared" si="14"/>
        <v>3</v>
      </c>
      <c r="H183">
        <f t="shared" si="15"/>
        <v>523</v>
      </c>
    </row>
    <row r="184" spans="1:8" x14ac:dyDescent="0.55000000000000004">
      <c r="A184" s="6">
        <v>1.711290526394442E+18</v>
      </c>
      <c r="B184">
        <v>320</v>
      </c>
      <c r="C184">
        <v>1</v>
      </c>
      <c r="D184">
        <v>218</v>
      </c>
      <c r="E184">
        <f t="shared" si="12"/>
        <v>4</v>
      </c>
      <c r="F184">
        <f t="shared" si="13"/>
        <v>1</v>
      </c>
      <c r="G184">
        <f t="shared" si="14"/>
        <v>1</v>
      </c>
      <c r="H184">
        <f t="shared" si="15"/>
        <v>411</v>
      </c>
    </row>
    <row r="185" spans="1:8" x14ac:dyDescent="0.55000000000000004">
      <c r="A185" s="6">
        <v>1.7157356656938309E+18</v>
      </c>
      <c r="B185">
        <v>1311</v>
      </c>
      <c r="C185">
        <v>1</v>
      </c>
      <c r="D185">
        <v>4046</v>
      </c>
      <c r="E185">
        <f t="shared" si="12"/>
        <v>1</v>
      </c>
      <c r="F185">
        <f t="shared" si="13"/>
        <v>1</v>
      </c>
      <c r="G185">
        <f t="shared" si="14"/>
        <v>3</v>
      </c>
      <c r="H185">
        <f t="shared" si="15"/>
        <v>113</v>
      </c>
    </row>
    <row r="186" spans="1:8" x14ac:dyDescent="0.55000000000000004">
      <c r="A186" s="6">
        <v>1.7194383882598541E+18</v>
      </c>
      <c r="B186">
        <v>252</v>
      </c>
      <c r="C186">
        <v>1</v>
      </c>
      <c r="D186">
        <v>10020</v>
      </c>
      <c r="E186">
        <f t="shared" si="12"/>
        <v>5</v>
      </c>
      <c r="F186">
        <f t="shared" si="13"/>
        <v>1</v>
      </c>
      <c r="G186">
        <f t="shared" si="14"/>
        <v>3</v>
      </c>
      <c r="H186">
        <f t="shared" si="15"/>
        <v>513</v>
      </c>
    </row>
    <row r="187" spans="1:8" x14ac:dyDescent="0.55000000000000004">
      <c r="A187" s="6">
        <v>1.723492846644417E+18</v>
      </c>
      <c r="B187">
        <v>449</v>
      </c>
      <c r="C187">
        <v>1</v>
      </c>
      <c r="D187">
        <v>169</v>
      </c>
      <c r="E187">
        <f t="shared" si="12"/>
        <v>4</v>
      </c>
      <c r="F187">
        <f t="shared" si="13"/>
        <v>1</v>
      </c>
      <c r="G187">
        <f t="shared" si="14"/>
        <v>1</v>
      </c>
      <c r="H187">
        <f t="shared" si="15"/>
        <v>411</v>
      </c>
    </row>
    <row r="188" spans="1:8" x14ac:dyDescent="0.55000000000000004">
      <c r="A188" s="6">
        <v>1.729483180093397E+18</v>
      </c>
      <c r="B188">
        <v>798</v>
      </c>
      <c r="C188">
        <v>2</v>
      </c>
      <c r="D188">
        <v>1719</v>
      </c>
      <c r="E188">
        <f t="shared" si="12"/>
        <v>3</v>
      </c>
      <c r="F188">
        <f t="shared" si="13"/>
        <v>2</v>
      </c>
      <c r="G188">
        <f t="shared" si="14"/>
        <v>2</v>
      </c>
      <c r="H188">
        <f t="shared" si="15"/>
        <v>322</v>
      </c>
    </row>
    <row r="189" spans="1:8" x14ac:dyDescent="0.55000000000000004">
      <c r="A189" s="6">
        <v>1.745068178098175E+18</v>
      </c>
      <c r="B189">
        <v>685</v>
      </c>
      <c r="C189">
        <v>2</v>
      </c>
      <c r="D189">
        <v>1416</v>
      </c>
      <c r="E189">
        <f t="shared" si="12"/>
        <v>3</v>
      </c>
      <c r="F189">
        <f t="shared" si="13"/>
        <v>2</v>
      </c>
      <c r="G189">
        <f t="shared" si="14"/>
        <v>2</v>
      </c>
      <c r="H189">
        <f t="shared" si="15"/>
        <v>322</v>
      </c>
    </row>
    <row r="190" spans="1:8" x14ac:dyDescent="0.55000000000000004">
      <c r="A190" s="6">
        <v>1.7515581725118851E+18</v>
      </c>
      <c r="B190">
        <v>444</v>
      </c>
      <c r="C190">
        <v>1</v>
      </c>
      <c r="D190">
        <v>459</v>
      </c>
      <c r="E190">
        <f t="shared" si="12"/>
        <v>4</v>
      </c>
      <c r="F190">
        <f t="shared" si="13"/>
        <v>1</v>
      </c>
      <c r="G190">
        <f t="shared" si="14"/>
        <v>1</v>
      </c>
      <c r="H190">
        <f t="shared" si="15"/>
        <v>411</v>
      </c>
    </row>
    <row r="191" spans="1:8" x14ac:dyDescent="0.55000000000000004">
      <c r="A191" s="6">
        <v>1.776693575630839E+18</v>
      </c>
      <c r="B191">
        <v>214</v>
      </c>
      <c r="C191">
        <v>1</v>
      </c>
      <c r="D191">
        <v>229</v>
      </c>
      <c r="E191">
        <f t="shared" si="12"/>
        <v>5</v>
      </c>
      <c r="F191">
        <f t="shared" si="13"/>
        <v>1</v>
      </c>
      <c r="G191">
        <f t="shared" si="14"/>
        <v>1</v>
      </c>
      <c r="H191">
        <f t="shared" si="15"/>
        <v>511</v>
      </c>
    </row>
    <row r="192" spans="1:8" x14ac:dyDescent="0.55000000000000004">
      <c r="A192" s="6">
        <v>1.7913055859585129E+18</v>
      </c>
      <c r="B192">
        <v>28</v>
      </c>
      <c r="C192">
        <v>2</v>
      </c>
      <c r="D192">
        <v>844</v>
      </c>
      <c r="E192">
        <f t="shared" si="12"/>
        <v>5</v>
      </c>
      <c r="F192">
        <f t="shared" si="13"/>
        <v>2</v>
      </c>
      <c r="G192">
        <f t="shared" si="14"/>
        <v>2</v>
      </c>
      <c r="H192">
        <f t="shared" si="15"/>
        <v>522</v>
      </c>
    </row>
    <row r="193" spans="1:8" x14ac:dyDescent="0.55000000000000004">
      <c r="A193" s="6">
        <v>1.8099632184957949E+18</v>
      </c>
      <c r="B193">
        <v>613</v>
      </c>
      <c r="C193">
        <v>1</v>
      </c>
      <c r="D193">
        <v>1758</v>
      </c>
      <c r="E193">
        <f t="shared" si="12"/>
        <v>3</v>
      </c>
      <c r="F193">
        <f t="shared" si="13"/>
        <v>1</v>
      </c>
      <c r="G193">
        <f t="shared" si="14"/>
        <v>2</v>
      </c>
      <c r="H193">
        <f t="shared" si="15"/>
        <v>312</v>
      </c>
    </row>
    <row r="194" spans="1:8" x14ac:dyDescent="0.55000000000000004">
      <c r="A194" s="6">
        <v>1.821993513028534E+18</v>
      </c>
      <c r="B194">
        <v>209</v>
      </c>
      <c r="C194">
        <v>2</v>
      </c>
      <c r="D194">
        <v>428</v>
      </c>
      <c r="E194">
        <f t="shared" si="12"/>
        <v>5</v>
      </c>
      <c r="F194">
        <f t="shared" si="13"/>
        <v>2</v>
      </c>
      <c r="G194">
        <f t="shared" si="14"/>
        <v>1</v>
      </c>
      <c r="H194">
        <f t="shared" si="15"/>
        <v>521</v>
      </c>
    </row>
    <row r="195" spans="1:8" x14ac:dyDescent="0.55000000000000004">
      <c r="A195" s="6">
        <v>1.824466406295605E+18</v>
      </c>
      <c r="B195">
        <v>112</v>
      </c>
      <c r="C195">
        <v>1</v>
      </c>
      <c r="D195">
        <v>1213</v>
      </c>
      <c r="E195">
        <f t="shared" ref="E195:E258" si="16">VLOOKUP(B195,$K$5:$L$9,2,1)</f>
        <v>5</v>
      </c>
      <c r="F195">
        <f t="shared" ref="F195:F258" si="17">VLOOKUP(C195,$K$15:$L$17,2,1)</f>
        <v>1</v>
      </c>
      <c r="G195">
        <f t="shared" ref="G195:G258" si="18">VLOOKUP(D195,$K$24:$L$26,2,1)</f>
        <v>2</v>
      </c>
      <c r="H195">
        <f t="shared" ref="H195:H258" si="19">E195*100+F195*10+G195</f>
        <v>512</v>
      </c>
    </row>
    <row r="196" spans="1:8" x14ac:dyDescent="0.55000000000000004">
      <c r="A196" s="6">
        <v>1.8255241922951529E+18</v>
      </c>
      <c r="B196">
        <v>129</v>
      </c>
      <c r="C196">
        <v>1</v>
      </c>
      <c r="D196">
        <v>297</v>
      </c>
      <c r="E196">
        <f t="shared" si="16"/>
        <v>5</v>
      </c>
      <c r="F196">
        <f t="shared" si="17"/>
        <v>1</v>
      </c>
      <c r="G196">
        <f t="shared" si="18"/>
        <v>1</v>
      </c>
      <c r="H196">
        <f t="shared" si="19"/>
        <v>511</v>
      </c>
    </row>
    <row r="197" spans="1:8" x14ac:dyDescent="0.55000000000000004">
      <c r="A197" s="6">
        <v>1.82828637426995E+18</v>
      </c>
      <c r="B197">
        <v>287</v>
      </c>
      <c r="C197">
        <v>1</v>
      </c>
      <c r="D197">
        <v>421</v>
      </c>
      <c r="E197">
        <f t="shared" si="16"/>
        <v>5</v>
      </c>
      <c r="F197">
        <f t="shared" si="17"/>
        <v>1</v>
      </c>
      <c r="G197">
        <f t="shared" si="18"/>
        <v>1</v>
      </c>
      <c r="H197">
        <f t="shared" si="19"/>
        <v>511</v>
      </c>
    </row>
    <row r="198" spans="1:8" x14ac:dyDescent="0.55000000000000004">
      <c r="A198" s="6">
        <v>1.8323586710948401E+18</v>
      </c>
      <c r="B198">
        <v>713</v>
      </c>
      <c r="C198">
        <v>2</v>
      </c>
      <c r="D198">
        <v>12924</v>
      </c>
      <c r="E198">
        <f t="shared" si="16"/>
        <v>3</v>
      </c>
      <c r="F198">
        <f t="shared" si="17"/>
        <v>2</v>
      </c>
      <c r="G198">
        <f t="shared" si="18"/>
        <v>3</v>
      </c>
      <c r="H198">
        <f t="shared" si="19"/>
        <v>323</v>
      </c>
    </row>
    <row r="199" spans="1:8" x14ac:dyDescent="0.55000000000000004">
      <c r="A199" s="6">
        <v>1.854419958740415E+18</v>
      </c>
      <c r="B199">
        <v>383</v>
      </c>
      <c r="C199">
        <v>1</v>
      </c>
      <c r="D199">
        <v>2376</v>
      </c>
      <c r="E199">
        <f t="shared" si="16"/>
        <v>4</v>
      </c>
      <c r="F199">
        <f t="shared" si="17"/>
        <v>1</v>
      </c>
      <c r="G199">
        <f t="shared" si="18"/>
        <v>3</v>
      </c>
      <c r="H199">
        <f t="shared" si="19"/>
        <v>413</v>
      </c>
    </row>
    <row r="200" spans="1:8" x14ac:dyDescent="0.55000000000000004">
      <c r="A200" s="6">
        <v>1.866418006074549E+18</v>
      </c>
      <c r="B200">
        <v>176</v>
      </c>
      <c r="C200">
        <v>1</v>
      </c>
      <c r="D200">
        <v>90</v>
      </c>
      <c r="E200">
        <f t="shared" si="16"/>
        <v>5</v>
      </c>
      <c r="F200">
        <f t="shared" si="17"/>
        <v>1</v>
      </c>
      <c r="G200">
        <f t="shared" si="18"/>
        <v>1</v>
      </c>
      <c r="H200">
        <f t="shared" si="19"/>
        <v>511</v>
      </c>
    </row>
    <row r="201" spans="1:8" x14ac:dyDescent="0.55000000000000004">
      <c r="A201" s="6">
        <v>1.870446117223575E+18</v>
      </c>
      <c r="B201">
        <v>265</v>
      </c>
      <c r="C201">
        <v>1</v>
      </c>
      <c r="D201">
        <v>579</v>
      </c>
      <c r="E201">
        <f t="shared" si="16"/>
        <v>5</v>
      </c>
      <c r="F201">
        <f t="shared" si="17"/>
        <v>1</v>
      </c>
      <c r="G201">
        <f t="shared" si="18"/>
        <v>1</v>
      </c>
      <c r="H201">
        <f t="shared" si="19"/>
        <v>511</v>
      </c>
    </row>
    <row r="202" spans="1:8" x14ac:dyDescent="0.55000000000000004">
      <c r="A202" s="6">
        <v>1.9144916142497669E+18</v>
      </c>
      <c r="B202">
        <v>222</v>
      </c>
      <c r="C202">
        <v>1</v>
      </c>
      <c r="D202">
        <v>644</v>
      </c>
      <c r="E202">
        <f t="shared" si="16"/>
        <v>5</v>
      </c>
      <c r="F202">
        <f t="shared" si="17"/>
        <v>1</v>
      </c>
      <c r="G202">
        <f t="shared" si="18"/>
        <v>1</v>
      </c>
      <c r="H202">
        <f t="shared" si="19"/>
        <v>511</v>
      </c>
    </row>
    <row r="203" spans="1:8" x14ac:dyDescent="0.55000000000000004">
      <c r="A203" s="6">
        <v>1.9146529279689521E+18</v>
      </c>
      <c r="B203">
        <v>1272</v>
      </c>
      <c r="C203">
        <v>1</v>
      </c>
      <c r="D203">
        <v>270</v>
      </c>
      <c r="E203">
        <f t="shared" si="16"/>
        <v>1</v>
      </c>
      <c r="F203">
        <f t="shared" si="17"/>
        <v>1</v>
      </c>
      <c r="G203">
        <f t="shared" si="18"/>
        <v>1</v>
      </c>
      <c r="H203">
        <f t="shared" si="19"/>
        <v>111</v>
      </c>
    </row>
    <row r="204" spans="1:8" x14ac:dyDescent="0.55000000000000004">
      <c r="A204" s="6">
        <v>1.9199465908224901E+18</v>
      </c>
      <c r="B204">
        <v>38</v>
      </c>
      <c r="C204">
        <v>2</v>
      </c>
      <c r="D204">
        <v>3010</v>
      </c>
      <c r="E204">
        <f t="shared" si="16"/>
        <v>5</v>
      </c>
      <c r="F204">
        <f t="shared" si="17"/>
        <v>2</v>
      </c>
      <c r="G204">
        <f t="shared" si="18"/>
        <v>3</v>
      </c>
      <c r="H204">
        <f t="shared" si="19"/>
        <v>523</v>
      </c>
    </row>
    <row r="205" spans="1:8" x14ac:dyDescent="0.55000000000000004">
      <c r="A205" s="6">
        <v>1.928598308475934E+18</v>
      </c>
      <c r="B205">
        <v>588</v>
      </c>
      <c r="C205">
        <v>1</v>
      </c>
      <c r="D205">
        <v>387</v>
      </c>
      <c r="E205">
        <f t="shared" si="16"/>
        <v>3</v>
      </c>
      <c r="F205">
        <f t="shared" si="17"/>
        <v>1</v>
      </c>
      <c r="G205">
        <f t="shared" si="18"/>
        <v>1</v>
      </c>
      <c r="H205">
        <f t="shared" si="19"/>
        <v>311</v>
      </c>
    </row>
    <row r="206" spans="1:8" x14ac:dyDescent="0.55000000000000004">
      <c r="A206" s="6">
        <v>1.933930612224873E+18</v>
      </c>
      <c r="B206">
        <v>271</v>
      </c>
      <c r="C206">
        <v>1</v>
      </c>
      <c r="D206">
        <v>598</v>
      </c>
      <c r="E206">
        <f t="shared" si="16"/>
        <v>5</v>
      </c>
      <c r="F206">
        <f t="shared" si="17"/>
        <v>1</v>
      </c>
      <c r="G206">
        <f t="shared" si="18"/>
        <v>1</v>
      </c>
      <c r="H206">
        <f t="shared" si="19"/>
        <v>511</v>
      </c>
    </row>
    <row r="207" spans="1:8" x14ac:dyDescent="0.55000000000000004">
      <c r="A207" s="6">
        <v>1.9526037705138371E+18</v>
      </c>
      <c r="B207">
        <v>327</v>
      </c>
      <c r="C207">
        <v>2</v>
      </c>
      <c r="D207">
        <v>12739</v>
      </c>
      <c r="E207">
        <f t="shared" si="16"/>
        <v>4</v>
      </c>
      <c r="F207">
        <f t="shared" si="17"/>
        <v>2</v>
      </c>
      <c r="G207">
        <f t="shared" si="18"/>
        <v>3</v>
      </c>
      <c r="H207">
        <f t="shared" si="19"/>
        <v>423</v>
      </c>
    </row>
    <row r="208" spans="1:8" x14ac:dyDescent="0.55000000000000004">
      <c r="A208" s="6">
        <v>1.952823904576703E+18</v>
      </c>
      <c r="B208">
        <v>226</v>
      </c>
      <c r="C208">
        <v>1</v>
      </c>
      <c r="D208">
        <v>6450</v>
      </c>
      <c r="E208">
        <f t="shared" si="16"/>
        <v>5</v>
      </c>
      <c r="F208">
        <f t="shared" si="17"/>
        <v>1</v>
      </c>
      <c r="G208">
        <f t="shared" si="18"/>
        <v>3</v>
      </c>
      <c r="H208">
        <f t="shared" si="19"/>
        <v>513</v>
      </c>
    </row>
    <row r="209" spans="1:8" x14ac:dyDescent="0.55000000000000004">
      <c r="A209" s="6">
        <v>1.9730730410505751E+18</v>
      </c>
      <c r="B209">
        <v>1182</v>
      </c>
      <c r="C209">
        <v>2</v>
      </c>
      <c r="D209">
        <v>5090</v>
      </c>
      <c r="E209">
        <f t="shared" si="16"/>
        <v>1</v>
      </c>
      <c r="F209">
        <f t="shared" si="17"/>
        <v>2</v>
      </c>
      <c r="G209">
        <f t="shared" si="18"/>
        <v>3</v>
      </c>
      <c r="H209">
        <f t="shared" si="19"/>
        <v>123</v>
      </c>
    </row>
    <row r="210" spans="1:8" x14ac:dyDescent="0.55000000000000004">
      <c r="A210" s="6">
        <v>1.9748762811356109E+18</v>
      </c>
      <c r="B210">
        <v>39</v>
      </c>
      <c r="C210">
        <v>1</v>
      </c>
      <c r="D210">
        <v>179</v>
      </c>
      <c r="E210">
        <f t="shared" si="16"/>
        <v>5</v>
      </c>
      <c r="F210">
        <f t="shared" si="17"/>
        <v>1</v>
      </c>
      <c r="G210">
        <f t="shared" si="18"/>
        <v>1</v>
      </c>
      <c r="H210">
        <f t="shared" si="19"/>
        <v>511</v>
      </c>
    </row>
    <row r="211" spans="1:8" x14ac:dyDescent="0.55000000000000004">
      <c r="A211" s="6">
        <v>1.9768590323039109E+18</v>
      </c>
      <c r="B211">
        <v>1242</v>
      </c>
      <c r="C211">
        <v>1</v>
      </c>
      <c r="D211">
        <v>450</v>
      </c>
      <c r="E211">
        <f t="shared" si="16"/>
        <v>1</v>
      </c>
      <c r="F211">
        <f t="shared" si="17"/>
        <v>1</v>
      </c>
      <c r="G211">
        <f t="shared" si="18"/>
        <v>1</v>
      </c>
      <c r="H211">
        <f t="shared" si="19"/>
        <v>111</v>
      </c>
    </row>
    <row r="212" spans="1:8" x14ac:dyDescent="0.55000000000000004">
      <c r="A212" s="6">
        <v>1.986980350882558E+18</v>
      </c>
      <c r="B212">
        <v>164</v>
      </c>
      <c r="C212">
        <v>1</v>
      </c>
      <c r="D212">
        <v>1333</v>
      </c>
      <c r="E212">
        <f t="shared" si="16"/>
        <v>5</v>
      </c>
      <c r="F212">
        <f t="shared" si="17"/>
        <v>1</v>
      </c>
      <c r="G212">
        <f t="shared" si="18"/>
        <v>2</v>
      </c>
      <c r="H212">
        <f t="shared" si="19"/>
        <v>512</v>
      </c>
    </row>
    <row r="213" spans="1:8" x14ac:dyDescent="0.55000000000000004">
      <c r="A213" s="6">
        <v>1.996183669249889E+18</v>
      </c>
      <c r="B213">
        <v>498</v>
      </c>
      <c r="C213">
        <v>1</v>
      </c>
      <c r="D213">
        <v>4565</v>
      </c>
      <c r="E213">
        <f t="shared" si="16"/>
        <v>4</v>
      </c>
      <c r="F213">
        <f t="shared" si="17"/>
        <v>1</v>
      </c>
      <c r="G213">
        <f t="shared" si="18"/>
        <v>3</v>
      </c>
      <c r="H213">
        <f t="shared" si="19"/>
        <v>413</v>
      </c>
    </row>
    <row r="214" spans="1:8" x14ac:dyDescent="0.55000000000000004">
      <c r="A214" s="6">
        <v>1.9971065681587571E+18</v>
      </c>
      <c r="B214">
        <v>306</v>
      </c>
      <c r="C214">
        <v>1</v>
      </c>
      <c r="D214">
        <v>3087</v>
      </c>
      <c r="E214">
        <f t="shared" si="16"/>
        <v>4</v>
      </c>
      <c r="F214">
        <f t="shared" si="17"/>
        <v>1</v>
      </c>
      <c r="G214">
        <f t="shared" si="18"/>
        <v>3</v>
      </c>
      <c r="H214">
        <f t="shared" si="19"/>
        <v>413</v>
      </c>
    </row>
    <row r="215" spans="1:8" x14ac:dyDescent="0.55000000000000004">
      <c r="A215" s="6">
        <v>2.0004746253358771E+18</v>
      </c>
      <c r="B215">
        <v>803</v>
      </c>
      <c r="C215">
        <v>2</v>
      </c>
      <c r="D215">
        <v>419</v>
      </c>
      <c r="E215">
        <f t="shared" si="16"/>
        <v>3</v>
      </c>
      <c r="F215">
        <f t="shared" si="17"/>
        <v>2</v>
      </c>
      <c r="G215">
        <f t="shared" si="18"/>
        <v>1</v>
      </c>
      <c r="H215">
        <f t="shared" si="19"/>
        <v>321</v>
      </c>
    </row>
    <row r="216" spans="1:8" x14ac:dyDescent="0.55000000000000004">
      <c r="A216" s="6">
        <v>2.000810273900578E+18</v>
      </c>
      <c r="B216">
        <v>700</v>
      </c>
      <c r="C216">
        <v>1</v>
      </c>
      <c r="D216">
        <v>1060</v>
      </c>
      <c r="E216">
        <f t="shared" si="16"/>
        <v>3</v>
      </c>
      <c r="F216">
        <f t="shared" si="17"/>
        <v>1</v>
      </c>
      <c r="G216">
        <f t="shared" si="18"/>
        <v>2</v>
      </c>
      <c r="H216">
        <f t="shared" si="19"/>
        <v>312</v>
      </c>
    </row>
    <row r="217" spans="1:8" x14ac:dyDescent="0.55000000000000004">
      <c r="A217" s="6">
        <v>2.005586247580137E+18</v>
      </c>
      <c r="B217">
        <v>34</v>
      </c>
      <c r="C217">
        <v>1</v>
      </c>
      <c r="D217">
        <v>597</v>
      </c>
      <c r="E217">
        <f t="shared" si="16"/>
        <v>5</v>
      </c>
      <c r="F217">
        <f t="shared" si="17"/>
        <v>1</v>
      </c>
      <c r="G217">
        <f t="shared" si="18"/>
        <v>1</v>
      </c>
      <c r="H217">
        <f t="shared" si="19"/>
        <v>511</v>
      </c>
    </row>
    <row r="218" spans="1:8" x14ac:dyDescent="0.55000000000000004">
      <c r="A218" s="6">
        <v>2.0142520458862761E+18</v>
      </c>
      <c r="B218">
        <v>138</v>
      </c>
      <c r="C218">
        <v>3</v>
      </c>
      <c r="D218">
        <v>6131</v>
      </c>
      <c r="E218">
        <f t="shared" si="16"/>
        <v>5</v>
      </c>
      <c r="F218">
        <f t="shared" si="17"/>
        <v>3</v>
      </c>
      <c r="G218">
        <f t="shared" si="18"/>
        <v>3</v>
      </c>
      <c r="H218">
        <f t="shared" si="19"/>
        <v>533</v>
      </c>
    </row>
    <row r="219" spans="1:8" x14ac:dyDescent="0.55000000000000004">
      <c r="A219" s="6">
        <v>2.0325579625381089E+18</v>
      </c>
      <c r="B219">
        <v>320</v>
      </c>
      <c r="C219">
        <v>2</v>
      </c>
      <c r="D219">
        <v>429</v>
      </c>
      <c r="E219">
        <f t="shared" si="16"/>
        <v>4</v>
      </c>
      <c r="F219">
        <f t="shared" si="17"/>
        <v>2</v>
      </c>
      <c r="G219">
        <f t="shared" si="18"/>
        <v>1</v>
      </c>
      <c r="H219">
        <f t="shared" si="19"/>
        <v>421</v>
      </c>
    </row>
    <row r="220" spans="1:8" x14ac:dyDescent="0.55000000000000004">
      <c r="A220" s="6">
        <v>2.0396979990972869E+18</v>
      </c>
      <c r="B220">
        <v>283</v>
      </c>
      <c r="C220">
        <v>1</v>
      </c>
      <c r="D220">
        <v>199</v>
      </c>
      <c r="E220">
        <f t="shared" si="16"/>
        <v>5</v>
      </c>
      <c r="F220">
        <f t="shared" si="17"/>
        <v>1</v>
      </c>
      <c r="G220">
        <f t="shared" si="18"/>
        <v>1</v>
      </c>
      <c r="H220">
        <f t="shared" si="19"/>
        <v>511</v>
      </c>
    </row>
    <row r="221" spans="1:8" x14ac:dyDescent="0.55000000000000004">
      <c r="A221" s="6">
        <v>2.04599369723842E+18</v>
      </c>
      <c r="B221">
        <v>1168</v>
      </c>
      <c r="C221">
        <v>1</v>
      </c>
      <c r="D221">
        <v>900</v>
      </c>
      <c r="E221">
        <f t="shared" si="16"/>
        <v>1</v>
      </c>
      <c r="F221">
        <f t="shared" si="17"/>
        <v>1</v>
      </c>
      <c r="G221">
        <f t="shared" si="18"/>
        <v>2</v>
      </c>
      <c r="H221">
        <f t="shared" si="19"/>
        <v>112</v>
      </c>
    </row>
    <row r="222" spans="1:8" x14ac:dyDescent="0.55000000000000004">
      <c r="A222" s="6">
        <v>2.055053471575446E+18</v>
      </c>
      <c r="B222">
        <v>605</v>
      </c>
      <c r="C222">
        <v>1</v>
      </c>
      <c r="D222">
        <v>318</v>
      </c>
      <c r="E222">
        <f t="shared" si="16"/>
        <v>3</v>
      </c>
      <c r="F222">
        <f t="shared" si="17"/>
        <v>1</v>
      </c>
      <c r="G222">
        <f t="shared" si="18"/>
        <v>1</v>
      </c>
      <c r="H222">
        <f t="shared" si="19"/>
        <v>311</v>
      </c>
    </row>
    <row r="223" spans="1:8" x14ac:dyDescent="0.55000000000000004">
      <c r="A223" s="6">
        <v>2.0645718430713331E+18</v>
      </c>
      <c r="B223">
        <v>661</v>
      </c>
      <c r="C223">
        <v>1</v>
      </c>
      <c r="D223">
        <v>158</v>
      </c>
      <c r="E223">
        <f t="shared" si="16"/>
        <v>3</v>
      </c>
      <c r="F223">
        <f t="shared" si="17"/>
        <v>1</v>
      </c>
      <c r="G223">
        <f t="shared" si="18"/>
        <v>1</v>
      </c>
      <c r="H223">
        <f t="shared" si="19"/>
        <v>311</v>
      </c>
    </row>
    <row r="224" spans="1:8" x14ac:dyDescent="0.55000000000000004">
      <c r="A224" s="6">
        <v>2.065848256183628E+18</v>
      </c>
      <c r="B224">
        <v>534</v>
      </c>
      <c r="C224">
        <v>1</v>
      </c>
      <c r="D224">
        <v>114</v>
      </c>
      <c r="E224">
        <f t="shared" si="16"/>
        <v>4</v>
      </c>
      <c r="F224">
        <f t="shared" si="17"/>
        <v>1</v>
      </c>
      <c r="G224">
        <f t="shared" si="18"/>
        <v>1</v>
      </c>
      <c r="H224">
        <f t="shared" si="19"/>
        <v>411</v>
      </c>
    </row>
    <row r="225" spans="1:8" x14ac:dyDescent="0.55000000000000004">
      <c r="A225" s="6">
        <v>2.0667225567736151E+18</v>
      </c>
      <c r="B225">
        <v>687</v>
      </c>
      <c r="C225">
        <v>2</v>
      </c>
      <c r="D225">
        <v>4049</v>
      </c>
      <c r="E225">
        <f t="shared" si="16"/>
        <v>3</v>
      </c>
      <c r="F225">
        <f t="shared" si="17"/>
        <v>2</v>
      </c>
      <c r="G225">
        <f t="shared" si="18"/>
        <v>3</v>
      </c>
      <c r="H225">
        <f t="shared" si="19"/>
        <v>323</v>
      </c>
    </row>
    <row r="226" spans="1:8" x14ac:dyDescent="0.55000000000000004">
      <c r="A226" s="6">
        <v>2.0701901843732301E+18</v>
      </c>
      <c r="B226">
        <v>222</v>
      </c>
      <c r="C226">
        <v>1</v>
      </c>
      <c r="D226">
        <v>1297</v>
      </c>
      <c r="E226">
        <f t="shared" si="16"/>
        <v>5</v>
      </c>
      <c r="F226">
        <f t="shared" si="17"/>
        <v>1</v>
      </c>
      <c r="G226">
        <f t="shared" si="18"/>
        <v>2</v>
      </c>
      <c r="H226">
        <f t="shared" si="19"/>
        <v>512</v>
      </c>
    </row>
    <row r="227" spans="1:8" x14ac:dyDescent="0.55000000000000004">
      <c r="A227" s="6">
        <v>2.0771841791762591E+18</v>
      </c>
      <c r="B227">
        <v>133</v>
      </c>
      <c r="C227">
        <v>1</v>
      </c>
      <c r="D227">
        <v>690</v>
      </c>
      <c r="E227">
        <f t="shared" si="16"/>
        <v>5</v>
      </c>
      <c r="F227">
        <f t="shared" si="17"/>
        <v>1</v>
      </c>
      <c r="G227">
        <f t="shared" si="18"/>
        <v>2</v>
      </c>
      <c r="H227">
        <f t="shared" si="19"/>
        <v>512</v>
      </c>
    </row>
    <row r="228" spans="1:8" x14ac:dyDescent="0.55000000000000004">
      <c r="A228" s="6">
        <v>2.08047286874141E+18</v>
      </c>
      <c r="B228">
        <v>897</v>
      </c>
      <c r="C228">
        <v>1</v>
      </c>
      <c r="D228">
        <v>103</v>
      </c>
      <c r="E228">
        <f t="shared" si="16"/>
        <v>2</v>
      </c>
      <c r="F228">
        <f t="shared" si="17"/>
        <v>1</v>
      </c>
      <c r="G228">
        <f t="shared" si="18"/>
        <v>1</v>
      </c>
      <c r="H228">
        <f t="shared" si="19"/>
        <v>211</v>
      </c>
    </row>
    <row r="229" spans="1:8" x14ac:dyDescent="0.55000000000000004">
      <c r="A229" s="6">
        <v>2.0872429199737951E+18</v>
      </c>
      <c r="B229">
        <v>1080</v>
      </c>
      <c r="C229">
        <v>1</v>
      </c>
      <c r="D229">
        <v>70</v>
      </c>
      <c r="E229">
        <f t="shared" si="16"/>
        <v>2</v>
      </c>
      <c r="F229">
        <f t="shared" si="17"/>
        <v>1</v>
      </c>
      <c r="G229">
        <f t="shared" si="18"/>
        <v>1</v>
      </c>
      <c r="H229">
        <f t="shared" si="19"/>
        <v>211</v>
      </c>
    </row>
    <row r="230" spans="1:8" x14ac:dyDescent="0.55000000000000004">
      <c r="A230" s="6">
        <v>2.1009748977262459E+18</v>
      </c>
      <c r="B230">
        <v>400</v>
      </c>
      <c r="C230">
        <v>1</v>
      </c>
      <c r="D230">
        <v>11324</v>
      </c>
      <c r="E230">
        <f t="shared" si="16"/>
        <v>4</v>
      </c>
      <c r="F230">
        <f t="shared" si="17"/>
        <v>1</v>
      </c>
      <c r="G230">
        <f t="shared" si="18"/>
        <v>3</v>
      </c>
      <c r="H230">
        <f t="shared" si="19"/>
        <v>413</v>
      </c>
    </row>
    <row r="231" spans="1:8" x14ac:dyDescent="0.55000000000000004">
      <c r="A231" s="6">
        <v>2.1015068619281229E+18</v>
      </c>
      <c r="B231">
        <v>291</v>
      </c>
      <c r="C231">
        <v>1</v>
      </c>
      <c r="D231">
        <v>8099</v>
      </c>
      <c r="E231">
        <f t="shared" si="16"/>
        <v>4</v>
      </c>
      <c r="F231">
        <f t="shared" si="17"/>
        <v>1</v>
      </c>
      <c r="G231">
        <f t="shared" si="18"/>
        <v>3</v>
      </c>
      <c r="H231">
        <f t="shared" si="19"/>
        <v>413</v>
      </c>
    </row>
    <row r="232" spans="1:8" x14ac:dyDescent="0.55000000000000004">
      <c r="A232" s="6">
        <v>2.117945752343458E+18</v>
      </c>
      <c r="B232">
        <v>8</v>
      </c>
      <c r="C232">
        <v>1</v>
      </c>
      <c r="D232">
        <v>2408</v>
      </c>
      <c r="E232">
        <f t="shared" si="16"/>
        <v>5</v>
      </c>
      <c r="F232">
        <f t="shared" si="17"/>
        <v>1</v>
      </c>
      <c r="G232">
        <f t="shared" si="18"/>
        <v>3</v>
      </c>
      <c r="H232">
        <f t="shared" si="19"/>
        <v>513</v>
      </c>
    </row>
    <row r="233" spans="1:8" x14ac:dyDescent="0.55000000000000004">
      <c r="A233" s="6">
        <v>2.14024521168753E+18</v>
      </c>
      <c r="B233">
        <v>598</v>
      </c>
      <c r="C233">
        <v>1</v>
      </c>
      <c r="D233">
        <v>355</v>
      </c>
      <c r="E233">
        <f t="shared" si="16"/>
        <v>3</v>
      </c>
      <c r="F233">
        <f t="shared" si="17"/>
        <v>1</v>
      </c>
      <c r="G233">
        <f t="shared" si="18"/>
        <v>1</v>
      </c>
      <c r="H233">
        <f t="shared" si="19"/>
        <v>311</v>
      </c>
    </row>
    <row r="234" spans="1:8" x14ac:dyDescent="0.55000000000000004">
      <c r="A234" s="6">
        <v>2.1445875065722711E+18</v>
      </c>
      <c r="B234">
        <v>210</v>
      </c>
      <c r="C234">
        <v>3</v>
      </c>
      <c r="D234">
        <v>37716</v>
      </c>
      <c r="E234">
        <f t="shared" si="16"/>
        <v>5</v>
      </c>
      <c r="F234">
        <f t="shared" si="17"/>
        <v>3</v>
      </c>
      <c r="G234">
        <f t="shared" si="18"/>
        <v>3</v>
      </c>
      <c r="H234">
        <f t="shared" si="19"/>
        <v>533</v>
      </c>
    </row>
    <row r="235" spans="1:8" x14ac:dyDescent="0.55000000000000004">
      <c r="A235" s="6">
        <v>2.1656688335916831E+18</v>
      </c>
      <c r="B235">
        <v>313</v>
      </c>
      <c r="C235">
        <v>1</v>
      </c>
      <c r="D235">
        <v>604</v>
      </c>
      <c r="E235">
        <f t="shared" si="16"/>
        <v>4</v>
      </c>
      <c r="F235">
        <f t="shared" si="17"/>
        <v>1</v>
      </c>
      <c r="G235">
        <f t="shared" si="18"/>
        <v>1</v>
      </c>
      <c r="H235">
        <f t="shared" si="19"/>
        <v>411</v>
      </c>
    </row>
    <row r="236" spans="1:8" x14ac:dyDescent="0.55000000000000004">
      <c r="A236" s="6">
        <v>2.1735131626376141E+18</v>
      </c>
      <c r="B236">
        <v>1152</v>
      </c>
      <c r="C236">
        <v>1</v>
      </c>
      <c r="D236">
        <v>126</v>
      </c>
      <c r="E236">
        <f t="shared" si="16"/>
        <v>2</v>
      </c>
      <c r="F236">
        <f t="shared" si="17"/>
        <v>1</v>
      </c>
      <c r="G236">
        <f t="shared" si="18"/>
        <v>1</v>
      </c>
      <c r="H236">
        <f t="shared" si="19"/>
        <v>211</v>
      </c>
    </row>
    <row r="237" spans="1:8" x14ac:dyDescent="0.55000000000000004">
      <c r="A237" s="6">
        <v>2.174249501936778E+18</v>
      </c>
      <c r="B237">
        <v>36</v>
      </c>
      <c r="C237">
        <v>1</v>
      </c>
      <c r="D237">
        <v>5802</v>
      </c>
      <c r="E237">
        <f t="shared" si="16"/>
        <v>5</v>
      </c>
      <c r="F237">
        <f t="shared" si="17"/>
        <v>1</v>
      </c>
      <c r="G237">
        <f t="shared" si="18"/>
        <v>3</v>
      </c>
      <c r="H237">
        <f t="shared" si="19"/>
        <v>513</v>
      </c>
    </row>
    <row r="238" spans="1:8" x14ac:dyDescent="0.55000000000000004">
      <c r="A238" s="6">
        <v>2.186524740627071E+18</v>
      </c>
      <c r="B238">
        <v>611</v>
      </c>
      <c r="C238">
        <v>1</v>
      </c>
      <c r="D238">
        <v>1377</v>
      </c>
      <c r="E238">
        <f t="shared" si="16"/>
        <v>3</v>
      </c>
      <c r="F238">
        <f t="shared" si="17"/>
        <v>1</v>
      </c>
      <c r="G238">
        <f t="shared" si="18"/>
        <v>2</v>
      </c>
      <c r="H238">
        <f t="shared" si="19"/>
        <v>312</v>
      </c>
    </row>
    <row r="239" spans="1:8" x14ac:dyDescent="0.55000000000000004">
      <c r="A239" s="6">
        <v>2.187960119635755E+18</v>
      </c>
      <c r="B239">
        <v>406</v>
      </c>
      <c r="C239">
        <v>1</v>
      </c>
      <c r="D239">
        <v>1143</v>
      </c>
      <c r="E239">
        <f t="shared" si="16"/>
        <v>4</v>
      </c>
      <c r="F239">
        <f t="shared" si="17"/>
        <v>1</v>
      </c>
      <c r="G239">
        <f t="shared" si="18"/>
        <v>2</v>
      </c>
      <c r="H239">
        <f t="shared" si="19"/>
        <v>412</v>
      </c>
    </row>
    <row r="240" spans="1:8" x14ac:dyDescent="0.55000000000000004">
      <c r="A240" s="6">
        <v>2.2082843403097999E+18</v>
      </c>
      <c r="B240">
        <v>111</v>
      </c>
      <c r="C240">
        <v>2</v>
      </c>
      <c r="D240">
        <v>2348</v>
      </c>
      <c r="E240">
        <f t="shared" si="16"/>
        <v>5</v>
      </c>
      <c r="F240">
        <f t="shared" si="17"/>
        <v>2</v>
      </c>
      <c r="G240">
        <f t="shared" si="18"/>
        <v>3</v>
      </c>
      <c r="H240">
        <f t="shared" si="19"/>
        <v>523</v>
      </c>
    </row>
    <row r="241" spans="1:8" x14ac:dyDescent="0.55000000000000004">
      <c r="A241" s="6">
        <v>2.208368745871883E+18</v>
      </c>
      <c r="B241">
        <v>605</v>
      </c>
      <c r="C241">
        <v>2</v>
      </c>
      <c r="D241">
        <v>1434</v>
      </c>
      <c r="E241">
        <f t="shared" si="16"/>
        <v>3</v>
      </c>
      <c r="F241">
        <f t="shared" si="17"/>
        <v>2</v>
      </c>
      <c r="G241">
        <f t="shared" si="18"/>
        <v>2</v>
      </c>
      <c r="H241">
        <f t="shared" si="19"/>
        <v>322</v>
      </c>
    </row>
    <row r="242" spans="1:8" x14ac:dyDescent="0.55000000000000004">
      <c r="A242" s="6">
        <v>2.2161208201684759E+18</v>
      </c>
      <c r="B242">
        <v>833</v>
      </c>
      <c r="C242">
        <v>1</v>
      </c>
      <c r="D242">
        <v>112</v>
      </c>
      <c r="E242">
        <f t="shared" si="16"/>
        <v>3</v>
      </c>
      <c r="F242">
        <f t="shared" si="17"/>
        <v>1</v>
      </c>
      <c r="G242">
        <f t="shared" si="18"/>
        <v>1</v>
      </c>
      <c r="H242">
        <f t="shared" si="19"/>
        <v>311</v>
      </c>
    </row>
    <row r="243" spans="1:8" x14ac:dyDescent="0.55000000000000004">
      <c r="A243" s="6">
        <v>2.2216710197921889E+18</v>
      </c>
      <c r="B243">
        <v>177</v>
      </c>
      <c r="C243">
        <v>1</v>
      </c>
      <c r="D243">
        <v>6240</v>
      </c>
      <c r="E243">
        <f t="shared" si="16"/>
        <v>5</v>
      </c>
      <c r="F243">
        <f t="shared" si="17"/>
        <v>1</v>
      </c>
      <c r="G243">
        <f t="shared" si="18"/>
        <v>3</v>
      </c>
      <c r="H243">
        <f t="shared" si="19"/>
        <v>513</v>
      </c>
    </row>
    <row r="244" spans="1:8" x14ac:dyDescent="0.55000000000000004">
      <c r="A244" s="6">
        <v>2.2219326285600251E+18</v>
      </c>
      <c r="B244">
        <v>4</v>
      </c>
      <c r="C244">
        <v>2</v>
      </c>
      <c r="D244">
        <v>1216</v>
      </c>
      <c r="E244">
        <f t="shared" si="16"/>
        <v>5</v>
      </c>
      <c r="F244">
        <f t="shared" si="17"/>
        <v>2</v>
      </c>
      <c r="G244">
        <f t="shared" si="18"/>
        <v>2</v>
      </c>
      <c r="H244">
        <f t="shared" si="19"/>
        <v>522</v>
      </c>
    </row>
    <row r="245" spans="1:8" x14ac:dyDescent="0.55000000000000004">
      <c r="A245" s="6">
        <v>2.225462902853954E+18</v>
      </c>
      <c r="B245">
        <v>769</v>
      </c>
      <c r="C245">
        <v>2</v>
      </c>
      <c r="D245">
        <v>9337</v>
      </c>
      <c r="E245">
        <f t="shared" si="16"/>
        <v>3</v>
      </c>
      <c r="F245">
        <f t="shared" si="17"/>
        <v>2</v>
      </c>
      <c r="G245">
        <f t="shared" si="18"/>
        <v>3</v>
      </c>
      <c r="H245">
        <f t="shared" si="19"/>
        <v>323</v>
      </c>
    </row>
    <row r="246" spans="1:8" x14ac:dyDescent="0.55000000000000004">
      <c r="A246" s="6">
        <v>2.2296974027298849E+18</v>
      </c>
      <c r="B246">
        <v>198</v>
      </c>
      <c r="C246">
        <v>1</v>
      </c>
      <c r="D246">
        <v>3535</v>
      </c>
      <c r="E246">
        <f t="shared" si="16"/>
        <v>5</v>
      </c>
      <c r="F246">
        <f t="shared" si="17"/>
        <v>1</v>
      </c>
      <c r="G246">
        <f t="shared" si="18"/>
        <v>3</v>
      </c>
      <c r="H246">
        <f t="shared" si="19"/>
        <v>513</v>
      </c>
    </row>
    <row r="247" spans="1:8" x14ac:dyDescent="0.55000000000000004">
      <c r="A247" s="6">
        <v>2.2411033549047949E+18</v>
      </c>
      <c r="B247">
        <v>1202</v>
      </c>
      <c r="C247">
        <v>1</v>
      </c>
      <c r="D247">
        <v>2604</v>
      </c>
      <c r="E247">
        <f t="shared" si="16"/>
        <v>1</v>
      </c>
      <c r="F247">
        <f t="shared" si="17"/>
        <v>1</v>
      </c>
      <c r="G247">
        <f t="shared" si="18"/>
        <v>3</v>
      </c>
      <c r="H247">
        <f t="shared" si="19"/>
        <v>113</v>
      </c>
    </row>
    <row r="248" spans="1:8" x14ac:dyDescent="0.55000000000000004">
      <c r="A248" s="6">
        <v>2.2472947791115561E+18</v>
      </c>
      <c r="B248">
        <v>1158</v>
      </c>
      <c r="C248">
        <v>1</v>
      </c>
      <c r="D248">
        <v>270</v>
      </c>
      <c r="E248">
        <f t="shared" si="16"/>
        <v>1</v>
      </c>
      <c r="F248">
        <f t="shared" si="17"/>
        <v>1</v>
      </c>
      <c r="G248">
        <f t="shared" si="18"/>
        <v>1</v>
      </c>
      <c r="H248">
        <f t="shared" si="19"/>
        <v>111</v>
      </c>
    </row>
    <row r="249" spans="1:8" x14ac:dyDescent="0.55000000000000004">
      <c r="A249" s="6">
        <v>2.250597738026262E+18</v>
      </c>
      <c r="B249">
        <v>63</v>
      </c>
      <c r="C249">
        <v>1</v>
      </c>
      <c r="D249">
        <v>106</v>
      </c>
      <c r="E249">
        <f t="shared" si="16"/>
        <v>5</v>
      </c>
      <c r="F249">
        <f t="shared" si="17"/>
        <v>1</v>
      </c>
      <c r="G249">
        <f t="shared" si="18"/>
        <v>1</v>
      </c>
      <c r="H249">
        <f t="shared" si="19"/>
        <v>511</v>
      </c>
    </row>
    <row r="250" spans="1:8" x14ac:dyDescent="0.55000000000000004">
      <c r="A250" s="6">
        <v>2.2533622592515241E+18</v>
      </c>
      <c r="B250">
        <v>533</v>
      </c>
      <c r="C250">
        <v>1</v>
      </c>
      <c r="D250">
        <v>89</v>
      </c>
      <c r="E250">
        <f t="shared" si="16"/>
        <v>4</v>
      </c>
      <c r="F250">
        <f t="shared" si="17"/>
        <v>1</v>
      </c>
      <c r="G250">
        <f t="shared" si="18"/>
        <v>1</v>
      </c>
      <c r="H250">
        <f t="shared" si="19"/>
        <v>411</v>
      </c>
    </row>
    <row r="251" spans="1:8" x14ac:dyDescent="0.55000000000000004">
      <c r="A251" s="6">
        <v>2.2534652662718369E+18</v>
      </c>
      <c r="B251">
        <v>757</v>
      </c>
      <c r="C251">
        <v>1</v>
      </c>
      <c r="D251">
        <v>96</v>
      </c>
      <c r="E251">
        <f t="shared" si="16"/>
        <v>3</v>
      </c>
      <c r="F251">
        <f t="shared" si="17"/>
        <v>1</v>
      </c>
      <c r="G251">
        <f t="shared" si="18"/>
        <v>1</v>
      </c>
      <c r="H251">
        <f t="shared" si="19"/>
        <v>311</v>
      </c>
    </row>
    <row r="252" spans="1:8" x14ac:dyDescent="0.55000000000000004">
      <c r="A252" s="6">
        <v>2.267788166417271E+18</v>
      </c>
      <c r="B252">
        <v>411</v>
      </c>
      <c r="C252">
        <v>1</v>
      </c>
      <c r="D252">
        <v>1336</v>
      </c>
      <c r="E252">
        <f t="shared" si="16"/>
        <v>4</v>
      </c>
      <c r="F252">
        <f t="shared" si="17"/>
        <v>1</v>
      </c>
      <c r="G252">
        <f t="shared" si="18"/>
        <v>2</v>
      </c>
      <c r="H252">
        <f t="shared" si="19"/>
        <v>412</v>
      </c>
    </row>
    <row r="253" spans="1:8" x14ac:dyDescent="0.55000000000000004">
      <c r="A253" s="6">
        <v>2.2861909734112389E+18</v>
      </c>
      <c r="B253">
        <v>152</v>
      </c>
      <c r="C253">
        <v>2</v>
      </c>
      <c r="D253">
        <v>9534</v>
      </c>
      <c r="E253">
        <f t="shared" si="16"/>
        <v>5</v>
      </c>
      <c r="F253">
        <f t="shared" si="17"/>
        <v>2</v>
      </c>
      <c r="G253">
        <f t="shared" si="18"/>
        <v>3</v>
      </c>
      <c r="H253">
        <f t="shared" si="19"/>
        <v>523</v>
      </c>
    </row>
    <row r="254" spans="1:8" x14ac:dyDescent="0.55000000000000004">
      <c r="A254" s="6">
        <v>2.3249921401549619E+18</v>
      </c>
      <c r="B254">
        <v>453</v>
      </c>
      <c r="C254">
        <v>1</v>
      </c>
      <c r="D254">
        <v>445</v>
      </c>
      <c r="E254">
        <f t="shared" si="16"/>
        <v>4</v>
      </c>
      <c r="F254">
        <f t="shared" si="17"/>
        <v>1</v>
      </c>
      <c r="G254">
        <f t="shared" si="18"/>
        <v>1</v>
      </c>
      <c r="H254">
        <f t="shared" si="19"/>
        <v>411</v>
      </c>
    </row>
    <row r="255" spans="1:8" x14ac:dyDescent="0.55000000000000004">
      <c r="A255" s="6">
        <v>2.3287859527018061E+18</v>
      </c>
      <c r="B255">
        <v>61</v>
      </c>
      <c r="C255">
        <v>1</v>
      </c>
      <c r="D255">
        <v>964</v>
      </c>
      <c r="E255">
        <f t="shared" si="16"/>
        <v>5</v>
      </c>
      <c r="F255">
        <f t="shared" si="17"/>
        <v>1</v>
      </c>
      <c r="G255">
        <f t="shared" si="18"/>
        <v>2</v>
      </c>
      <c r="H255">
        <f t="shared" si="19"/>
        <v>512</v>
      </c>
    </row>
    <row r="256" spans="1:8" x14ac:dyDescent="0.55000000000000004">
      <c r="A256" s="6">
        <v>2.3383858770138522E+18</v>
      </c>
      <c r="B256">
        <v>1078</v>
      </c>
      <c r="C256">
        <v>1</v>
      </c>
      <c r="D256">
        <v>943</v>
      </c>
      <c r="E256">
        <f t="shared" si="16"/>
        <v>2</v>
      </c>
      <c r="F256">
        <f t="shared" si="17"/>
        <v>1</v>
      </c>
      <c r="G256">
        <f t="shared" si="18"/>
        <v>2</v>
      </c>
      <c r="H256">
        <f t="shared" si="19"/>
        <v>212</v>
      </c>
    </row>
    <row r="257" spans="1:8" x14ac:dyDescent="0.55000000000000004">
      <c r="A257" s="6">
        <v>2.344110911434175E+18</v>
      </c>
      <c r="B257">
        <v>95</v>
      </c>
      <c r="C257">
        <v>2</v>
      </c>
      <c r="D257">
        <v>21145</v>
      </c>
      <c r="E257">
        <f t="shared" si="16"/>
        <v>5</v>
      </c>
      <c r="F257">
        <f t="shared" si="17"/>
        <v>2</v>
      </c>
      <c r="G257">
        <f t="shared" si="18"/>
        <v>3</v>
      </c>
      <c r="H257">
        <f t="shared" si="19"/>
        <v>523</v>
      </c>
    </row>
    <row r="258" spans="1:8" x14ac:dyDescent="0.55000000000000004">
      <c r="A258" s="6">
        <v>2.3506228402336369E+18</v>
      </c>
      <c r="B258">
        <v>469</v>
      </c>
      <c r="C258">
        <v>1</v>
      </c>
      <c r="D258">
        <v>2658</v>
      </c>
      <c r="E258">
        <f t="shared" si="16"/>
        <v>4</v>
      </c>
      <c r="F258">
        <f t="shared" si="17"/>
        <v>1</v>
      </c>
      <c r="G258">
        <f t="shared" si="18"/>
        <v>3</v>
      </c>
      <c r="H258">
        <f t="shared" si="19"/>
        <v>413</v>
      </c>
    </row>
    <row r="259" spans="1:8" x14ac:dyDescent="0.55000000000000004">
      <c r="A259" s="6">
        <v>2.350766272328E+18</v>
      </c>
      <c r="B259">
        <v>167</v>
      </c>
      <c r="C259">
        <v>1</v>
      </c>
      <c r="D259">
        <v>97</v>
      </c>
      <c r="E259">
        <f t="shared" ref="E259:E322" si="20">VLOOKUP(B259,$K$5:$L$9,2,1)</f>
        <v>5</v>
      </c>
      <c r="F259">
        <f t="shared" ref="F259:F322" si="21">VLOOKUP(C259,$K$15:$L$17,2,1)</f>
        <v>1</v>
      </c>
      <c r="G259">
        <f t="shared" ref="G259:G322" si="22">VLOOKUP(D259,$K$24:$L$26,2,1)</f>
        <v>1</v>
      </c>
      <c r="H259">
        <f t="shared" ref="H259:H322" si="23">E259*100+F259*10+G259</f>
        <v>511</v>
      </c>
    </row>
    <row r="260" spans="1:8" x14ac:dyDescent="0.55000000000000004">
      <c r="A260" s="6">
        <v>2.3568634158670162E+18</v>
      </c>
      <c r="B260">
        <v>773</v>
      </c>
      <c r="C260">
        <v>1</v>
      </c>
      <c r="D260">
        <v>1930</v>
      </c>
      <c r="E260">
        <f t="shared" si="20"/>
        <v>3</v>
      </c>
      <c r="F260">
        <f t="shared" si="21"/>
        <v>1</v>
      </c>
      <c r="G260">
        <f t="shared" si="22"/>
        <v>2</v>
      </c>
      <c r="H260">
        <f t="shared" si="23"/>
        <v>312</v>
      </c>
    </row>
    <row r="261" spans="1:8" x14ac:dyDescent="0.55000000000000004">
      <c r="A261" s="6">
        <v>2.35868579751746E+18</v>
      </c>
      <c r="B261">
        <v>1266</v>
      </c>
      <c r="C261">
        <v>1</v>
      </c>
      <c r="D261">
        <v>375</v>
      </c>
      <c r="E261">
        <f t="shared" si="20"/>
        <v>1</v>
      </c>
      <c r="F261">
        <f t="shared" si="21"/>
        <v>1</v>
      </c>
      <c r="G261">
        <f t="shared" si="22"/>
        <v>1</v>
      </c>
      <c r="H261">
        <f t="shared" si="23"/>
        <v>111</v>
      </c>
    </row>
    <row r="262" spans="1:8" x14ac:dyDescent="0.55000000000000004">
      <c r="A262" s="6">
        <v>2.3691286549144228E+18</v>
      </c>
      <c r="B262">
        <v>53</v>
      </c>
      <c r="C262">
        <v>1</v>
      </c>
      <c r="D262">
        <v>1554</v>
      </c>
      <c r="E262">
        <f t="shared" si="20"/>
        <v>5</v>
      </c>
      <c r="F262">
        <f t="shared" si="21"/>
        <v>1</v>
      </c>
      <c r="G262">
        <f t="shared" si="22"/>
        <v>2</v>
      </c>
      <c r="H262">
        <f t="shared" si="23"/>
        <v>512</v>
      </c>
    </row>
    <row r="263" spans="1:8" x14ac:dyDescent="0.55000000000000004">
      <c r="A263" s="6">
        <v>2.3773168916203341E+18</v>
      </c>
      <c r="B263">
        <v>252</v>
      </c>
      <c r="C263">
        <v>1</v>
      </c>
      <c r="D263">
        <v>6297</v>
      </c>
      <c r="E263">
        <f t="shared" si="20"/>
        <v>5</v>
      </c>
      <c r="F263">
        <f t="shared" si="21"/>
        <v>1</v>
      </c>
      <c r="G263">
        <f t="shared" si="22"/>
        <v>3</v>
      </c>
      <c r="H263">
        <f t="shared" si="23"/>
        <v>513</v>
      </c>
    </row>
    <row r="264" spans="1:8" x14ac:dyDescent="0.55000000000000004">
      <c r="A264" s="6">
        <v>2.392089550787735E+18</v>
      </c>
      <c r="B264">
        <v>349</v>
      </c>
      <c r="C264">
        <v>1</v>
      </c>
      <c r="D264">
        <v>916</v>
      </c>
      <c r="E264">
        <f t="shared" si="20"/>
        <v>4</v>
      </c>
      <c r="F264">
        <f t="shared" si="21"/>
        <v>1</v>
      </c>
      <c r="G264">
        <f t="shared" si="22"/>
        <v>2</v>
      </c>
      <c r="H264">
        <f t="shared" si="23"/>
        <v>412</v>
      </c>
    </row>
    <row r="265" spans="1:8" x14ac:dyDescent="0.55000000000000004">
      <c r="A265" s="6">
        <v>2.3946474641006162E+18</v>
      </c>
      <c r="B265">
        <v>920</v>
      </c>
      <c r="C265">
        <v>2</v>
      </c>
      <c r="D265">
        <v>848</v>
      </c>
      <c r="E265">
        <f t="shared" si="20"/>
        <v>2</v>
      </c>
      <c r="F265">
        <f t="shared" si="21"/>
        <v>2</v>
      </c>
      <c r="G265">
        <f t="shared" si="22"/>
        <v>2</v>
      </c>
      <c r="H265">
        <f t="shared" si="23"/>
        <v>222</v>
      </c>
    </row>
    <row r="266" spans="1:8" x14ac:dyDescent="0.55000000000000004">
      <c r="A266" s="6">
        <v>2.4027411443830999E+18</v>
      </c>
      <c r="B266">
        <v>742</v>
      </c>
      <c r="C266">
        <v>2</v>
      </c>
      <c r="D266">
        <v>2098</v>
      </c>
      <c r="E266">
        <f t="shared" si="20"/>
        <v>3</v>
      </c>
      <c r="F266">
        <f t="shared" si="21"/>
        <v>2</v>
      </c>
      <c r="G266">
        <f t="shared" si="22"/>
        <v>2</v>
      </c>
      <c r="H266">
        <f t="shared" si="23"/>
        <v>322</v>
      </c>
    </row>
    <row r="267" spans="1:8" x14ac:dyDescent="0.55000000000000004">
      <c r="A267" s="6">
        <v>2.4494809714764979E+18</v>
      </c>
      <c r="B267">
        <v>479</v>
      </c>
      <c r="C267">
        <v>1</v>
      </c>
      <c r="D267">
        <v>3734</v>
      </c>
      <c r="E267">
        <f t="shared" si="20"/>
        <v>4</v>
      </c>
      <c r="F267">
        <f t="shared" si="21"/>
        <v>1</v>
      </c>
      <c r="G267">
        <f t="shared" si="22"/>
        <v>3</v>
      </c>
      <c r="H267">
        <f t="shared" si="23"/>
        <v>413</v>
      </c>
    </row>
    <row r="268" spans="1:8" x14ac:dyDescent="0.55000000000000004">
      <c r="A268" s="6">
        <v>2.4867096858662651E+18</v>
      </c>
      <c r="B268">
        <v>463</v>
      </c>
      <c r="C268">
        <v>1</v>
      </c>
      <c r="D268">
        <v>2886</v>
      </c>
      <c r="E268">
        <f t="shared" si="20"/>
        <v>4</v>
      </c>
      <c r="F268">
        <f t="shared" si="21"/>
        <v>1</v>
      </c>
      <c r="G268">
        <f t="shared" si="22"/>
        <v>3</v>
      </c>
      <c r="H268">
        <f t="shared" si="23"/>
        <v>413</v>
      </c>
    </row>
    <row r="269" spans="1:8" x14ac:dyDescent="0.55000000000000004">
      <c r="A269" s="6">
        <v>2.4900764070208317E+18</v>
      </c>
      <c r="B269">
        <v>256</v>
      </c>
      <c r="C269">
        <v>2</v>
      </c>
      <c r="D269">
        <v>685</v>
      </c>
      <c r="E269">
        <f t="shared" si="20"/>
        <v>5</v>
      </c>
      <c r="F269">
        <f t="shared" si="21"/>
        <v>2</v>
      </c>
      <c r="G269">
        <f t="shared" si="22"/>
        <v>2</v>
      </c>
      <c r="H269">
        <f t="shared" si="23"/>
        <v>522</v>
      </c>
    </row>
    <row r="270" spans="1:8" x14ac:dyDescent="0.55000000000000004">
      <c r="A270" s="6">
        <v>2.4913460905217208E+18</v>
      </c>
      <c r="B270">
        <v>7</v>
      </c>
      <c r="C270">
        <v>1</v>
      </c>
      <c r="D270">
        <v>376</v>
      </c>
      <c r="E270">
        <f t="shared" si="20"/>
        <v>5</v>
      </c>
      <c r="F270">
        <f t="shared" si="21"/>
        <v>1</v>
      </c>
      <c r="G270">
        <f t="shared" si="22"/>
        <v>1</v>
      </c>
      <c r="H270">
        <f t="shared" si="23"/>
        <v>511</v>
      </c>
    </row>
    <row r="271" spans="1:8" x14ac:dyDescent="0.55000000000000004">
      <c r="A271" s="6">
        <v>2.4955275502023101E+18</v>
      </c>
      <c r="B271">
        <v>412</v>
      </c>
      <c r="C271">
        <v>2</v>
      </c>
      <c r="D271">
        <v>8410</v>
      </c>
      <c r="E271">
        <f t="shared" si="20"/>
        <v>4</v>
      </c>
      <c r="F271">
        <f t="shared" si="21"/>
        <v>2</v>
      </c>
      <c r="G271">
        <f t="shared" si="22"/>
        <v>3</v>
      </c>
      <c r="H271">
        <f t="shared" si="23"/>
        <v>423</v>
      </c>
    </row>
    <row r="272" spans="1:8" x14ac:dyDescent="0.55000000000000004">
      <c r="A272" s="6">
        <v>2.4981247657363702E+18</v>
      </c>
      <c r="B272">
        <v>27</v>
      </c>
      <c r="C272">
        <v>1</v>
      </c>
      <c r="D272">
        <v>127</v>
      </c>
      <c r="E272">
        <f t="shared" si="20"/>
        <v>5</v>
      </c>
      <c r="F272">
        <f t="shared" si="21"/>
        <v>1</v>
      </c>
      <c r="G272">
        <f t="shared" si="22"/>
        <v>1</v>
      </c>
      <c r="H272">
        <f t="shared" si="23"/>
        <v>511</v>
      </c>
    </row>
    <row r="273" spans="1:8" x14ac:dyDescent="0.55000000000000004">
      <c r="A273" s="6">
        <v>2.5108968822276541E+18</v>
      </c>
      <c r="B273">
        <v>203</v>
      </c>
      <c r="C273">
        <v>1</v>
      </c>
      <c r="D273">
        <v>1536</v>
      </c>
      <c r="E273">
        <f t="shared" si="20"/>
        <v>5</v>
      </c>
      <c r="F273">
        <f t="shared" si="21"/>
        <v>1</v>
      </c>
      <c r="G273">
        <f t="shared" si="22"/>
        <v>2</v>
      </c>
      <c r="H273">
        <f t="shared" si="23"/>
        <v>512</v>
      </c>
    </row>
    <row r="274" spans="1:8" x14ac:dyDescent="0.55000000000000004">
      <c r="A274" s="6">
        <v>2.5146266350727972E+18</v>
      </c>
      <c r="B274">
        <v>399</v>
      </c>
      <c r="C274">
        <v>3</v>
      </c>
      <c r="D274">
        <v>2653</v>
      </c>
      <c r="E274">
        <f t="shared" si="20"/>
        <v>4</v>
      </c>
      <c r="F274">
        <f t="shared" si="21"/>
        <v>3</v>
      </c>
      <c r="G274">
        <f t="shared" si="22"/>
        <v>3</v>
      </c>
      <c r="H274">
        <f t="shared" si="23"/>
        <v>433</v>
      </c>
    </row>
    <row r="275" spans="1:8" x14ac:dyDescent="0.55000000000000004">
      <c r="A275" s="6">
        <v>2.5383376278167301E+18</v>
      </c>
      <c r="B275">
        <v>733</v>
      </c>
      <c r="C275">
        <v>1</v>
      </c>
      <c r="D275">
        <v>1320</v>
      </c>
      <c r="E275">
        <f t="shared" si="20"/>
        <v>3</v>
      </c>
      <c r="F275">
        <f t="shared" si="21"/>
        <v>1</v>
      </c>
      <c r="G275">
        <f t="shared" si="22"/>
        <v>2</v>
      </c>
      <c r="H275">
        <f t="shared" si="23"/>
        <v>312</v>
      </c>
    </row>
    <row r="276" spans="1:8" x14ac:dyDescent="0.55000000000000004">
      <c r="A276" s="6">
        <v>2.5412988130793498E+18</v>
      </c>
      <c r="B276">
        <v>25</v>
      </c>
      <c r="C276">
        <v>1</v>
      </c>
      <c r="D276">
        <v>4909</v>
      </c>
      <c r="E276">
        <f t="shared" si="20"/>
        <v>5</v>
      </c>
      <c r="F276">
        <f t="shared" si="21"/>
        <v>1</v>
      </c>
      <c r="G276">
        <f t="shared" si="22"/>
        <v>3</v>
      </c>
      <c r="H276">
        <f t="shared" si="23"/>
        <v>513</v>
      </c>
    </row>
    <row r="277" spans="1:8" x14ac:dyDescent="0.55000000000000004">
      <c r="A277" s="6">
        <v>2.5423728986190152E+18</v>
      </c>
      <c r="B277">
        <v>180</v>
      </c>
      <c r="C277">
        <v>1</v>
      </c>
      <c r="D277">
        <v>13</v>
      </c>
      <c r="E277">
        <f t="shared" si="20"/>
        <v>5</v>
      </c>
      <c r="F277">
        <f t="shared" si="21"/>
        <v>1</v>
      </c>
      <c r="G277">
        <f t="shared" si="22"/>
        <v>1</v>
      </c>
      <c r="H277">
        <f t="shared" si="23"/>
        <v>511</v>
      </c>
    </row>
    <row r="278" spans="1:8" x14ac:dyDescent="0.55000000000000004">
      <c r="A278" s="6">
        <v>2.5432399269405757E+18</v>
      </c>
      <c r="B278">
        <v>1016</v>
      </c>
      <c r="C278">
        <v>1</v>
      </c>
      <c r="D278">
        <v>317</v>
      </c>
      <c r="E278">
        <f t="shared" si="20"/>
        <v>2</v>
      </c>
      <c r="F278">
        <f t="shared" si="21"/>
        <v>1</v>
      </c>
      <c r="G278">
        <f t="shared" si="22"/>
        <v>1</v>
      </c>
      <c r="H278">
        <f t="shared" si="23"/>
        <v>211</v>
      </c>
    </row>
    <row r="279" spans="1:8" x14ac:dyDescent="0.55000000000000004">
      <c r="A279" s="6">
        <v>2.545330524848702E+18</v>
      </c>
      <c r="B279">
        <v>320</v>
      </c>
      <c r="C279">
        <v>1</v>
      </c>
      <c r="D279">
        <v>1480</v>
      </c>
      <c r="E279">
        <f t="shared" si="20"/>
        <v>4</v>
      </c>
      <c r="F279">
        <f t="shared" si="21"/>
        <v>1</v>
      </c>
      <c r="G279">
        <f t="shared" si="22"/>
        <v>2</v>
      </c>
      <c r="H279">
        <f t="shared" si="23"/>
        <v>412</v>
      </c>
    </row>
    <row r="280" spans="1:8" x14ac:dyDescent="0.55000000000000004">
      <c r="A280" s="6">
        <v>2.5502594470247168E+18</v>
      </c>
      <c r="B280">
        <v>780</v>
      </c>
      <c r="C280">
        <v>1</v>
      </c>
      <c r="D280">
        <v>690</v>
      </c>
      <c r="E280">
        <f t="shared" si="20"/>
        <v>3</v>
      </c>
      <c r="F280">
        <f t="shared" si="21"/>
        <v>1</v>
      </c>
      <c r="G280">
        <f t="shared" si="22"/>
        <v>2</v>
      </c>
      <c r="H280">
        <f t="shared" si="23"/>
        <v>312</v>
      </c>
    </row>
    <row r="281" spans="1:8" x14ac:dyDescent="0.55000000000000004">
      <c r="A281" s="6">
        <v>2.558484207246827E+18</v>
      </c>
      <c r="B281">
        <v>619</v>
      </c>
      <c r="C281">
        <v>1</v>
      </c>
      <c r="D281">
        <v>1160</v>
      </c>
      <c r="E281">
        <f t="shared" si="20"/>
        <v>3</v>
      </c>
      <c r="F281">
        <f t="shared" si="21"/>
        <v>1</v>
      </c>
      <c r="G281">
        <f t="shared" si="22"/>
        <v>2</v>
      </c>
      <c r="H281">
        <f t="shared" si="23"/>
        <v>312</v>
      </c>
    </row>
    <row r="282" spans="1:8" x14ac:dyDescent="0.55000000000000004">
      <c r="A282" s="6">
        <v>2.5593155119467418E+18</v>
      </c>
      <c r="B282">
        <v>224</v>
      </c>
      <c r="C282">
        <v>1</v>
      </c>
      <c r="D282">
        <v>2752</v>
      </c>
      <c r="E282">
        <f t="shared" si="20"/>
        <v>5</v>
      </c>
      <c r="F282">
        <f t="shared" si="21"/>
        <v>1</v>
      </c>
      <c r="G282">
        <f t="shared" si="22"/>
        <v>3</v>
      </c>
      <c r="H282">
        <f t="shared" si="23"/>
        <v>513</v>
      </c>
    </row>
    <row r="283" spans="1:8" x14ac:dyDescent="0.55000000000000004">
      <c r="A283" s="6">
        <v>2.5609919502683709E+18</v>
      </c>
      <c r="B283">
        <v>1057</v>
      </c>
      <c r="C283">
        <v>3</v>
      </c>
      <c r="D283">
        <v>942</v>
      </c>
      <c r="E283">
        <f t="shared" si="20"/>
        <v>2</v>
      </c>
      <c r="F283">
        <f t="shared" si="21"/>
        <v>3</v>
      </c>
      <c r="G283">
        <f t="shared" si="22"/>
        <v>2</v>
      </c>
      <c r="H283">
        <f t="shared" si="23"/>
        <v>232</v>
      </c>
    </row>
    <row r="284" spans="1:8" x14ac:dyDescent="0.55000000000000004">
      <c r="A284" s="6">
        <v>2.564259622408022E+18</v>
      </c>
      <c r="B284">
        <v>163</v>
      </c>
      <c r="C284">
        <v>3</v>
      </c>
      <c r="D284">
        <v>20319</v>
      </c>
      <c r="E284">
        <f t="shared" si="20"/>
        <v>5</v>
      </c>
      <c r="F284">
        <f t="shared" si="21"/>
        <v>3</v>
      </c>
      <c r="G284">
        <f t="shared" si="22"/>
        <v>3</v>
      </c>
      <c r="H284">
        <f t="shared" si="23"/>
        <v>533</v>
      </c>
    </row>
    <row r="285" spans="1:8" x14ac:dyDescent="0.55000000000000004">
      <c r="A285" s="6">
        <v>2.5732596732259671E+18</v>
      </c>
      <c r="B285">
        <v>372</v>
      </c>
      <c r="C285">
        <v>1</v>
      </c>
      <c r="D285">
        <v>1304</v>
      </c>
      <c r="E285">
        <f t="shared" si="20"/>
        <v>4</v>
      </c>
      <c r="F285">
        <f t="shared" si="21"/>
        <v>1</v>
      </c>
      <c r="G285">
        <f t="shared" si="22"/>
        <v>2</v>
      </c>
      <c r="H285">
        <f t="shared" si="23"/>
        <v>412</v>
      </c>
    </row>
    <row r="286" spans="1:8" x14ac:dyDescent="0.55000000000000004">
      <c r="A286" s="6">
        <v>2.5752748189004631E+18</v>
      </c>
      <c r="B286">
        <v>78</v>
      </c>
      <c r="C286">
        <v>2</v>
      </c>
      <c r="D286">
        <v>2350</v>
      </c>
      <c r="E286">
        <f t="shared" si="20"/>
        <v>5</v>
      </c>
      <c r="F286">
        <f t="shared" si="21"/>
        <v>2</v>
      </c>
      <c r="G286">
        <f t="shared" si="22"/>
        <v>3</v>
      </c>
      <c r="H286">
        <f t="shared" si="23"/>
        <v>523</v>
      </c>
    </row>
    <row r="287" spans="1:8" x14ac:dyDescent="0.55000000000000004">
      <c r="A287" s="6">
        <v>2.5753164287762079E+18</v>
      </c>
      <c r="B287">
        <v>517</v>
      </c>
      <c r="C287">
        <v>3</v>
      </c>
      <c r="D287">
        <v>6435</v>
      </c>
      <c r="E287">
        <f t="shared" si="20"/>
        <v>4</v>
      </c>
      <c r="F287">
        <f t="shared" si="21"/>
        <v>3</v>
      </c>
      <c r="G287">
        <f t="shared" si="22"/>
        <v>3</v>
      </c>
      <c r="H287">
        <f t="shared" si="23"/>
        <v>433</v>
      </c>
    </row>
    <row r="288" spans="1:8" x14ac:dyDescent="0.55000000000000004">
      <c r="A288" s="6">
        <v>2.5758306272859781E+18</v>
      </c>
      <c r="B288">
        <v>46</v>
      </c>
      <c r="C288">
        <v>2</v>
      </c>
      <c r="D288">
        <v>712</v>
      </c>
      <c r="E288">
        <f t="shared" si="20"/>
        <v>5</v>
      </c>
      <c r="F288">
        <f t="shared" si="21"/>
        <v>2</v>
      </c>
      <c r="G288">
        <f t="shared" si="22"/>
        <v>2</v>
      </c>
      <c r="H288">
        <f t="shared" si="23"/>
        <v>522</v>
      </c>
    </row>
    <row r="289" spans="1:8" x14ac:dyDescent="0.55000000000000004">
      <c r="A289" s="6">
        <v>2.5776502472543529E+18</v>
      </c>
      <c r="B289">
        <v>669</v>
      </c>
      <c r="C289">
        <v>1</v>
      </c>
      <c r="D289">
        <v>7629</v>
      </c>
      <c r="E289">
        <f t="shared" si="20"/>
        <v>3</v>
      </c>
      <c r="F289">
        <f t="shared" si="21"/>
        <v>1</v>
      </c>
      <c r="G289">
        <f t="shared" si="22"/>
        <v>3</v>
      </c>
      <c r="H289">
        <f t="shared" si="23"/>
        <v>313</v>
      </c>
    </row>
    <row r="290" spans="1:8" x14ac:dyDescent="0.55000000000000004">
      <c r="A290" s="6">
        <v>2.6030239575829929E+18</v>
      </c>
      <c r="B290">
        <v>984</v>
      </c>
      <c r="C290">
        <v>1</v>
      </c>
      <c r="D290">
        <v>2361</v>
      </c>
      <c r="E290">
        <f t="shared" si="20"/>
        <v>2</v>
      </c>
      <c r="F290">
        <f t="shared" si="21"/>
        <v>1</v>
      </c>
      <c r="G290">
        <f t="shared" si="22"/>
        <v>3</v>
      </c>
      <c r="H290">
        <f t="shared" si="23"/>
        <v>213</v>
      </c>
    </row>
    <row r="291" spans="1:8" x14ac:dyDescent="0.55000000000000004">
      <c r="A291" s="6">
        <v>2.6197504961558559E+18</v>
      </c>
      <c r="B291">
        <v>419</v>
      </c>
      <c r="C291">
        <v>2</v>
      </c>
      <c r="D291">
        <v>1129</v>
      </c>
      <c r="E291">
        <f t="shared" si="20"/>
        <v>4</v>
      </c>
      <c r="F291">
        <f t="shared" si="21"/>
        <v>2</v>
      </c>
      <c r="G291">
        <f t="shared" si="22"/>
        <v>2</v>
      </c>
      <c r="H291">
        <f t="shared" si="23"/>
        <v>422</v>
      </c>
    </row>
    <row r="292" spans="1:8" x14ac:dyDescent="0.55000000000000004">
      <c r="A292" s="6">
        <v>2.6197657737649992E+18</v>
      </c>
      <c r="B292">
        <v>51</v>
      </c>
      <c r="C292">
        <v>2</v>
      </c>
      <c r="D292">
        <v>11236</v>
      </c>
      <c r="E292">
        <f t="shared" si="20"/>
        <v>5</v>
      </c>
      <c r="F292">
        <f t="shared" si="21"/>
        <v>2</v>
      </c>
      <c r="G292">
        <f t="shared" si="22"/>
        <v>3</v>
      </c>
      <c r="H292">
        <f t="shared" si="23"/>
        <v>523</v>
      </c>
    </row>
    <row r="293" spans="1:8" x14ac:dyDescent="0.55000000000000004">
      <c r="A293" s="6">
        <v>2.62748593945662E+18</v>
      </c>
      <c r="B293">
        <v>369</v>
      </c>
      <c r="C293">
        <v>1</v>
      </c>
      <c r="D293">
        <v>1014</v>
      </c>
      <c r="E293">
        <f t="shared" si="20"/>
        <v>4</v>
      </c>
      <c r="F293">
        <f t="shared" si="21"/>
        <v>1</v>
      </c>
      <c r="G293">
        <f t="shared" si="22"/>
        <v>2</v>
      </c>
      <c r="H293">
        <f t="shared" si="23"/>
        <v>412</v>
      </c>
    </row>
    <row r="294" spans="1:8" x14ac:dyDescent="0.55000000000000004">
      <c r="A294" s="6">
        <v>2.6449074443805271E+18</v>
      </c>
      <c r="B294">
        <v>523</v>
      </c>
      <c r="C294">
        <v>1</v>
      </c>
      <c r="D294">
        <v>290</v>
      </c>
      <c r="E294">
        <f t="shared" si="20"/>
        <v>4</v>
      </c>
      <c r="F294">
        <f t="shared" si="21"/>
        <v>1</v>
      </c>
      <c r="G294">
        <f t="shared" si="22"/>
        <v>1</v>
      </c>
      <c r="H294">
        <f t="shared" si="23"/>
        <v>411</v>
      </c>
    </row>
    <row r="295" spans="1:8" x14ac:dyDescent="0.55000000000000004">
      <c r="A295" s="6">
        <v>2.6558718654448399E+18</v>
      </c>
      <c r="B295">
        <v>1134</v>
      </c>
      <c r="C295">
        <v>1</v>
      </c>
      <c r="D295">
        <v>950</v>
      </c>
      <c r="E295">
        <f t="shared" si="20"/>
        <v>2</v>
      </c>
      <c r="F295">
        <f t="shared" si="21"/>
        <v>1</v>
      </c>
      <c r="G295">
        <f t="shared" si="22"/>
        <v>2</v>
      </c>
      <c r="H295">
        <f t="shared" si="23"/>
        <v>212</v>
      </c>
    </row>
    <row r="296" spans="1:8" x14ac:dyDescent="0.55000000000000004">
      <c r="A296" s="6">
        <v>2.663254991129406E+18</v>
      </c>
      <c r="B296">
        <v>527</v>
      </c>
      <c r="C296">
        <v>1</v>
      </c>
      <c r="D296">
        <v>18228</v>
      </c>
      <c r="E296">
        <f t="shared" si="20"/>
        <v>4</v>
      </c>
      <c r="F296">
        <f t="shared" si="21"/>
        <v>1</v>
      </c>
      <c r="G296">
        <f t="shared" si="22"/>
        <v>3</v>
      </c>
      <c r="H296">
        <f t="shared" si="23"/>
        <v>413</v>
      </c>
    </row>
    <row r="297" spans="1:8" x14ac:dyDescent="0.55000000000000004">
      <c r="A297" s="6">
        <v>2.66430046480576E+18</v>
      </c>
      <c r="B297">
        <v>181</v>
      </c>
      <c r="C297">
        <v>1</v>
      </c>
      <c r="D297">
        <v>2056</v>
      </c>
      <c r="E297">
        <f t="shared" si="20"/>
        <v>5</v>
      </c>
      <c r="F297">
        <f t="shared" si="21"/>
        <v>1</v>
      </c>
      <c r="G297">
        <f t="shared" si="22"/>
        <v>2</v>
      </c>
      <c r="H297">
        <f t="shared" si="23"/>
        <v>512</v>
      </c>
    </row>
    <row r="298" spans="1:8" x14ac:dyDescent="0.55000000000000004">
      <c r="A298" s="6">
        <v>2.6685497503073772E+18</v>
      </c>
      <c r="B298">
        <v>564</v>
      </c>
      <c r="C298">
        <v>1</v>
      </c>
      <c r="D298">
        <v>4218</v>
      </c>
      <c r="E298">
        <f t="shared" si="20"/>
        <v>4</v>
      </c>
      <c r="F298">
        <f t="shared" si="21"/>
        <v>1</v>
      </c>
      <c r="G298">
        <f t="shared" si="22"/>
        <v>3</v>
      </c>
      <c r="H298">
        <f t="shared" si="23"/>
        <v>413</v>
      </c>
    </row>
    <row r="299" spans="1:8" x14ac:dyDescent="0.55000000000000004">
      <c r="A299" s="6">
        <v>2.6721041171314299E+18</v>
      </c>
      <c r="B299">
        <v>477</v>
      </c>
      <c r="C299">
        <v>1</v>
      </c>
      <c r="D299">
        <v>1240</v>
      </c>
      <c r="E299">
        <f t="shared" si="20"/>
        <v>4</v>
      </c>
      <c r="F299">
        <f t="shared" si="21"/>
        <v>1</v>
      </c>
      <c r="G299">
        <f t="shared" si="22"/>
        <v>2</v>
      </c>
      <c r="H299">
        <f t="shared" si="23"/>
        <v>412</v>
      </c>
    </row>
    <row r="300" spans="1:8" x14ac:dyDescent="0.55000000000000004">
      <c r="A300" s="6">
        <v>2.6757948269741338E+18</v>
      </c>
      <c r="B300">
        <v>1268</v>
      </c>
      <c r="C300">
        <v>1</v>
      </c>
      <c r="D300">
        <v>154</v>
      </c>
      <c r="E300">
        <f t="shared" si="20"/>
        <v>1</v>
      </c>
      <c r="F300">
        <f t="shared" si="21"/>
        <v>1</v>
      </c>
      <c r="G300">
        <f t="shared" si="22"/>
        <v>1</v>
      </c>
      <c r="H300">
        <f t="shared" si="23"/>
        <v>111</v>
      </c>
    </row>
    <row r="301" spans="1:8" x14ac:dyDescent="0.55000000000000004">
      <c r="A301" s="6">
        <v>2.6856549616065859E+18</v>
      </c>
      <c r="B301">
        <v>117</v>
      </c>
      <c r="C301">
        <v>1</v>
      </c>
      <c r="D301">
        <v>2122</v>
      </c>
      <c r="E301">
        <f t="shared" si="20"/>
        <v>5</v>
      </c>
      <c r="F301">
        <f t="shared" si="21"/>
        <v>1</v>
      </c>
      <c r="G301">
        <f t="shared" si="22"/>
        <v>2</v>
      </c>
      <c r="H301">
        <f t="shared" si="23"/>
        <v>512</v>
      </c>
    </row>
    <row r="302" spans="1:8" x14ac:dyDescent="0.55000000000000004">
      <c r="A302" s="6">
        <v>2.6861049038826102E+18</v>
      </c>
      <c r="B302">
        <v>727</v>
      </c>
      <c r="C302">
        <v>1</v>
      </c>
      <c r="D302">
        <v>894</v>
      </c>
      <c r="E302">
        <f t="shared" si="20"/>
        <v>3</v>
      </c>
      <c r="F302">
        <f t="shared" si="21"/>
        <v>1</v>
      </c>
      <c r="G302">
        <f t="shared" si="22"/>
        <v>2</v>
      </c>
      <c r="H302">
        <f t="shared" si="23"/>
        <v>312</v>
      </c>
    </row>
    <row r="303" spans="1:8" x14ac:dyDescent="0.55000000000000004">
      <c r="A303" s="6">
        <v>2.6866862189319229E+18</v>
      </c>
      <c r="B303">
        <v>27</v>
      </c>
      <c r="C303">
        <v>1</v>
      </c>
      <c r="D303">
        <v>220</v>
      </c>
      <c r="E303">
        <f t="shared" si="20"/>
        <v>5</v>
      </c>
      <c r="F303">
        <f t="shared" si="21"/>
        <v>1</v>
      </c>
      <c r="G303">
        <f t="shared" si="22"/>
        <v>1</v>
      </c>
      <c r="H303">
        <f t="shared" si="23"/>
        <v>511</v>
      </c>
    </row>
    <row r="304" spans="1:8" x14ac:dyDescent="0.55000000000000004">
      <c r="A304" s="6">
        <v>2.7343455953754409E+18</v>
      </c>
      <c r="B304">
        <v>585</v>
      </c>
      <c r="C304">
        <v>1</v>
      </c>
      <c r="D304">
        <v>49</v>
      </c>
      <c r="E304">
        <f t="shared" si="20"/>
        <v>3</v>
      </c>
      <c r="F304">
        <f t="shared" si="21"/>
        <v>1</v>
      </c>
      <c r="G304">
        <f t="shared" si="22"/>
        <v>1</v>
      </c>
      <c r="H304">
        <f t="shared" si="23"/>
        <v>311</v>
      </c>
    </row>
    <row r="305" spans="1:8" x14ac:dyDescent="0.55000000000000004">
      <c r="A305" s="6">
        <v>2.7658005217164191E+18</v>
      </c>
      <c r="B305">
        <v>406</v>
      </c>
      <c r="C305">
        <v>2</v>
      </c>
      <c r="D305">
        <v>3811</v>
      </c>
      <c r="E305">
        <f t="shared" si="20"/>
        <v>4</v>
      </c>
      <c r="F305">
        <f t="shared" si="21"/>
        <v>2</v>
      </c>
      <c r="G305">
        <f t="shared" si="22"/>
        <v>3</v>
      </c>
      <c r="H305">
        <f t="shared" si="23"/>
        <v>423</v>
      </c>
    </row>
    <row r="306" spans="1:8" x14ac:dyDescent="0.55000000000000004">
      <c r="A306" s="6">
        <v>2.7738114444906752E+18</v>
      </c>
      <c r="B306">
        <v>221</v>
      </c>
      <c r="C306">
        <v>1</v>
      </c>
      <c r="D306">
        <v>969</v>
      </c>
      <c r="E306">
        <f t="shared" si="20"/>
        <v>5</v>
      </c>
      <c r="F306">
        <f t="shared" si="21"/>
        <v>1</v>
      </c>
      <c r="G306">
        <f t="shared" si="22"/>
        <v>2</v>
      </c>
      <c r="H306">
        <f t="shared" si="23"/>
        <v>512</v>
      </c>
    </row>
    <row r="307" spans="1:8" x14ac:dyDescent="0.55000000000000004">
      <c r="A307" s="6">
        <v>2.7772083311998751E+18</v>
      </c>
      <c r="B307">
        <v>360</v>
      </c>
      <c r="C307">
        <v>1</v>
      </c>
      <c r="D307">
        <v>622</v>
      </c>
      <c r="E307">
        <f t="shared" si="20"/>
        <v>4</v>
      </c>
      <c r="F307">
        <f t="shared" si="21"/>
        <v>1</v>
      </c>
      <c r="G307">
        <f t="shared" si="22"/>
        <v>1</v>
      </c>
      <c r="H307">
        <f t="shared" si="23"/>
        <v>411</v>
      </c>
    </row>
    <row r="308" spans="1:8" x14ac:dyDescent="0.55000000000000004">
      <c r="A308" s="6">
        <v>2.8029851890586148E+18</v>
      </c>
      <c r="B308">
        <v>896</v>
      </c>
      <c r="C308">
        <v>1</v>
      </c>
      <c r="D308">
        <v>807</v>
      </c>
      <c r="E308">
        <f t="shared" si="20"/>
        <v>2</v>
      </c>
      <c r="F308">
        <f t="shared" si="21"/>
        <v>1</v>
      </c>
      <c r="G308">
        <f t="shared" si="22"/>
        <v>2</v>
      </c>
      <c r="H308">
        <f t="shared" si="23"/>
        <v>212</v>
      </c>
    </row>
    <row r="309" spans="1:8" x14ac:dyDescent="0.55000000000000004">
      <c r="A309" s="6">
        <v>2.8202571640566118E+18</v>
      </c>
      <c r="B309">
        <v>614</v>
      </c>
      <c r="C309">
        <v>1</v>
      </c>
      <c r="D309">
        <v>846</v>
      </c>
      <c r="E309">
        <f t="shared" si="20"/>
        <v>3</v>
      </c>
      <c r="F309">
        <f t="shared" si="21"/>
        <v>1</v>
      </c>
      <c r="G309">
        <f t="shared" si="22"/>
        <v>2</v>
      </c>
      <c r="H309">
        <f t="shared" si="23"/>
        <v>312</v>
      </c>
    </row>
    <row r="310" spans="1:8" x14ac:dyDescent="0.55000000000000004">
      <c r="A310" s="6">
        <v>2.842375249748479E+18</v>
      </c>
      <c r="B310">
        <v>130</v>
      </c>
      <c r="C310">
        <v>1</v>
      </c>
      <c r="D310">
        <v>592</v>
      </c>
      <c r="E310">
        <f t="shared" si="20"/>
        <v>5</v>
      </c>
      <c r="F310">
        <f t="shared" si="21"/>
        <v>1</v>
      </c>
      <c r="G310">
        <f t="shared" si="22"/>
        <v>1</v>
      </c>
      <c r="H310">
        <f t="shared" si="23"/>
        <v>511</v>
      </c>
    </row>
    <row r="311" spans="1:8" x14ac:dyDescent="0.55000000000000004">
      <c r="A311" s="6">
        <v>2.845766777001474E+18</v>
      </c>
      <c r="B311">
        <v>1251</v>
      </c>
      <c r="C311">
        <v>1</v>
      </c>
      <c r="D311">
        <v>2847</v>
      </c>
      <c r="E311">
        <f t="shared" si="20"/>
        <v>1</v>
      </c>
      <c r="F311">
        <f t="shared" si="21"/>
        <v>1</v>
      </c>
      <c r="G311">
        <f t="shared" si="22"/>
        <v>3</v>
      </c>
      <c r="H311">
        <f t="shared" si="23"/>
        <v>113</v>
      </c>
    </row>
    <row r="312" spans="1:8" x14ac:dyDescent="0.55000000000000004">
      <c r="A312" s="6">
        <v>2.848642907880043E+18</v>
      </c>
      <c r="B312">
        <v>106</v>
      </c>
      <c r="C312">
        <v>1</v>
      </c>
      <c r="D312">
        <v>2191</v>
      </c>
      <c r="E312">
        <f t="shared" si="20"/>
        <v>5</v>
      </c>
      <c r="F312">
        <f t="shared" si="21"/>
        <v>1</v>
      </c>
      <c r="G312">
        <f t="shared" si="22"/>
        <v>2</v>
      </c>
      <c r="H312">
        <f t="shared" si="23"/>
        <v>512</v>
      </c>
    </row>
    <row r="313" spans="1:8" x14ac:dyDescent="0.55000000000000004">
      <c r="A313" s="6">
        <v>2.8520025775292242E+18</v>
      </c>
      <c r="B313">
        <v>138</v>
      </c>
      <c r="C313">
        <v>2</v>
      </c>
      <c r="D313">
        <v>1025</v>
      </c>
      <c r="E313">
        <f t="shared" si="20"/>
        <v>5</v>
      </c>
      <c r="F313">
        <f t="shared" si="21"/>
        <v>2</v>
      </c>
      <c r="G313">
        <f t="shared" si="22"/>
        <v>2</v>
      </c>
      <c r="H313">
        <f t="shared" si="23"/>
        <v>522</v>
      </c>
    </row>
    <row r="314" spans="1:8" x14ac:dyDescent="0.55000000000000004">
      <c r="A314" s="6">
        <v>2.85584285525694E+18</v>
      </c>
      <c r="B314">
        <v>721</v>
      </c>
      <c r="C314">
        <v>1</v>
      </c>
      <c r="D314">
        <v>2622</v>
      </c>
      <c r="E314">
        <f t="shared" si="20"/>
        <v>3</v>
      </c>
      <c r="F314">
        <f t="shared" si="21"/>
        <v>1</v>
      </c>
      <c r="G314">
        <f t="shared" si="22"/>
        <v>3</v>
      </c>
      <c r="H314">
        <f t="shared" si="23"/>
        <v>313</v>
      </c>
    </row>
    <row r="315" spans="1:8" x14ac:dyDescent="0.55000000000000004">
      <c r="A315" s="6">
        <v>2.8651927368076319E+18</v>
      </c>
      <c r="B315">
        <v>16</v>
      </c>
      <c r="C315">
        <v>2</v>
      </c>
      <c r="D315">
        <v>8927</v>
      </c>
      <c r="E315">
        <f t="shared" si="20"/>
        <v>5</v>
      </c>
      <c r="F315">
        <f t="shared" si="21"/>
        <v>2</v>
      </c>
      <c r="G315">
        <f t="shared" si="22"/>
        <v>3</v>
      </c>
      <c r="H315">
        <f t="shared" si="23"/>
        <v>523</v>
      </c>
    </row>
    <row r="316" spans="1:8" x14ac:dyDescent="0.55000000000000004">
      <c r="A316" s="6">
        <v>2.8791522318330199E+18</v>
      </c>
      <c r="B316">
        <v>152</v>
      </c>
      <c r="C316">
        <v>2</v>
      </c>
      <c r="D316">
        <v>1270</v>
      </c>
      <c r="E316">
        <f t="shared" si="20"/>
        <v>5</v>
      </c>
      <c r="F316">
        <f t="shared" si="21"/>
        <v>2</v>
      </c>
      <c r="G316">
        <f t="shared" si="22"/>
        <v>2</v>
      </c>
      <c r="H316">
        <f t="shared" si="23"/>
        <v>522</v>
      </c>
    </row>
    <row r="317" spans="1:8" x14ac:dyDescent="0.55000000000000004">
      <c r="A317" s="6">
        <v>2.8870954126147809E+18</v>
      </c>
      <c r="B317">
        <v>1168</v>
      </c>
      <c r="C317">
        <v>1</v>
      </c>
      <c r="D317">
        <v>241</v>
      </c>
      <c r="E317">
        <f t="shared" si="20"/>
        <v>1</v>
      </c>
      <c r="F317">
        <f t="shared" si="21"/>
        <v>1</v>
      </c>
      <c r="G317">
        <f t="shared" si="22"/>
        <v>1</v>
      </c>
      <c r="H317">
        <f t="shared" si="23"/>
        <v>111</v>
      </c>
    </row>
    <row r="318" spans="1:8" x14ac:dyDescent="0.55000000000000004">
      <c r="A318" s="6">
        <v>2.8875629570672712E+18</v>
      </c>
      <c r="B318">
        <v>430</v>
      </c>
      <c r="C318">
        <v>1</v>
      </c>
      <c r="D318">
        <v>754</v>
      </c>
      <c r="E318">
        <f t="shared" si="20"/>
        <v>4</v>
      </c>
      <c r="F318">
        <f t="shared" si="21"/>
        <v>1</v>
      </c>
      <c r="G318">
        <f t="shared" si="22"/>
        <v>2</v>
      </c>
      <c r="H318">
        <f t="shared" si="23"/>
        <v>412</v>
      </c>
    </row>
    <row r="319" spans="1:8" x14ac:dyDescent="0.55000000000000004">
      <c r="A319" s="6">
        <v>2.8877773766432451E+18</v>
      </c>
      <c r="B319">
        <v>341</v>
      </c>
      <c r="C319">
        <v>2</v>
      </c>
      <c r="D319">
        <v>689</v>
      </c>
      <c r="E319">
        <f t="shared" si="20"/>
        <v>4</v>
      </c>
      <c r="F319">
        <f t="shared" si="21"/>
        <v>2</v>
      </c>
      <c r="G319">
        <f t="shared" si="22"/>
        <v>2</v>
      </c>
      <c r="H319">
        <f t="shared" si="23"/>
        <v>422</v>
      </c>
    </row>
    <row r="320" spans="1:8" x14ac:dyDescent="0.55000000000000004">
      <c r="A320" s="6">
        <v>2.9129142691757379E+18</v>
      </c>
      <c r="B320">
        <v>1114</v>
      </c>
      <c r="C320">
        <v>1</v>
      </c>
      <c r="D320">
        <v>14193</v>
      </c>
      <c r="E320">
        <f t="shared" si="20"/>
        <v>2</v>
      </c>
      <c r="F320">
        <f t="shared" si="21"/>
        <v>1</v>
      </c>
      <c r="G320">
        <f t="shared" si="22"/>
        <v>3</v>
      </c>
      <c r="H320">
        <f t="shared" si="23"/>
        <v>213</v>
      </c>
    </row>
    <row r="321" spans="1:8" x14ac:dyDescent="0.55000000000000004">
      <c r="A321" s="6">
        <v>2.9446560957322291E+18</v>
      </c>
      <c r="B321">
        <v>933</v>
      </c>
      <c r="C321">
        <v>2</v>
      </c>
      <c r="D321">
        <v>362</v>
      </c>
      <c r="E321">
        <f t="shared" si="20"/>
        <v>2</v>
      </c>
      <c r="F321">
        <f t="shared" si="21"/>
        <v>2</v>
      </c>
      <c r="G321">
        <f t="shared" si="22"/>
        <v>1</v>
      </c>
      <c r="H321">
        <f t="shared" si="23"/>
        <v>221</v>
      </c>
    </row>
    <row r="322" spans="1:8" x14ac:dyDescent="0.55000000000000004">
      <c r="A322" s="6">
        <v>2.9736787866978289E+18</v>
      </c>
      <c r="B322">
        <v>719</v>
      </c>
      <c r="C322">
        <v>1</v>
      </c>
      <c r="D322">
        <v>2634</v>
      </c>
      <c r="E322">
        <f t="shared" si="20"/>
        <v>3</v>
      </c>
      <c r="F322">
        <f t="shared" si="21"/>
        <v>1</v>
      </c>
      <c r="G322">
        <f t="shared" si="22"/>
        <v>3</v>
      </c>
      <c r="H322">
        <f t="shared" si="23"/>
        <v>313</v>
      </c>
    </row>
    <row r="323" spans="1:8" x14ac:dyDescent="0.55000000000000004">
      <c r="A323" s="6">
        <v>2.9797603071166321E+18</v>
      </c>
      <c r="B323">
        <v>714</v>
      </c>
      <c r="C323">
        <v>1</v>
      </c>
      <c r="D323">
        <v>105</v>
      </c>
      <c r="E323">
        <f t="shared" ref="E323:E386" si="24">VLOOKUP(B323,$K$5:$L$9,2,1)</f>
        <v>3</v>
      </c>
      <c r="F323">
        <f t="shared" ref="F323:F386" si="25">VLOOKUP(C323,$K$15:$L$17,2,1)</f>
        <v>1</v>
      </c>
      <c r="G323">
        <f t="shared" ref="G323:G386" si="26">VLOOKUP(D323,$K$24:$L$26,2,1)</f>
        <v>1</v>
      </c>
      <c r="H323">
        <f t="shared" ref="H323:H386" si="27">E323*100+F323*10+G323</f>
        <v>311</v>
      </c>
    </row>
    <row r="324" spans="1:8" x14ac:dyDescent="0.55000000000000004">
      <c r="A324" s="6">
        <v>2.9901190696250619E+18</v>
      </c>
      <c r="B324">
        <v>59</v>
      </c>
      <c r="C324">
        <v>1</v>
      </c>
      <c r="D324">
        <v>2691</v>
      </c>
      <c r="E324">
        <f t="shared" si="24"/>
        <v>5</v>
      </c>
      <c r="F324">
        <f t="shared" si="25"/>
        <v>1</v>
      </c>
      <c r="G324">
        <f t="shared" si="26"/>
        <v>3</v>
      </c>
      <c r="H324">
        <f t="shared" si="27"/>
        <v>513</v>
      </c>
    </row>
    <row r="325" spans="1:8" x14ac:dyDescent="0.55000000000000004">
      <c r="A325" s="6">
        <v>2.9959445171180252E+18</v>
      </c>
      <c r="B325">
        <v>446</v>
      </c>
      <c r="C325">
        <v>2</v>
      </c>
      <c r="D325">
        <v>670</v>
      </c>
      <c r="E325">
        <f t="shared" si="24"/>
        <v>4</v>
      </c>
      <c r="F325">
        <f t="shared" si="25"/>
        <v>2</v>
      </c>
      <c r="G325">
        <f t="shared" si="26"/>
        <v>2</v>
      </c>
      <c r="H325">
        <f t="shared" si="27"/>
        <v>422</v>
      </c>
    </row>
    <row r="326" spans="1:8" x14ac:dyDescent="0.55000000000000004">
      <c r="A326" s="6">
        <v>3.0045239399906529E+18</v>
      </c>
      <c r="B326">
        <v>1126</v>
      </c>
      <c r="C326">
        <v>1</v>
      </c>
      <c r="D326">
        <v>177</v>
      </c>
      <c r="E326">
        <f t="shared" si="24"/>
        <v>2</v>
      </c>
      <c r="F326">
        <f t="shared" si="25"/>
        <v>1</v>
      </c>
      <c r="G326">
        <f t="shared" si="26"/>
        <v>1</v>
      </c>
      <c r="H326">
        <f t="shared" si="27"/>
        <v>211</v>
      </c>
    </row>
    <row r="327" spans="1:8" x14ac:dyDescent="0.55000000000000004">
      <c r="A327" s="6">
        <v>3.0219644670991872E+18</v>
      </c>
      <c r="B327">
        <v>124</v>
      </c>
      <c r="C327">
        <v>1</v>
      </c>
      <c r="D327">
        <v>1470</v>
      </c>
      <c r="E327">
        <f t="shared" si="24"/>
        <v>5</v>
      </c>
      <c r="F327">
        <f t="shared" si="25"/>
        <v>1</v>
      </c>
      <c r="G327">
        <f t="shared" si="26"/>
        <v>2</v>
      </c>
      <c r="H327">
        <f t="shared" si="27"/>
        <v>512</v>
      </c>
    </row>
    <row r="328" spans="1:8" x14ac:dyDescent="0.55000000000000004">
      <c r="A328" s="6">
        <v>3.0220258818479959E+18</v>
      </c>
      <c r="B328">
        <v>112</v>
      </c>
      <c r="C328">
        <v>1</v>
      </c>
      <c r="D328">
        <v>6012</v>
      </c>
      <c r="E328">
        <f t="shared" si="24"/>
        <v>5</v>
      </c>
      <c r="F328">
        <f t="shared" si="25"/>
        <v>1</v>
      </c>
      <c r="G328">
        <f t="shared" si="26"/>
        <v>3</v>
      </c>
      <c r="H328">
        <f t="shared" si="27"/>
        <v>513</v>
      </c>
    </row>
    <row r="329" spans="1:8" x14ac:dyDescent="0.55000000000000004">
      <c r="A329" s="6">
        <v>3.02857581497137E+18</v>
      </c>
      <c r="B329">
        <v>482</v>
      </c>
      <c r="C329">
        <v>1</v>
      </c>
      <c r="D329">
        <v>1000</v>
      </c>
      <c r="E329">
        <f t="shared" si="24"/>
        <v>4</v>
      </c>
      <c r="F329">
        <f t="shared" si="25"/>
        <v>1</v>
      </c>
      <c r="G329">
        <f t="shared" si="26"/>
        <v>2</v>
      </c>
      <c r="H329">
        <f t="shared" si="27"/>
        <v>412</v>
      </c>
    </row>
    <row r="330" spans="1:8" x14ac:dyDescent="0.55000000000000004">
      <c r="A330" s="6">
        <v>3.03090006843757E+18</v>
      </c>
      <c r="B330">
        <v>1301</v>
      </c>
      <c r="C330">
        <v>1</v>
      </c>
      <c r="D330">
        <v>481</v>
      </c>
      <c r="E330">
        <f t="shared" si="24"/>
        <v>1</v>
      </c>
      <c r="F330">
        <f t="shared" si="25"/>
        <v>1</v>
      </c>
      <c r="G330">
        <f t="shared" si="26"/>
        <v>1</v>
      </c>
      <c r="H330">
        <f t="shared" si="27"/>
        <v>111</v>
      </c>
    </row>
    <row r="331" spans="1:8" x14ac:dyDescent="0.55000000000000004">
      <c r="A331" s="6">
        <v>3.0362242245227602E+18</v>
      </c>
      <c r="B331">
        <v>140</v>
      </c>
      <c r="C331">
        <v>1</v>
      </c>
      <c r="D331">
        <v>300</v>
      </c>
      <c r="E331">
        <f t="shared" si="24"/>
        <v>5</v>
      </c>
      <c r="F331">
        <f t="shared" si="25"/>
        <v>1</v>
      </c>
      <c r="G331">
        <f t="shared" si="26"/>
        <v>1</v>
      </c>
      <c r="H331">
        <f t="shared" si="27"/>
        <v>511</v>
      </c>
    </row>
    <row r="332" spans="1:8" x14ac:dyDescent="0.55000000000000004">
      <c r="A332" s="6">
        <v>3.0395197140953411E+18</v>
      </c>
      <c r="B332">
        <v>428</v>
      </c>
      <c r="C332">
        <v>1</v>
      </c>
      <c r="D332">
        <v>1917</v>
      </c>
      <c r="E332">
        <f t="shared" si="24"/>
        <v>4</v>
      </c>
      <c r="F332">
        <f t="shared" si="25"/>
        <v>1</v>
      </c>
      <c r="G332">
        <f t="shared" si="26"/>
        <v>2</v>
      </c>
      <c r="H332">
        <f t="shared" si="27"/>
        <v>412</v>
      </c>
    </row>
    <row r="333" spans="1:8" x14ac:dyDescent="0.55000000000000004">
      <c r="A333" s="6">
        <v>3.0412224008892979E+18</v>
      </c>
      <c r="B333">
        <v>1274</v>
      </c>
      <c r="C333">
        <v>1</v>
      </c>
      <c r="D333">
        <v>132</v>
      </c>
      <c r="E333">
        <f t="shared" si="24"/>
        <v>1</v>
      </c>
      <c r="F333">
        <f t="shared" si="25"/>
        <v>1</v>
      </c>
      <c r="G333">
        <f t="shared" si="26"/>
        <v>1</v>
      </c>
      <c r="H333">
        <f t="shared" si="27"/>
        <v>111</v>
      </c>
    </row>
    <row r="334" spans="1:8" x14ac:dyDescent="0.55000000000000004">
      <c r="A334" s="6">
        <v>3.0469260425050271E+18</v>
      </c>
      <c r="B334">
        <v>417</v>
      </c>
      <c r="C334">
        <v>1</v>
      </c>
      <c r="D334">
        <v>4284</v>
      </c>
      <c r="E334">
        <f t="shared" si="24"/>
        <v>4</v>
      </c>
      <c r="F334">
        <f t="shared" si="25"/>
        <v>1</v>
      </c>
      <c r="G334">
        <f t="shared" si="26"/>
        <v>3</v>
      </c>
      <c r="H334">
        <f t="shared" si="27"/>
        <v>413</v>
      </c>
    </row>
    <row r="335" spans="1:8" x14ac:dyDescent="0.55000000000000004">
      <c r="A335" s="6">
        <v>3.0502653338408781E+18</v>
      </c>
      <c r="B335">
        <v>475</v>
      </c>
      <c r="C335">
        <v>2</v>
      </c>
      <c r="D335">
        <v>9680</v>
      </c>
      <c r="E335">
        <f t="shared" si="24"/>
        <v>4</v>
      </c>
      <c r="F335">
        <f t="shared" si="25"/>
        <v>2</v>
      </c>
      <c r="G335">
        <f t="shared" si="26"/>
        <v>3</v>
      </c>
      <c r="H335">
        <f t="shared" si="27"/>
        <v>423</v>
      </c>
    </row>
    <row r="336" spans="1:8" x14ac:dyDescent="0.55000000000000004">
      <c r="A336" s="6">
        <v>3.0577265044639652E+18</v>
      </c>
      <c r="B336">
        <v>537</v>
      </c>
      <c r="C336">
        <v>1</v>
      </c>
      <c r="D336">
        <v>654</v>
      </c>
      <c r="E336">
        <f t="shared" si="24"/>
        <v>4</v>
      </c>
      <c r="F336">
        <f t="shared" si="25"/>
        <v>1</v>
      </c>
      <c r="G336">
        <f t="shared" si="26"/>
        <v>2</v>
      </c>
      <c r="H336">
        <f t="shared" si="27"/>
        <v>412</v>
      </c>
    </row>
    <row r="337" spans="1:8" x14ac:dyDescent="0.55000000000000004">
      <c r="A337" s="6">
        <v>3.0587753631777741E+18</v>
      </c>
      <c r="B337">
        <v>631</v>
      </c>
      <c r="C337">
        <v>1</v>
      </c>
      <c r="D337">
        <v>690</v>
      </c>
      <c r="E337">
        <f t="shared" si="24"/>
        <v>3</v>
      </c>
      <c r="F337">
        <f t="shared" si="25"/>
        <v>1</v>
      </c>
      <c r="G337">
        <f t="shared" si="26"/>
        <v>2</v>
      </c>
      <c r="H337">
        <f t="shared" si="27"/>
        <v>312</v>
      </c>
    </row>
    <row r="338" spans="1:8" x14ac:dyDescent="0.55000000000000004">
      <c r="A338" s="6">
        <v>3.0632376063521802E+18</v>
      </c>
      <c r="B338">
        <v>105</v>
      </c>
      <c r="C338">
        <v>1</v>
      </c>
      <c r="D338">
        <v>1068</v>
      </c>
      <c r="E338">
        <f t="shared" si="24"/>
        <v>5</v>
      </c>
      <c r="F338">
        <f t="shared" si="25"/>
        <v>1</v>
      </c>
      <c r="G338">
        <f t="shared" si="26"/>
        <v>2</v>
      </c>
      <c r="H338">
        <f t="shared" si="27"/>
        <v>512</v>
      </c>
    </row>
    <row r="339" spans="1:8" x14ac:dyDescent="0.55000000000000004">
      <c r="A339" s="6">
        <v>3.0682120085675418E+18</v>
      </c>
      <c r="B339">
        <v>477</v>
      </c>
      <c r="C339">
        <v>2</v>
      </c>
      <c r="D339">
        <v>1269</v>
      </c>
      <c r="E339">
        <f t="shared" si="24"/>
        <v>4</v>
      </c>
      <c r="F339">
        <f t="shared" si="25"/>
        <v>2</v>
      </c>
      <c r="G339">
        <f t="shared" si="26"/>
        <v>2</v>
      </c>
      <c r="H339">
        <f t="shared" si="27"/>
        <v>422</v>
      </c>
    </row>
    <row r="340" spans="1:8" x14ac:dyDescent="0.55000000000000004">
      <c r="A340" s="6">
        <v>3.0717687172480732E+18</v>
      </c>
      <c r="B340">
        <v>432</v>
      </c>
      <c r="C340">
        <v>1</v>
      </c>
      <c r="D340">
        <v>1800</v>
      </c>
      <c r="E340">
        <f t="shared" si="24"/>
        <v>4</v>
      </c>
      <c r="F340">
        <f t="shared" si="25"/>
        <v>1</v>
      </c>
      <c r="G340">
        <f t="shared" si="26"/>
        <v>2</v>
      </c>
      <c r="H340">
        <f t="shared" si="27"/>
        <v>412</v>
      </c>
    </row>
    <row r="341" spans="1:8" x14ac:dyDescent="0.55000000000000004">
      <c r="A341" s="6">
        <v>3.0757907403433108E+18</v>
      </c>
      <c r="B341">
        <v>117</v>
      </c>
      <c r="C341">
        <v>1</v>
      </c>
      <c r="D341">
        <v>496</v>
      </c>
      <c r="E341">
        <f t="shared" si="24"/>
        <v>5</v>
      </c>
      <c r="F341">
        <f t="shared" si="25"/>
        <v>1</v>
      </c>
      <c r="G341">
        <f t="shared" si="26"/>
        <v>1</v>
      </c>
      <c r="H341">
        <f t="shared" si="27"/>
        <v>511</v>
      </c>
    </row>
    <row r="342" spans="1:8" x14ac:dyDescent="0.55000000000000004">
      <c r="A342" s="6">
        <v>3.1044372114244818E+18</v>
      </c>
      <c r="B342">
        <v>812</v>
      </c>
      <c r="C342">
        <v>1</v>
      </c>
      <c r="D342">
        <v>6550</v>
      </c>
      <c r="E342">
        <f t="shared" si="24"/>
        <v>3</v>
      </c>
      <c r="F342">
        <f t="shared" si="25"/>
        <v>1</v>
      </c>
      <c r="G342">
        <f t="shared" si="26"/>
        <v>3</v>
      </c>
      <c r="H342">
        <f t="shared" si="27"/>
        <v>313</v>
      </c>
    </row>
    <row r="343" spans="1:8" x14ac:dyDescent="0.55000000000000004">
      <c r="A343" s="6">
        <v>3.1102893808012759E+18</v>
      </c>
      <c r="B343">
        <v>271</v>
      </c>
      <c r="C343">
        <v>1</v>
      </c>
      <c r="D343">
        <v>2490</v>
      </c>
      <c r="E343">
        <f t="shared" si="24"/>
        <v>5</v>
      </c>
      <c r="F343">
        <f t="shared" si="25"/>
        <v>1</v>
      </c>
      <c r="G343">
        <f t="shared" si="26"/>
        <v>3</v>
      </c>
      <c r="H343">
        <f t="shared" si="27"/>
        <v>513</v>
      </c>
    </row>
    <row r="344" spans="1:8" x14ac:dyDescent="0.55000000000000004">
      <c r="A344" s="6">
        <v>3.113980125917739E+18</v>
      </c>
      <c r="B344">
        <v>665</v>
      </c>
      <c r="C344">
        <v>2</v>
      </c>
      <c r="D344">
        <v>1734</v>
      </c>
      <c r="E344">
        <f t="shared" si="24"/>
        <v>3</v>
      </c>
      <c r="F344">
        <f t="shared" si="25"/>
        <v>2</v>
      </c>
      <c r="G344">
        <f t="shared" si="26"/>
        <v>2</v>
      </c>
      <c r="H344">
        <f t="shared" si="27"/>
        <v>322</v>
      </c>
    </row>
    <row r="345" spans="1:8" x14ac:dyDescent="0.55000000000000004">
      <c r="A345" s="6">
        <v>3.1248014644552192E+18</v>
      </c>
      <c r="B345">
        <v>347</v>
      </c>
      <c r="C345">
        <v>1</v>
      </c>
      <c r="D345">
        <v>113</v>
      </c>
      <c r="E345">
        <f t="shared" si="24"/>
        <v>4</v>
      </c>
      <c r="F345">
        <f t="shared" si="25"/>
        <v>1</v>
      </c>
      <c r="G345">
        <f t="shared" si="26"/>
        <v>1</v>
      </c>
      <c r="H345">
        <f t="shared" si="27"/>
        <v>411</v>
      </c>
    </row>
    <row r="346" spans="1:8" x14ac:dyDescent="0.55000000000000004">
      <c r="A346" s="6">
        <v>3.1371779394058742E+18</v>
      </c>
      <c r="B346">
        <v>336</v>
      </c>
      <c r="C346">
        <v>1</v>
      </c>
      <c r="D346">
        <v>572</v>
      </c>
      <c r="E346">
        <f t="shared" si="24"/>
        <v>4</v>
      </c>
      <c r="F346">
        <f t="shared" si="25"/>
        <v>1</v>
      </c>
      <c r="G346">
        <f t="shared" si="26"/>
        <v>1</v>
      </c>
      <c r="H346">
        <f t="shared" si="27"/>
        <v>411</v>
      </c>
    </row>
    <row r="347" spans="1:8" x14ac:dyDescent="0.55000000000000004">
      <c r="A347" s="6">
        <v>3.1427461519250831E+18</v>
      </c>
      <c r="B347">
        <v>472</v>
      </c>
      <c r="C347">
        <v>1</v>
      </c>
      <c r="D347">
        <v>519</v>
      </c>
      <c r="E347">
        <f t="shared" si="24"/>
        <v>4</v>
      </c>
      <c r="F347">
        <f t="shared" si="25"/>
        <v>1</v>
      </c>
      <c r="G347">
        <f t="shared" si="26"/>
        <v>1</v>
      </c>
      <c r="H347">
        <f t="shared" si="27"/>
        <v>411</v>
      </c>
    </row>
    <row r="348" spans="1:8" x14ac:dyDescent="0.55000000000000004">
      <c r="A348" s="6">
        <v>3.1432583679414472E+18</v>
      </c>
      <c r="B348">
        <v>219</v>
      </c>
      <c r="C348">
        <v>2</v>
      </c>
      <c r="D348">
        <v>768</v>
      </c>
      <c r="E348">
        <f t="shared" si="24"/>
        <v>5</v>
      </c>
      <c r="F348">
        <f t="shared" si="25"/>
        <v>2</v>
      </c>
      <c r="G348">
        <f t="shared" si="26"/>
        <v>2</v>
      </c>
      <c r="H348">
        <f t="shared" si="27"/>
        <v>522</v>
      </c>
    </row>
    <row r="349" spans="1:8" x14ac:dyDescent="0.55000000000000004">
      <c r="A349" s="6">
        <v>3.1471119326611548E+18</v>
      </c>
      <c r="B349">
        <v>620</v>
      </c>
      <c r="C349">
        <v>1</v>
      </c>
      <c r="D349">
        <v>11033</v>
      </c>
      <c r="E349">
        <f t="shared" si="24"/>
        <v>3</v>
      </c>
      <c r="F349">
        <f t="shared" si="25"/>
        <v>1</v>
      </c>
      <c r="G349">
        <f t="shared" si="26"/>
        <v>3</v>
      </c>
      <c r="H349">
        <f t="shared" si="27"/>
        <v>313</v>
      </c>
    </row>
    <row r="350" spans="1:8" x14ac:dyDescent="0.55000000000000004">
      <c r="A350" s="6">
        <v>3.148239023525054E+18</v>
      </c>
      <c r="B350">
        <v>16</v>
      </c>
      <c r="C350">
        <v>1</v>
      </c>
      <c r="D350">
        <v>2697</v>
      </c>
      <c r="E350">
        <f t="shared" si="24"/>
        <v>5</v>
      </c>
      <c r="F350">
        <f t="shared" si="25"/>
        <v>1</v>
      </c>
      <c r="G350">
        <f t="shared" si="26"/>
        <v>3</v>
      </c>
      <c r="H350">
        <f t="shared" si="27"/>
        <v>513</v>
      </c>
    </row>
    <row r="351" spans="1:8" x14ac:dyDescent="0.55000000000000004">
      <c r="A351" s="6">
        <v>3.1686350128026348E+18</v>
      </c>
      <c r="B351">
        <v>962</v>
      </c>
      <c r="C351">
        <v>1</v>
      </c>
      <c r="D351">
        <v>909</v>
      </c>
      <c r="E351">
        <f t="shared" si="24"/>
        <v>2</v>
      </c>
      <c r="F351">
        <f t="shared" si="25"/>
        <v>1</v>
      </c>
      <c r="G351">
        <f t="shared" si="26"/>
        <v>2</v>
      </c>
      <c r="H351">
        <f t="shared" si="27"/>
        <v>212</v>
      </c>
    </row>
    <row r="352" spans="1:8" x14ac:dyDescent="0.55000000000000004">
      <c r="A352" s="6">
        <v>3.178430187051071E+18</v>
      </c>
      <c r="B352">
        <v>263</v>
      </c>
      <c r="C352">
        <v>1</v>
      </c>
      <c r="D352">
        <v>570</v>
      </c>
      <c r="E352">
        <f t="shared" si="24"/>
        <v>5</v>
      </c>
      <c r="F352">
        <f t="shared" si="25"/>
        <v>1</v>
      </c>
      <c r="G352">
        <f t="shared" si="26"/>
        <v>1</v>
      </c>
      <c r="H352">
        <f t="shared" si="27"/>
        <v>511</v>
      </c>
    </row>
    <row r="353" spans="1:8" x14ac:dyDescent="0.55000000000000004">
      <c r="A353" s="6">
        <v>3.1814770390967332E+18</v>
      </c>
      <c r="B353">
        <v>421</v>
      </c>
      <c r="C353">
        <v>1</v>
      </c>
      <c r="D353">
        <v>890</v>
      </c>
      <c r="E353">
        <f t="shared" si="24"/>
        <v>4</v>
      </c>
      <c r="F353">
        <f t="shared" si="25"/>
        <v>1</v>
      </c>
      <c r="G353">
        <f t="shared" si="26"/>
        <v>2</v>
      </c>
      <c r="H353">
        <f t="shared" si="27"/>
        <v>412</v>
      </c>
    </row>
    <row r="354" spans="1:8" x14ac:dyDescent="0.55000000000000004">
      <c r="A354" s="6">
        <v>3.1915338919570048E+18</v>
      </c>
      <c r="B354">
        <v>807</v>
      </c>
      <c r="C354">
        <v>1</v>
      </c>
      <c r="D354">
        <v>1178</v>
      </c>
      <c r="E354">
        <f t="shared" si="24"/>
        <v>3</v>
      </c>
      <c r="F354">
        <f t="shared" si="25"/>
        <v>1</v>
      </c>
      <c r="G354">
        <f t="shared" si="26"/>
        <v>2</v>
      </c>
      <c r="H354">
        <f t="shared" si="27"/>
        <v>312</v>
      </c>
    </row>
    <row r="355" spans="1:8" x14ac:dyDescent="0.55000000000000004">
      <c r="A355" s="6">
        <v>3.1980819334937871E+18</v>
      </c>
      <c r="B355">
        <v>74</v>
      </c>
      <c r="C355">
        <v>1</v>
      </c>
      <c r="D355">
        <v>477</v>
      </c>
      <c r="E355">
        <f t="shared" si="24"/>
        <v>5</v>
      </c>
      <c r="F355">
        <f t="shared" si="25"/>
        <v>1</v>
      </c>
      <c r="G355">
        <f t="shared" si="26"/>
        <v>1</v>
      </c>
      <c r="H355">
        <f t="shared" si="27"/>
        <v>511</v>
      </c>
    </row>
    <row r="356" spans="1:8" x14ac:dyDescent="0.55000000000000004">
      <c r="A356" s="6">
        <v>3.1994363334983782E+18</v>
      </c>
      <c r="B356">
        <v>31</v>
      </c>
      <c r="C356">
        <v>1</v>
      </c>
      <c r="D356">
        <v>8220</v>
      </c>
      <c r="E356">
        <f t="shared" si="24"/>
        <v>5</v>
      </c>
      <c r="F356">
        <f t="shared" si="25"/>
        <v>1</v>
      </c>
      <c r="G356">
        <f t="shared" si="26"/>
        <v>3</v>
      </c>
      <c r="H356">
        <f t="shared" si="27"/>
        <v>513</v>
      </c>
    </row>
    <row r="357" spans="1:8" x14ac:dyDescent="0.55000000000000004">
      <c r="A357" s="6">
        <v>3.2028183476818959E+18</v>
      </c>
      <c r="B357">
        <v>148</v>
      </c>
      <c r="C357">
        <v>2</v>
      </c>
      <c r="D357">
        <v>1999</v>
      </c>
      <c r="E357">
        <f t="shared" si="24"/>
        <v>5</v>
      </c>
      <c r="F357">
        <f t="shared" si="25"/>
        <v>2</v>
      </c>
      <c r="G357">
        <f t="shared" si="26"/>
        <v>2</v>
      </c>
      <c r="H357">
        <f t="shared" si="27"/>
        <v>522</v>
      </c>
    </row>
    <row r="358" spans="1:8" x14ac:dyDescent="0.55000000000000004">
      <c r="A358" s="6">
        <v>3.2040072584547528E+18</v>
      </c>
      <c r="B358">
        <v>358</v>
      </c>
      <c r="C358">
        <v>1</v>
      </c>
      <c r="D358">
        <v>220</v>
      </c>
      <c r="E358">
        <f t="shared" si="24"/>
        <v>4</v>
      </c>
      <c r="F358">
        <f t="shared" si="25"/>
        <v>1</v>
      </c>
      <c r="G358">
        <f t="shared" si="26"/>
        <v>1</v>
      </c>
      <c r="H358">
        <f t="shared" si="27"/>
        <v>411</v>
      </c>
    </row>
    <row r="359" spans="1:8" x14ac:dyDescent="0.55000000000000004">
      <c r="A359" s="6">
        <v>3.2151136791418732E+18</v>
      </c>
      <c r="B359">
        <v>1204</v>
      </c>
      <c r="C359">
        <v>1</v>
      </c>
      <c r="D359">
        <v>457</v>
      </c>
      <c r="E359">
        <f t="shared" si="24"/>
        <v>1</v>
      </c>
      <c r="F359">
        <f t="shared" si="25"/>
        <v>1</v>
      </c>
      <c r="G359">
        <f t="shared" si="26"/>
        <v>1</v>
      </c>
      <c r="H359">
        <f t="shared" si="27"/>
        <v>111</v>
      </c>
    </row>
    <row r="360" spans="1:8" x14ac:dyDescent="0.55000000000000004">
      <c r="A360" s="6">
        <v>3.2447675441447608E+18</v>
      </c>
      <c r="B360">
        <v>367</v>
      </c>
      <c r="C360">
        <v>2</v>
      </c>
      <c r="D360">
        <v>10603</v>
      </c>
      <c r="E360">
        <f t="shared" si="24"/>
        <v>4</v>
      </c>
      <c r="F360">
        <f t="shared" si="25"/>
        <v>2</v>
      </c>
      <c r="G360">
        <f t="shared" si="26"/>
        <v>3</v>
      </c>
      <c r="H360">
        <f t="shared" si="27"/>
        <v>423</v>
      </c>
    </row>
    <row r="361" spans="1:8" x14ac:dyDescent="0.55000000000000004">
      <c r="A361" s="6">
        <v>3.2454530566074941E+18</v>
      </c>
      <c r="B361">
        <v>424</v>
      </c>
      <c r="C361">
        <v>1</v>
      </c>
      <c r="D361">
        <v>5370</v>
      </c>
      <c r="E361">
        <f t="shared" si="24"/>
        <v>4</v>
      </c>
      <c r="F361">
        <f t="shared" si="25"/>
        <v>1</v>
      </c>
      <c r="G361">
        <f t="shared" si="26"/>
        <v>3</v>
      </c>
      <c r="H361">
        <f t="shared" si="27"/>
        <v>413</v>
      </c>
    </row>
    <row r="362" spans="1:8" x14ac:dyDescent="0.55000000000000004">
      <c r="A362" s="6">
        <v>3.2482827640987121E+18</v>
      </c>
      <c r="B362">
        <v>480</v>
      </c>
      <c r="C362">
        <v>1</v>
      </c>
      <c r="D362">
        <v>4971</v>
      </c>
      <c r="E362">
        <f t="shared" si="24"/>
        <v>4</v>
      </c>
      <c r="F362">
        <f t="shared" si="25"/>
        <v>1</v>
      </c>
      <c r="G362">
        <f t="shared" si="26"/>
        <v>3</v>
      </c>
      <c r="H362">
        <f t="shared" si="27"/>
        <v>413</v>
      </c>
    </row>
    <row r="363" spans="1:8" x14ac:dyDescent="0.55000000000000004">
      <c r="A363" s="6">
        <v>3.2544412848118932E+18</v>
      </c>
      <c r="B363">
        <v>196</v>
      </c>
      <c r="C363">
        <v>1</v>
      </c>
      <c r="D363">
        <v>1538</v>
      </c>
      <c r="E363">
        <f t="shared" si="24"/>
        <v>5</v>
      </c>
      <c r="F363">
        <f t="shared" si="25"/>
        <v>1</v>
      </c>
      <c r="G363">
        <f t="shared" si="26"/>
        <v>2</v>
      </c>
      <c r="H363">
        <f t="shared" si="27"/>
        <v>512</v>
      </c>
    </row>
    <row r="364" spans="1:8" x14ac:dyDescent="0.55000000000000004">
      <c r="A364" s="6">
        <v>3.2594632490669732E+18</v>
      </c>
      <c r="B364">
        <v>141</v>
      </c>
      <c r="C364">
        <v>2</v>
      </c>
      <c r="D364">
        <v>1488</v>
      </c>
      <c r="E364">
        <f t="shared" si="24"/>
        <v>5</v>
      </c>
      <c r="F364">
        <f t="shared" si="25"/>
        <v>2</v>
      </c>
      <c r="G364">
        <f t="shared" si="26"/>
        <v>2</v>
      </c>
      <c r="H364">
        <f t="shared" si="27"/>
        <v>522</v>
      </c>
    </row>
    <row r="365" spans="1:8" x14ac:dyDescent="0.55000000000000004">
      <c r="A365" s="6">
        <v>3.2625381701961421E+18</v>
      </c>
      <c r="B365">
        <v>45</v>
      </c>
      <c r="C365">
        <v>1</v>
      </c>
      <c r="D365">
        <v>1666</v>
      </c>
      <c r="E365">
        <f t="shared" si="24"/>
        <v>5</v>
      </c>
      <c r="F365">
        <f t="shared" si="25"/>
        <v>1</v>
      </c>
      <c r="G365">
        <f t="shared" si="26"/>
        <v>2</v>
      </c>
      <c r="H365">
        <f t="shared" si="27"/>
        <v>512</v>
      </c>
    </row>
    <row r="366" spans="1:8" x14ac:dyDescent="0.55000000000000004">
      <c r="A366" s="6">
        <v>3.263288518696343E+18</v>
      </c>
      <c r="B366">
        <v>402</v>
      </c>
      <c r="C366">
        <v>4</v>
      </c>
      <c r="D366">
        <v>12846</v>
      </c>
      <c r="E366">
        <f t="shared" si="24"/>
        <v>4</v>
      </c>
      <c r="F366">
        <f t="shared" si="25"/>
        <v>3</v>
      </c>
      <c r="G366">
        <f t="shared" si="26"/>
        <v>3</v>
      </c>
      <c r="H366">
        <f t="shared" si="27"/>
        <v>433</v>
      </c>
    </row>
    <row r="367" spans="1:8" x14ac:dyDescent="0.55000000000000004">
      <c r="A367" s="6">
        <v>3.2743342909548442E+18</v>
      </c>
      <c r="B367">
        <v>295</v>
      </c>
      <c r="C367">
        <v>1</v>
      </c>
      <c r="D367">
        <v>72</v>
      </c>
      <c r="E367">
        <f t="shared" si="24"/>
        <v>4</v>
      </c>
      <c r="F367">
        <f t="shared" si="25"/>
        <v>1</v>
      </c>
      <c r="G367">
        <f t="shared" si="26"/>
        <v>1</v>
      </c>
      <c r="H367">
        <f t="shared" si="27"/>
        <v>411</v>
      </c>
    </row>
    <row r="368" spans="1:8" x14ac:dyDescent="0.55000000000000004">
      <c r="A368" s="6">
        <v>3.283349759280599E+18</v>
      </c>
      <c r="B368">
        <v>760</v>
      </c>
      <c r="C368">
        <v>2</v>
      </c>
      <c r="D368">
        <v>1822</v>
      </c>
      <c r="E368">
        <f t="shared" si="24"/>
        <v>3</v>
      </c>
      <c r="F368">
        <f t="shared" si="25"/>
        <v>2</v>
      </c>
      <c r="G368">
        <f t="shared" si="26"/>
        <v>2</v>
      </c>
      <c r="H368">
        <f t="shared" si="27"/>
        <v>322</v>
      </c>
    </row>
    <row r="369" spans="1:8" x14ac:dyDescent="0.55000000000000004">
      <c r="A369" s="6">
        <v>3.2861226853835218E+18</v>
      </c>
      <c r="B369">
        <v>708</v>
      </c>
      <c r="C369">
        <v>1</v>
      </c>
      <c r="D369">
        <v>31</v>
      </c>
      <c r="E369">
        <f t="shared" si="24"/>
        <v>3</v>
      </c>
      <c r="F369">
        <f t="shared" si="25"/>
        <v>1</v>
      </c>
      <c r="G369">
        <f t="shared" si="26"/>
        <v>1</v>
      </c>
      <c r="H369">
        <f t="shared" si="27"/>
        <v>311</v>
      </c>
    </row>
    <row r="370" spans="1:8" x14ac:dyDescent="0.55000000000000004">
      <c r="A370" s="6">
        <v>3.2887384232777748E+18</v>
      </c>
      <c r="B370">
        <v>623</v>
      </c>
      <c r="C370">
        <v>2</v>
      </c>
      <c r="D370">
        <v>11261</v>
      </c>
      <c r="E370">
        <f t="shared" si="24"/>
        <v>3</v>
      </c>
      <c r="F370">
        <f t="shared" si="25"/>
        <v>2</v>
      </c>
      <c r="G370">
        <f t="shared" si="26"/>
        <v>3</v>
      </c>
      <c r="H370">
        <f t="shared" si="27"/>
        <v>323</v>
      </c>
    </row>
    <row r="371" spans="1:8" x14ac:dyDescent="0.55000000000000004">
      <c r="A371" s="6">
        <v>3.291601169534828E+18</v>
      </c>
      <c r="B371">
        <v>948</v>
      </c>
      <c r="C371">
        <v>1</v>
      </c>
      <c r="D371">
        <v>3666</v>
      </c>
      <c r="E371">
        <f t="shared" si="24"/>
        <v>2</v>
      </c>
      <c r="F371">
        <f t="shared" si="25"/>
        <v>1</v>
      </c>
      <c r="G371">
        <f t="shared" si="26"/>
        <v>3</v>
      </c>
      <c r="H371">
        <f t="shared" si="27"/>
        <v>213</v>
      </c>
    </row>
    <row r="372" spans="1:8" x14ac:dyDescent="0.55000000000000004">
      <c r="A372" s="6">
        <v>3.3061567698177551E+18</v>
      </c>
      <c r="B372">
        <v>1035</v>
      </c>
      <c r="C372">
        <v>2</v>
      </c>
      <c r="D372">
        <v>9485</v>
      </c>
      <c r="E372">
        <f t="shared" si="24"/>
        <v>2</v>
      </c>
      <c r="F372">
        <f t="shared" si="25"/>
        <v>2</v>
      </c>
      <c r="G372">
        <f t="shared" si="26"/>
        <v>3</v>
      </c>
      <c r="H372">
        <f t="shared" si="27"/>
        <v>223</v>
      </c>
    </row>
    <row r="373" spans="1:8" x14ac:dyDescent="0.55000000000000004">
      <c r="A373" s="6">
        <v>3.3153944179223782E+18</v>
      </c>
      <c r="B373">
        <v>554</v>
      </c>
      <c r="C373">
        <v>1</v>
      </c>
      <c r="D373">
        <v>2607</v>
      </c>
      <c r="E373">
        <f t="shared" si="24"/>
        <v>4</v>
      </c>
      <c r="F373">
        <f t="shared" si="25"/>
        <v>1</v>
      </c>
      <c r="G373">
        <f t="shared" si="26"/>
        <v>3</v>
      </c>
      <c r="H373">
        <f t="shared" si="27"/>
        <v>413</v>
      </c>
    </row>
    <row r="374" spans="1:8" x14ac:dyDescent="0.55000000000000004">
      <c r="A374" s="6">
        <v>3.3162710235033569E+18</v>
      </c>
      <c r="B374">
        <v>827</v>
      </c>
      <c r="C374">
        <v>1</v>
      </c>
      <c r="D374">
        <v>1859</v>
      </c>
      <c r="E374">
        <f t="shared" si="24"/>
        <v>3</v>
      </c>
      <c r="F374">
        <f t="shared" si="25"/>
        <v>1</v>
      </c>
      <c r="G374">
        <f t="shared" si="26"/>
        <v>2</v>
      </c>
      <c r="H374">
        <f t="shared" si="27"/>
        <v>312</v>
      </c>
    </row>
    <row r="375" spans="1:8" x14ac:dyDescent="0.55000000000000004">
      <c r="A375" s="6">
        <v>3.3189942654190188E+18</v>
      </c>
      <c r="B375">
        <v>63</v>
      </c>
      <c r="C375">
        <v>1</v>
      </c>
      <c r="D375">
        <v>257</v>
      </c>
      <c r="E375">
        <f t="shared" si="24"/>
        <v>5</v>
      </c>
      <c r="F375">
        <f t="shared" si="25"/>
        <v>1</v>
      </c>
      <c r="G375">
        <f t="shared" si="26"/>
        <v>1</v>
      </c>
      <c r="H375">
        <f t="shared" si="27"/>
        <v>511</v>
      </c>
    </row>
    <row r="376" spans="1:8" x14ac:dyDescent="0.55000000000000004">
      <c r="A376" s="6">
        <v>3.3311643714163379E+18</v>
      </c>
      <c r="B376">
        <v>412</v>
      </c>
      <c r="C376">
        <v>1</v>
      </c>
      <c r="D376">
        <v>3290</v>
      </c>
      <c r="E376">
        <f t="shared" si="24"/>
        <v>4</v>
      </c>
      <c r="F376">
        <f t="shared" si="25"/>
        <v>1</v>
      </c>
      <c r="G376">
        <f t="shared" si="26"/>
        <v>3</v>
      </c>
      <c r="H376">
        <f t="shared" si="27"/>
        <v>413</v>
      </c>
    </row>
    <row r="377" spans="1:8" x14ac:dyDescent="0.55000000000000004">
      <c r="A377" s="6">
        <v>3.3312355588157609E+18</v>
      </c>
      <c r="B377">
        <v>1043</v>
      </c>
      <c r="C377">
        <v>1</v>
      </c>
      <c r="D377">
        <v>108</v>
      </c>
      <c r="E377">
        <f t="shared" si="24"/>
        <v>2</v>
      </c>
      <c r="F377">
        <f t="shared" si="25"/>
        <v>1</v>
      </c>
      <c r="G377">
        <f t="shared" si="26"/>
        <v>1</v>
      </c>
      <c r="H377">
        <f t="shared" si="27"/>
        <v>211</v>
      </c>
    </row>
    <row r="378" spans="1:8" x14ac:dyDescent="0.55000000000000004">
      <c r="A378" s="6">
        <v>3.3357923261150618E+18</v>
      </c>
      <c r="B378">
        <v>331</v>
      </c>
      <c r="C378">
        <v>1</v>
      </c>
      <c r="D378">
        <v>378</v>
      </c>
      <c r="E378">
        <f t="shared" si="24"/>
        <v>4</v>
      </c>
      <c r="F378">
        <f t="shared" si="25"/>
        <v>1</v>
      </c>
      <c r="G378">
        <f t="shared" si="26"/>
        <v>1</v>
      </c>
      <c r="H378">
        <f t="shared" si="27"/>
        <v>411</v>
      </c>
    </row>
    <row r="379" spans="1:8" x14ac:dyDescent="0.55000000000000004">
      <c r="A379" s="6">
        <v>3.3396038889079619E+18</v>
      </c>
      <c r="B379">
        <v>1265</v>
      </c>
      <c r="C379">
        <v>1</v>
      </c>
      <c r="D379">
        <v>186</v>
      </c>
      <c r="E379">
        <f t="shared" si="24"/>
        <v>1</v>
      </c>
      <c r="F379">
        <f t="shared" si="25"/>
        <v>1</v>
      </c>
      <c r="G379">
        <f t="shared" si="26"/>
        <v>1</v>
      </c>
      <c r="H379">
        <f t="shared" si="27"/>
        <v>111</v>
      </c>
    </row>
    <row r="380" spans="1:8" x14ac:dyDescent="0.55000000000000004">
      <c r="A380" s="6">
        <v>3.350444082874046E+18</v>
      </c>
      <c r="B380">
        <v>562</v>
      </c>
      <c r="C380">
        <v>1</v>
      </c>
      <c r="D380">
        <v>339</v>
      </c>
      <c r="E380">
        <f t="shared" si="24"/>
        <v>4</v>
      </c>
      <c r="F380">
        <f t="shared" si="25"/>
        <v>1</v>
      </c>
      <c r="G380">
        <f t="shared" si="26"/>
        <v>1</v>
      </c>
      <c r="H380">
        <f t="shared" si="27"/>
        <v>411</v>
      </c>
    </row>
    <row r="381" spans="1:8" x14ac:dyDescent="0.55000000000000004">
      <c r="A381" s="6">
        <v>3.3563322919753088E+18</v>
      </c>
      <c r="B381">
        <v>419</v>
      </c>
      <c r="C381">
        <v>1</v>
      </c>
      <c r="D381">
        <v>110</v>
      </c>
      <c r="E381">
        <f t="shared" si="24"/>
        <v>4</v>
      </c>
      <c r="F381">
        <f t="shared" si="25"/>
        <v>1</v>
      </c>
      <c r="G381">
        <f t="shared" si="26"/>
        <v>1</v>
      </c>
      <c r="H381">
        <f t="shared" si="27"/>
        <v>411</v>
      </c>
    </row>
    <row r="382" spans="1:8" x14ac:dyDescent="0.55000000000000004">
      <c r="A382" s="6">
        <v>3.3612971625853112E+18</v>
      </c>
      <c r="B382">
        <v>557</v>
      </c>
      <c r="C382">
        <v>1</v>
      </c>
      <c r="D382">
        <v>903</v>
      </c>
      <c r="E382">
        <f t="shared" si="24"/>
        <v>4</v>
      </c>
      <c r="F382">
        <f t="shared" si="25"/>
        <v>1</v>
      </c>
      <c r="G382">
        <f t="shared" si="26"/>
        <v>2</v>
      </c>
      <c r="H382">
        <f t="shared" si="27"/>
        <v>412</v>
      </c>
    </row>
    <row r="383" spans="1:8" x14ac:dyDescent="0.55000000000000004">
      <c r="A383" s="6">
        <v>3.3758106690651448E+18</v>
      </c>
      <c r="B383">
        <v>105</v>
      </c>
      <c r="C383">
        <v>1</v>
      </c>
      <c r="D383">
        <v>230</v>
      </c>
      <c r="E383">
        <f t="shared" si="24"/>
        <v>5</v>
      </c>
      <c r="F383">
        <f t="shared" si="25"/>
        <v>1</v>
      </c>
      <c r="G383">
        <f t="shared" si="26"/>
        <v>1</v>
      </c>
      <c r="H383">
        <f t="shared" si="27"/>
        <v>511</v>
      </c>
    </row>
    <row r="384" spans="1:8" x14ac:dyDescent="0.55000000000000004">
      <c r="A384" s="6">
        <v>3.389320589001964E+18</v>
      </c>
      <c r="B384">
        <v>467</v>
      </c>
      <c r="C384">
        <v>1</v>
      </c>
      <c r="D384">
        <v>299</v>
      </c>
      <c r="E384">
        <f t="shared" si="24"/>
        <v>4</v>
      </c>
      <c r="F384">
        <f t="shared" si="25"/>
        <v>1</v>
      </c>
      <c r="G384">
        <f t="shared" si="26"/>
        <v>1</v>
      </c>
      <c r="H384">
        <f t="shared" si="27"/>
        <v>411</v>
      </c>
    </row>
    <row r="385" spans="1:8" x14ac:dyDescent="0.55000000000000004">
      <c r="A385" s="6">
        <v>3.3897601747129359E+18</v>
      </c>
      <c r="B385">
        <v>114</v>
      </c>
      <c r="C385">
        <v>1</v>
      </c>
      <c r="D385">
        <v>390</v>
      </c>
      <c r="E385">
        <f t="shared" si="24"/>
        <v>5</v>
      </c>
      <c r="F385">
        <f t="shared" si="25"/>
        <v>1</v>
      </c>
      <c r="G385">
        <f t="shared" si="26"/>
        <v>1</v>
      </c>
      <c r="H385">
        <f t="shared" si="27"/>
        <v>511</v>
      </c>
    </row>
    <row r="386" spans="1:8" x14ac:dyDescent="0.55000000000000004">
      <c r="A386" s="6">
        <v>3.3916304403181389E+18</v>
      </c>
      <c r="B386">
        <v>480</v>
      </c>
      <c r="C386">
        <v>2</v>
      </c>
      <c r="D386">
        <v>205</v>
      </c>
      <c r="E386">
        <f t="shared" si="24"/>
        <v>4</v>
      </c>
      <c r="F386">
        <f t="shared" si="25"/>
        <v>2</v>
      </c>
      <c r="G386">
        <f t="shared" si="26"/>
        <v>1</v>
      </c>
      <c r="H386">
        <f t="shared" si="27"/>
        <v>421</v>
      </c>
    </row>
    <row r="387" spans="1:8" x14ac:dyDescent="0.55000000000000004">
      <c r="A387" s="6">
        <v>3.4031196728040279E+18</v>
      </c>
      <c r="B387">
        <v>234</v>
      </c>
      <c r="C387">
        <v>2</v>
      </c>
      <c r="D387">
        <v>7875</v>
      </c>
      <c r="E387">
        <f t="shared" ref="E387:E450" si="28">VLOOKUP(B387,$K$5:$L$9,2,1)</f>
        <v>5</v>
      </c>
      <c r="F387">
        <f t="shared" ref="F387:F450" si="29">VLOOKUP(C387,$K$15:$L$17,2,1)</f>
        <v>2</v>
      </c>
      <c r="G387">
        <f t="shared" ref="G387:G450" si="30">VLOOKUP(D387,$K$24:$L$26,2,1)</f>
        <v>3</v>
      </c>
      <c r="H387">
        <f t="shared" ref="H387:H450" si="31">E387*100+F387*10+G387</f>
        <v>523</v>
      </c>
    </row>
    <row r="388" spans="1:8" x14ac:dyDescent="0.55000000000000004">
      <c r="A388" s="6">
        <v>3.4405352088394808E+18</v>
      </c>
      <c r="B388">
        <v>379</v>
      </c>
      <c r="C388">
        <v>1</v>
      </c>
      <c r="D388">
        <v>2779</v>
      </c>
      <c r="E388">
        <f t="shared" si="28"/>
        <v>4</v>
      </c>
      <c r="F388">
        <f t="shared" si="29"/>
        <v>1</v>
      </c>
      <c r="G388">
        <f t="shared" si="30"/>
        <v>3</v>
      </c>
      <c r="H388">
        <f t="shared" si="31"/>
        <v>413</v>
      </c>
    </row>
    <row r="389" spans="1:8" x14ac:dyDescent="0.55000000000000004">
      <c r="A389" s="6">
        <v>3.4691662447143552E+18</v>
      </c>
      <c r="B389">
        <v>148</v>
      </c>
      <c r="C389">
        <v>1</v>
      </c>
      <c r="D389">
        <v>1448</v>
      </c>
      <c r="E389">
        <f t="shared" si="28"/>
        <v>5</v>
      </c>
      <c r="F389">
        <f t="shared" si="29"/>
        <v>1</v>
      </c>
      <c r="G389">
        <f t="shared" si="30"/>
        <v>2</v>
      </c>
      <c r="H389">
        <f t="shared" si="31"/>
        <v>512</v>
      </c>
    </row>
    <row r="390" spans="1:8" x14ac:dyDescent="0.55000000000000004">
      <c r="A390" s="6">
        <v>3.4752083850087532E+18</v>
      </c>
      <c r="B390">
        <v>1020</v>
      </c>
      <c r="C390">
        <v>2</v>
      </c>
      <c r="D390">
        <v>1075</v>
      </c>
      <c r="E390">
        <f t="shared" si="28"/>
        <v>2</v>
      </c>
      <c r="F390">
        <f t="shared" si="29"/>
        <v>2</v>
      </c>
      <c r="G390">
        <f t="shared" si="30"/>
        <v>2</v>
      </c>
      <c r="H390">
        <f t="shared" si="31"/>
        <v>222</v>
      </c>
    </row>
    <row r="391" spans="1:8" x14ac:dyDescent="0.55000000000000004">
      <c r="A391" s="6">
        <v>3.480663857075008E+18</v>
      </c>
      <c r="B391">
        <v>264</v>
      </c>
      <c r="C391">
        <v>1</v>
      </c>
      <c r="D391">
        <v>5091</v>
      </c>
      <c r="E391">
        <f t="shared" si="28"/>
        <v>5</v>
      </c>
      <c r="F391">
        <f t="shared" si="29"/>
        <v>1</v>
      </c>
      <c r="G391">
        <f t="shared" si="30"/>
        <v>3</v>
      </c>
      <c r="H391">
        <f t="shared" si="31"/>
        <v>513</v>
      </c>
    </row>
    <row r="392" spans="1:8" x14ac:dyDescent="0.55000000000000004">
      <c r="A392" s="6">
        <v>3.4990096452295839E+18</v>
      </c>
      <c r="B392">
        <v>343</v>
      </c>
      <c r="C392">
        <v>3</v>
      </c>
      <c r="D392">
        <v>858</v>
      </c>
      <c r="E392">
        <f t="shared" si="28"/>
        <v>4</v>
      </c>
      <c r="F392">
        <f t="shared" si="29"/>
        <v>3</v>
      </c>
      <c r="G392">
        <f t="shared" si="30"/>
        <v>2</v>
      </c>
      <c r="H392">
        <f t="shared" si="31"/>
        <v>432</v>
      </c>
    </row>
    <row r="393" spans="1:8" x14ac:dyDescent="0.55000000000000004">
      <c r="A393" s="6">
        <v>3.501801518888918E+18</v>
      </c>
      <c r="B393">
        <v>288</v>
      </c>
      <c r="C393">
        <v>1</v>
      </c>
      <c r="D393">
        <v>929</v>
      </c>
      <c r="E393">
        <f t="shared" si="28"/>
        <v>5</v>
      </c>
      <c r="F393">
        <f t="shared" si="29"/>
        <v>1</v>
      </c>
      <c r="G393">
        <f t="shared" si="30"/>
        <v>2</v>
      </c>
      <c r="H393">
        <f t="shared" si="31"/>
        <v>512</v>
      </c>
    </row>
    <row r="394" spans="1:8" x14ac:dyDescent="0.55000000000000004">
      <c r="A394" s="6">
        <v>3.5050138743736602E+18</v>
      </c>
      <c r="B394">
        <v>139</v>
      </c>
      <c r="C394">
        <v>1</v>
      </c>
      <c r="D394">
        <v>445</v>
      </c>
      <c r="E394">
        <f t="shared" si="28"/>
        <v>5</v>
      </c>
      <c r="F394">
        <f t="shared" si="29"/>
        <v>1</v>
      </c>
      <c r="G394">
        <f t="shared" si="30"/>
        <v>1</v>
      </c>
      <c r="H394">
        <f t="shared" si="31"/>
        <v>511</v>
      </c>
    </row>
    <row r="395" spans="1:8" x14ac:dyDescent="0.55000000000000004">
      <c r="A395" s="6">
        <v>3.5051572052441559E+18</v>
      </c>
      <c r="B395">
        <v>692</v>
      </c>
      <c r="C395">
        <v>1</v>
      </c>
      <c r="D395">
        <v>900</v>
      </c>
      <c r="E395">
        <f t="shared" si="28"/>
        <v>3</v>
      </c>
      <c r="F395">
        <f t="shared" si="29"/>
        <v>1</v>
      </c>
      <c r="G395">
        <f t="shared" si="30"/>
        <v>2</v>
      </c>
      <c r="H395">
        <f t="shared" si="31"/>
        <v>312</v>
      </c>
    </row>
    <row r="396" spans="1:8" x14ac:dyDescent="0.55000000000000004">
      <c r="A396" s="6">
        <v>3.508511586932777E+18</v>
      </c>
      <c r="B396">
        <v>662</v>
      </c>
      <c r="C396">
        <v>1</v>
      </c>
      <c r="D396">
        <v>50</v>
      </c>
      <c r="E396">
        <f t="shared" si="28"/>
        <v>3</v>
      </c>
      <c r="F396">
        <f t="shared" si="29"/>
        <v>1</v>
      </c>
      <c r="G396">
        <f t="shared" si="30"/>
        <v>1</v>
      </c>
      <c r="H396">
        <f t="shared" si="31"/>
        <v>311</v>
      </c>
    </row>
    <row r="397" spans="1:8" x14ac:dyDescent="0.55000000000000004">
      <c r="A397" s="6">
        <v>3.5334419115239562E+18</v>
      </c>
      <c r="B397">
        <v>144</v>
      </c>
      <c r="C397">
        <v>2</v>
      </c>
      <c r="D397">
        <v>4751</v>
      </c>
      <c r="E397">
        <f t="shared" si="28"/>
        <v>5</v>
      </c>
      <c r="F397">
        <f t="shared" si="29"/>
        <v>2</v>
      </c>
      <c r="G397">
        <f t="shared" si="30"/>
        <v>3</v>
      </c>
      <c r="H397">
        <f t="shared" si="31"/>
        <v>523</v>
      </c>
    </row>
    <row r="398" spans="1:8" x14ac:dyDescent="0.55000000000000004">
      <c r="A398" s="6">
        <v>3.5379622459849021E+18</v>
      </c>
      <c r="B398">
        <v>641</v>
      </c>
      <c r="C398">
        <v>1</v>
      </c>
      <c r="D398">
        <v>879</v>
      </c>
      <c r="E398">
        <f t="shared" si="28"/>
        <v>3</v>
      </c>
      <c r="F398">
        <f t="shared" si="29"/>
        <v>1</v>
      </c>
      <c r="G398">
        <f t="shared" si="30"/>
        <v>2</v>
      </c>
      <c r="H398">
        <f t="shared" si="31"/>
        <v>312</v>
      </c>
    </row>
    <row r="399" spans="1:8" x14ac:dyDescent="0.55000000000000004">
      <c r="A399" s="6">
        <v>3.5415691263301038E+18</v>
      </c>
      <c r="B399">
        <v>395</v>
      </c>
      <c r="C399">
        <v>2</v>
      </c>
      <c r="D399">
        <v>10000</v>
      </c>
      <c r="E399">
        <f t="shared" si="28"/>
        <v>4</v>
      </c>
      <c r="F399">
        <f t="shared" si="29"/>
        <v>2</v>
      </c>
      <c r="G399">
        <f t="shared" si="30"/>
        <v>3</v>
      </c>
      <c r="H399">
        <f t="shared" si="31"/>
        <v>423</v>
      </c>
    </row>
    <row r="400" spans="1:8" x14ac:dyDescent="0.55000000000000004">
      <c r="A400" s="6">
        <v>3.54381987202991E+18</v>
      </c>
      <c r="B400">
        <v>651</v>
      </c>
      <c r="C400">
        <v>2</v>
      </c>
      <c r="D400">
        <v>2631</v>
      </c>
      <c r="E400">
        <f t="shared" si="28"/>
        <v>3</v>
      </c>
      <c r="F400">
        <f t="shared" si="29"/>
        <v>2</v>
      </c>
      <c r="G400">
        <f t="shared" si="30"/>
        <v>3</v>
      </c>
      <c r="H400">
        <f t="shared" si="31"/>
        <v>323</v>
      </c>
    </row>
    <row r="401" spans="1:8" x14ac:dyDescent="0.55000000000000004">
      <c r="A401" s="6">
        <v>3.5457981411118679E+18</v>
      </c>
      <c r="B401">
        <v>146</v>
      </c>
      <c r="C401">
        <v>1</v>
      </c>
      <c r="D401">
        <v>1119</v>
      </c>
      <c r="E401">
        <f t="shared" si="28"/>
        <v>5</v>
      </c>
      <c r="F401">
        <f t="shared" si="29"/>
        <v>1</v>
      </c>
      <c r="G401">
        <f t="shared" si="30"/>
        <v>2</v>
      </c>
      <c r="H401">
        <f t="shared" si="31"/>
        <v>512</v>
      </c>
    </row>
    <row r="402" spans="1:8" x14ac:dyDescent="0.55000000000000004">
      <c r="A402" s="6">
        <v>3.553242837015596E+18</v>
      </c>
      <c r="B402">
        <v>306</v>
      </c>
      <c r="C402">
        <v>1</v>
      </c>
      <c r="D402">
        <v>85</v>
      </c>
      <c r="E402">
        <f t="shared" si="28"/>
        <v>4</v>
      </c>
      <c r="F402">
        <f t="shared" si="29"/>
        <v>1</v>
      </c>
      <c r="G402">
        <f t="shared" si="30"/>
        <v>1</v>
      </c>
      <c r="H402">
        <f t="shared" si="31"/>
        <v>411</v>
      </c>
    </row>
    <row r="403" spans="1:8" x14ac:dyDescent="0.55000000000000004">
      <c r="A403" s="6">
        <v>3.585305683131863E+18</v>
      </c>
      <c r="B403">
        <v>5</v>
      </c>
      <c r="C403">
        <v>1</v>
      </c>
      <c r="D403">
        <v>1630</v>
      </c>
      <c r="E403">
        <f t="shared" si="28"/>
        <v>5</v>
      </c>
      <c r="F403">
        <f t="shared" si="29"/>
        <v>1</v>
      </c>
      <c r="G403">
        <f t="shared" si="30"/>
        <v>2</v>
      </c>
      <c r="H403">
        <f t="shared" si="31"/>
        <v>512</v>
      </c>
    </row>
    <row r="404" spans="1:8" x14ac:dyDescent="0.55000000000000004">
      <c r="A404" s="6">
        <v>3.5856296985564948E+18</v>
      </c>
      <c r="B404">
        <v>393</v>
      </c>
      <c r="C404">
        <v>2</v>
      </c>
      <c r="D404">
        <v>15945</v>
      </c>
      <c r="E404">
        <f t="shared" si="28"/>
        <v>4</v>
      </c>
      <c r="F404">
        <f t="shared" si="29"/>
        <v>2</v>
      </c>
      <c r="G404">
        <f t="shared" si="30"/>
        <v>3</v>
      </c>
      <c r="H404">
        <f t="shared" si="31"/>
        <v>423</v>
      </c>
    </row>
    <row r="405" spans="1:8" x14ac:dyDescent="0.55000000000000004">
      <c r="A405" s="6">
        <v>3.5949493402033961E+18</v>
      </c>
      <c r="B405">
        <v>477</v>
      </c>
      <c r="C405">
        <v>1</v>
      </c>
      <c r="D405">
        <v>1855</v>
      </c>
      <c r="E405">
        <f t="shared" si="28"/>
        <v>4</v>
      </c>
      <c r="F405">
        <f t="shared" si="29"/>
        <v>1</v>
      </c>
      <c r="G405">
        <f t="shared" si="30"/>
        <v>2</v>
      </c>
      <c r="H405">
        <f t="shared" si="31"/>
        <v>412</v>
      </c>
    </row>
    <row r="406" spans="1:8" x14ac:dyDescent="0.55000000000000004">
      <c r="A406" s="6">
        <v>3.6054619238879939E+18</v>
      </c>
      <c r="B406">
        <v>411</v>
      </c>
      <c r="C406">
        <v>1</v>
      </c>
      <c r="D406">
        <v>696</v>
      </c>
      <c r="E406">
        <f t="shared" si="28"/>
        <v>4</v>
      </c>
      <c r="F406">
        <f t="shared" si="29"/>
        <v>1</v>
      </c>
      <c r="G406">
        <f t="shared" si="30"/>
        <v>2</v>
      </c>
      <c r="H406">
        <f t="shared" si="31"/>
        <v>412</v>
      </c>
    </row>
    <row r="407" spans="1:8" x14ac:dyDescent="0.55000000000000004">
      <c r="A407" s="6">
        <v>3.6661285346706258E+18</v>
      </c>
      <c r="B407">
        <v>839</v>
      </c>
      <c r="C407">
        <v>1</v>
      </c>
      <c r="D407">
        <v>3663</v>
      </c>
      <c r="E407">
        <f t="shared" si="28"/>
        <v>3</v>
      </c>
      <c r="F407">
        <f t="shared" si="29"/>
        <v>1</v>
      </c>
      <c r="G407">
        <f t="shared" si="30"/>
        <v>3</v>
      </c>
      <c r="H407">
        <f t="shared" si="31"/>
        <v>313</v>
      </c>
    </row>
    <row r="408" spans="1:8" x14ac:dyDescent="0.55000000000000004">
      <c r="A408" s="6">
        <v>3.6716121384099502E+18</v>
      </c>
      <c r="B408">
        <v>1114</v>
      </c>
      <c r="C408">
        <v>1</v>
      </c>
      <c r="D408">
        <v>171</v>
      </c>
      <c r="E408">
        <f t="shared" si="28"/>
        <v>2</v>
      </c>
      <c r="F408">
        <f t="shared" si="29"/>
        <v>1</v>
      </c>
      <c r="G408">
        <f t="shared" si="30"/>
        <v>1</v>
      </c>
      <c r="H408">
        <f t="shared" si="31"/>
        <v>211</v>
      </c>
    </row>
    <row r="409" spans="1:8" x14ac:dyDescent="0.55000000000000004">
      <c r="A409" s="6">
        <v>3.674025689273685E+18</v>
      </c>
      <c r="B409">
        <v>88</v>
      </c>
      <c r="C409">
        <v>2</v>
      </c>
      <c r="D409">
        <v>3363</v>
      </c>
      <c r="E409">
        <f t="shared" si="28"/>
        <v>5</v>
      </c>
      <c r="F409">
        <f t="shared" si="29"/>
        <v>2</v>
      </c>
      <c r="G409">
        <f t="shared" si="30"/>
        <v>3</v>
      </c>
      <c r="H409">
        <f t="shared" si="31"/>
        <v>523</v>
      </c>
    </row>
    <row r="410" spans="1:8" x14ac:dyDescent="0.55000000000000004">
      <c r="A410" s="6">
        <v>3.6793056153410719E+18</v>
      </c>
      <c r="B410">
        <v>497</v>
      </c>
      <c r="C410">
        <v>1</v>
      </c>
      <c r="D410">
        <v>290</v>
      </c>
      <c r="E410">
        <f t="shared" si="28"/>
        <v>4</v>
      </c>
      <c r="F410">
        <f t="shared" si="29"/>
        <v>1</v>
      </c>
      <c r="G410">
        <f t="shared" si="30"/>
        <v>1</v>
      </c>
      <c r="H410">
        <f t="shared" si="31"/>
        <v>411</v>
      </c>
    </row>
    <row r="411" spans="1:8" x14ac:dyDescent="0.55000000000000004">
      <c r="A411" s="6">
        <v>3.6801396179204372E+18</v>
      </c>
      <c r="B411">
        <v>445</v>
      </c>
      <c r="C411">
        <v>1</v>
      </c>
      <c r="D411">
        <v>2324</v>
      </c>
      <c r="E411">
        <f t="shared" si="28"/>
        <v>4</v>
      </c>
      <c r="F411">
        <f t="shared" si="29"/>
        <v>1</v>
      </c>
      <c r="G411">
        <f t="shared" si="30"/>
        <v>3</v>
      </c>
      <c r="H411">
        <f t="shared" si="31"/>
        <v>413</v>
      </c>
    </row>
    <row r="412" spans="1:8" x14ac:dyDescent="0.55000000000000004">
      <c r="A412" s="6">
        <v>3.6853730951080499E+18</v>
      </c>
      <c r="B412">
        <v>613</v>
      </c>
      <c r="C412">
        <v>1</v>
      </c>
      <c r="D412">
        <v>726</v>
      </c>
      <c r="E412">
        <f t="shared" si="28"/>
        <v>3</v>
      </c>
      <c r="F412">
        <f t="shared" si="29"/>
        <v>1</v>
      </c>
      <c r="G412">
        <f t="shared" si="30"/>
        <v>2</v>
      </c>
      <c r="H412">
        <f t="shared" si="31"/>
        <v>312</v>
      </c>
    </row>
    <row r="413" spans="1:8" x14ac:dyDescent="0.55000000000000004">
      <c r="A413" s="6">
        <v>3.7002484709028562E+18</v>
      </c>
      <c r="B413">
        <v>447</v>
      </c>
      <c r="C413">
        <v>2</v>
      </c>
      <c r="D413">
        <v>6476</v>
      </c>
      <c r="E413">
        <f t="shared" si="28"/>
        <v>4</v>
      </c>
      <c r="F413">
        <f t="shared" si="29"/>
        <v>2</v>
      </c>
      <c r="G413">
        <f t="shared" si="30"/>
        <v>3</v>
      </c>
      <c r="H413">
        <f t="shared" si="31"/>
        <v>423</v>
      </c>
    </row>
    <row r="414" spans="1:8" x14ac:dyDescent="0.55000000000000004">
      <c r="A414" s="6">
        <v>3.722614482804054E+18</v>
      </c>
      <c r="B414">
        <v>1207</v>
      </c>
      <c r="C414">
        <v>1</v>
      </c>
      <c r="D414">
        <v>1008</v>
      </c>
      <c r="E414">
        <f t="shared" si="28"/>
        <v>1</v>
      </c>
      <c r="F414">
        <f t="shared" si="29"/>
        <v>1</v>
      </c>
      <c r="G414">
        <f t="shared" si="30"/>
        <v>2</v>
      </c>
      <c r="H414">
        <f t="shared" si="31"/>
        <v>112</v>
      </c>
    </row>
    <row r="415" spans="1:8" x14ac:dyDescent="0.55000000000000004">
      <c r="A415" s="6">
        <v>3.723064905456257E+18</v>
      </c>
      <c r="B415">
        <v>1042</v>
      </c>
      <c r="C415">
        <v>2</v>
      </c>
      <c r="D415">
        <v>341</v>
      </c>
      <c r="E415">
        <f t="shared" si="28"/>
        <v>2</v>
      </c>
      <c r="F415">
        <f t="shared" si="29"/>
        <v>2</v>
      </c>
      <c r="G415">
        <f t="shared" si="30"/>
        <v>1</v>
      </c>
      <c r="H415">
        <f t="shared" si="31"/>
        <v>221</v>
      </c>
    </row>
    <row r="416" spans="1:8" x14ac:dyDescent="0.55000000000000004">
      <c r="A416" s="6">
        <v>3.746593368969024E+18</v>
      </c>
      <c r="B416">
        <v>648</v>
      </c>
      <c r="C416">
        <v>3</v>
      </c>
      <c r="D416">
        <v>471</v>
      </c>
      <c r="E416">
        <f t="shared" si="28"/>
        <v>3</v>
      </c>
      <c r="F416">
        <f t="shared" si="29"/>
        <v>3</v>
      </c>
      <c r="G416">
        <f t="shared" si="30"/>
        <v>1</v>
      </c>
      <c r="H416">
        <f t="shared" si="31"/>
        <v>331</v>
      </c>
    </row>
    <row r="417" spans="1:8" x14ac:dyDescent="0.55000000000000004">
      <c r="A417" s="6">
        <v>3.7506769843068621E+18</v>
      </c>
      <c r="B417">
        <v>260</v>
      </c>
      <c r="C417">
        <v>1</v>
      </c>
      <c r="D417">
        <v>169</v>
      </c>
      <c r="E417">
        <f t="shared" si="28"/>
        <v>5</v>
      </c>
      <c r="F417">
        <f t="shared" si="29"/>
        <v>1</v>
      </c>
      <c r="G417">
        <f t="shared" si="30"/>
        <v>1</v>
      </c>
      <c r="H417">
        <f t="shared" si="31"/>
        <v>511</v>
      </c>
    </row>
    <row r="418" spans="1:8" x14ac:dyDescent="0.55000000000000004">
      <c r="A418" s="6">
        <v>3.755355309603927E+18</v>
      </c>
      <c r="B418">
        <v>413</v>
      </c>
      <c r="C418">
        <v>1</v>
      </c>
      <c r="D418">
        <v>4409</v>
      </c>
      <c r="E418">
        <f t="shared" si="28"/>
        <v>4</v>
      </c>
      <c r="F418">
        <f t="shared" si="29"/>
        <v>1</v>
      </c>
      <c r="G418">
        <f t="shared" si="30"/>
        <v>3</v>
      </c>
      <c r="H418">
        <f t="shared" si="31"/>
        <v>413</v>
      </c>
    </row>
    <row r="419" spans="1:8" x14ac:dyDescent="0.55000000000000004">
      <c r="A419" s="6">
        <v>3.7565529610186588E+18</v>
      </c>
      <c r="B419">
        <v>26</v>
      </c>
      <c r="C419">
        <v>1</v>
      </c>
      <c r="D419">
        <v>195</v>
      </c>
      <c r="E419">
        <f t="shared" si="28"/>
        <v>5</v>
      </c>
      <c r="F419">
        <f t="shared" si="29"/>
        <v>1</v>
      </c>
      <c r="G419">
        <f t="shared" si="30"/>
        <v>1</v>
      </c>
      <c r="H419">
        <f t="shared" si="31"/>
        <v>511</v>
      </c>
    </row>
    <row r="420" spans="1:8" x14ac:dyDescent="0.55000000000000004">
      <c r="A420" s="6">
        <v>3.7571927821574461E+18</v>
      </c>
      <c r="B420">
        <v>617</v>
      </c>
      <c r="C420">
        <v>1</v>
      </c>
      <c r="D420">
        <v>139</v>
      </c>
      <c r="E420">
        <f t="shared" si="28"/>
        <v>3</v>
      </c>
      <c r="F420">
        <f t="shared" si="29"/>
        <v>1</v>
      </c>
      <c r="G420">
        <f t="shared" si="30"/>
        <v>1</v>
      </c>
      <c r="H420">
        <f t="shared" si="31"/>
        <v>311</v>
      </c>
    </row>
    <row r="421" spans="1:8" x14ac:dyDescent="0.55000000000000004">
      <c r="A421" s="6">
        <v>3.7705021680150861E+18</v>
      </c>
      <c r="B421">
        <v>1188</v>
      </c>
      <c r="C421">
        <v>1</v>
      </c>
      <c r="D421">
        <v>1733</v>
      </c>
      <c r="E421">
        <f t="shared" si="28"/>
        <v>1</v>
      </c>
      <c r="F421">
        <f t="shared" si="29"/>
        <v>1</v>
      </c>
      <c r="G421">
        <f t="shared" si="30"/>
        <v>2</v>
      </c>
      <c r="H421">
        <f t="shared" si="31"/>
        <v>112</v>
      </c>
    </row>
    <row r="422" spans="1:8" x14ac:dyDescent="0.55000000000000004">
      <c r="A422" s="6">
        <v>3.7872091168844288E+18</v>
      </c>
      <c r="B422">
        <v>922</v>
      </c>
      <c r="C422">
        <v>2</v>
      </c>
      <c r="D422">
        <v>2589</v>
      </c>
      <c r="E422">
        <f t="shared" si="28"/>
        <v>2</v>
      </c>
      <c r="F422">
        <f t="shared" si="29"/>
        <v>2</v>
      </c>
      <c r="G422">
        <f t="shared" si="30"/>
        <v>3</v>
      </c>
      <c r="H422">
        <f t="shared" si="31"/>
        <v>223</v>
      </c>
    </row>
    <row r="423" spans="1:8" x14ac:dyDescent="0.55000000000000004">
      <c r="A423" s="6">
        <v>3.7951345674892979E+18</v>
      </c>
      <c r="B423">
        <v>22</v>
      </c>
      <c r="C423">
        <v>1</v>
      </c>
      <c r="D423">
        <v>180</v>
      </c>
      <c r="E423">
        <f t="shared" si="28"/>
        <v>5</v>
      </c>
      <c r="F423">
        <f t="shared" si="29"/>
        <v>1</v>
      </c>
      <c r="G423">
        <f t="shared" si="30"/>
        <v>1</v>
      </c>
      <c r="H423">
        <f t="shared" si="31"/>
        <v>511</v>
      </c>
    </row>
    <row r="424" spans="1:8" x14ac:dyDescent="0.55000000000000004">
      <c r="A424" s="6">
        <v>3.8028052198150661E+18</v>
      </c>
      <c r="B424">
        <v>108</v>
      </c>
      <c r="C424">
        <v>1</v>
      </c>
      <c r="D424">
        <v>14560</v>
      </c>
      <c r="E424">
        <f t="shared" si="28"/>
        <v>5</v>
      </c>
      <c r="F424">
        <f t="shared" si="29"/>
        <v>1</v>
      </c>
      <c r="G424">
        <f t="shared" si="30"/>
        <v>3</v>
      </c>
      <c r="H424">
        <f t="shared" si="31"/>
        <v>513</v>
      </c>
    </row>
    <row r="425" spans="1:8" x14ac:dyDescent="0.55000000000000004">
      <c r="A425" s="6">
        <v>3.8030632454519009E+18</v>
      </c>
      <c r="B425">
        <v>55</v>
      </c>
      <c r="C425">
        <v>2</v>
      </c>
      <c r="D425">
        <v>2700</v>
      </c>
      <c r="E425">
        <f t="shared" si="28"/>
        <v>5</v>
      </c>
      <c r="F425">
        <f t="shared" si="29"/>
        <v>2</v>
      </c>
      <c r="G425">
        <f t="shared" si="30"/>
        <v>3</v>
      </c>
      <c r="H425">
        <f t="shared" si="31"/>
        <v>523</v>
      </c>
    </row>
    <row r="426" spans="1:8" x14ac:dyDescent="0.55000000000000004">
      <c r="A426" s="6">
        <v>3.8062534945437491E+18</v>
      </c>
      <c r="B426">
        <v>585</v>
      </c>
      <c r="C426">
        <v>1</v>
      </c>
      <c r="D426">
        <v>5276</v>
      </c>
      <c r="E426">
        <f t="shared" si="28"/>
        <v>3</v>
      </c>
      <c r="F426">
        <f t="shared" si="29"/>
        <v>1</v>
      </c>
      <c r="G426">
        <f t="shared" si="30"/>
        <v>3</v>
      </c>
      <c r="H426">
        <f t="shared" si="31"/>
        <v>313</v>
      </c>
    </row>
    <row r="427" spans="1:8" x14ac:dyDescent="0.55000000000000004">
      <c r="A427" s="6">
        <v>3.8104946415188419E+18</v>
      </c>
      <c r="B427">
        <v>257</v>
      </c>
      <c r="C427">
        <v>1</v>
      </c>
      <c r="D427">
        <v>3240</v>
      </c>
      <c r="E427">
        <f t="shared" si="28"/>
        <v>5</v>
      </c>
      <c r="F427">
        <f t="shared" si="29"/>
        <v>1</v>
      </c>
      <c r="G427">
        <f t="shared" si="30"/>
        <v>3</v>
      </c>
      <c r="H427">
        <f t="shared" si="31"/>
        <v>513</v>
      </c>
    </row>
    <row r="428" spans="1:8" x14ac:dyDescent="0.55000000000000004">
      <c r="A428" s="6">
        <v>3.8212681910665052E+18</v>
      </c>
      <c r="B428">
        <v>36</v>
      </c>
      <c r="C428">
        <v>2</v>
      </c>
      <c r="D428">
        <v>683</v>
      </c>
      <c r="E428">
        <f t="shared" si="28"/>
        <v>5</v>
      </c>
      <c r="F428">
        <f t="shared" si="29"/>
        <v>2</v>
      </c>
      <c r="G428">
        <f t="shared" si="30"/>
        <v>2</v>
      </c>
      <c r="H428">
        <f t="shared" si="31"/>
        <v>522</v>
      </c>
    </row>
    <row r="429" spans="1:8" x14ac:dyDescent="0.55000000000000004">
      <c r="A429" s="6">
        <v>3.8213474236409672E+18</v>
      </c>
      <c r="B429">
        <v>725</v>
      </c>
      <c r="C429">
        <v>3</v>
      </c>
      <c r="D429">
        <v>10372</v>
      </c>
      <c r="E429">
        <f t="shared" si="28"/>
        <v>3</v>
      </c>
      <c r="F429">
        <f t="shared" si="29"/>
        <v>3</v>
      </c>
      <c r="G429">
        <f t="shared" si="30"/>
        <v>3</v>
      </c>
      <c r="H429">
        <f t="shared" si="31"/>
        <v>333</v>
      </c>
    </row>
    <row r="430" spans="1:8" x14ac:dyDescent="0.55000000000000004">
      <c r="A430" s="6">
        <v>3.8623480902649252E+18</v>
      </c>
      <c r="B430">
        <v>256</v>
      </c>
      <c r="C430">
        <v>1</v>
      </c>
      <c r="D430">
        <v>236</v>
      </c>
      <c r="E430">
        <f t="shared" si="28"/>
        <v>5</v>
      </c>
      <c r="F430">
        <f t="shared" si="29"/>
        <v>1</v>
      </c>
      <c r="G430">
        <f t="shared" si="30"/>
        <v>1</v>
      </c>
      <c r="H430">
        <f t="shared" si="31"/>
        <v>511</v>
      </c>
    </row>
    <row r="431" spans="1:8" x14ac:dyDescent="0.55000000000000004">
      <c r="A431" s="6">
        <v>3.8623846872666322E+18</v>
      </c>
      <c r="B431">
        <v>422</v>
      </c>
      <c r="C431">
        <v>1</v>
      </c>
      <c r="D431">
        <v>1469</v>
      </c>
      <c r="E431">
        <f t="shared" si="28"/>
        <v>4</v>
      </c>
      <c r="F431">
        <f t="shared" si="29"/>
        <v>1</v>
      </c>
      <c r="G431">
        <f t="shared" si="30"/>
        <v>2</v>
      </c>
      <c r="H431">
        <f t="shared" si="31"/>
        <v>412</v>
      </c>
    </row>
    <row r="432" spans="1:8" x14ac:dyDescent="0.55000000000000004">
      <c r="A432" s="6">
        <v>3.8673138421728932E+18</v>
      </c>
      <c r="B432">
        <v>67</v>
      </c>
      <c r="C432">
        <v>2</v>
      </c>
      <c r="D432">
        <v>5732</v>
      </c>
      <c r="E432">
        <f t="shared" si="28"/>
        <v>5</v>
      </c>
      <c r="F432">
        <f t="shared" si="29"/>
        <v>2</v>
      </c>
      <c r="G432">
        <f t="shared" si="30"/>
        <v>3</v>
      </c>
      <c r="H432">
        <f t="shared" si="31"/>
        <v>523</v>
      </c>
    </row>
    <row r="433" spans="1:8" x14ac:dyDescent="0.55000000000000004">
      <c r="A433" s="6">
        <v>3.8718698369645599E+18</v>
      </c>
      <c r="B433">
        <v>711</v>
      </c>
      <c r="C433">
        <v>1</v>
      </c>
      <c r="D433">
        <v>149</v>
      </c>
      <c r="E433">
        <f t="shared" si="28"/>
        <v>3</v>
      </c>
      <c r="F433">
        <f t="shared" si="29"/>
        <v>1</v>
      </c>
      <c r="G433">
        <f t="shared" si="30"/>
        <v>1</v>
      </c>
      <c r="H433">
        <f t="shared" si="31"/>
        <v>311</v>
      </c>
    </row>
    <row r="434" spans="1:8" x14ac:dyDescent="0.55000000000000004">
      <c r="A434" s="6">
        <v>3.8730926034270961E+18</v>
      </c>
      <c r="B434">
        <v>306</v>
      </c>
      <c r="C434">
        <v>3</v>
      </c>
      <c r="D434">
        <v>8226</v>
      </c>
      <c r="E434">
        <f t="shared" si="28"/>
        <v>4</v>
      </c>
      <c r="F434">
        <f t="shared" si="29"/>
        <v>3</v>
      </c>
      <c r="G434">
        <f t="shared" si="30"/>
        <v>3</v>
      </c>
      <c r="H434">
        <f t="shared" si="31"/>
        <v>433</v>
      </c>
    </row>
    <row r="435" spans="1:8" x14ac:dyDescent="0.55000000000000004">
      <c r="A435" s="6">
        <v>3.8820816954258478E+18</v>
      </c>
      <c r="B435">
        <v>454</v>
      </c>
      <c r="C435">
        <v>1</v>
      </c>
      <c r="D435">
        <v>310</v>
      </c>
      <c r="E435">
        <f t="shared" si="28"/>
        <v>4</v>
      </c>
      <c r="F435">
        <f t="shared" si="29"/>
        <v>1</v>
      </c>
      <c r="G435">
        <f t="shared" si="30"/>
        <v>1</v>
      </c>
      <c r="H435">
        <f t="shared" si="31"/>
        <v>411</v>
      </c>
    </row>
    <row r="436" spans="1:8" x14ac:dyDescent="0.55000000000000004">
      <c r="A436" s="6">
        <v>3.8822343132996511E+18</v>
      </c>
      <c r="B436">
        <v>112</v>
      </c>
      <c r="C436">
        <v>3</v>
      </c>
      <c r="D436">
        <v>4843</v>
      </c>
      <c r="E436">
        <f t="shared" si="28"/>
        <v>5</v>
      </c>
      <c r="F436">
        <f t="shared" si="29"/>
        <v>3</v>
      </c>
      <c r="G436">
        <f t="shared" si="30"/>
        <v>3</v>
      </c>
      <c r="H436">
        <f t="shared" si="31"/>
        <v>533</v>
      </c>
    </row>
    <row r="437" spans="1:8" x14ac:dyDescent="0.55000000000000004">
      <c r="A437" s="6">
        <v>3.8856884712820838E+18</v>
      </c>
      <c r="B437">
        <v>973</v>
      </c>
      <c r="C437">
        <v>1</v>
      </c>
      <c r="D437">
        <v>259</v>
      </c>
      <c r="E437">
        <f t="shared" si="28"/>
        <v>2</v>
      </c>
      <c r="F437">
        <f t="shared" si="29"/>
        <v>1</v>
      </c>
      <c r="G437">
        <f t="shared" si="30"/>
        <v>1</v>
      </c>
      <c r="H437">
        <f t="shared" si="31"/>
        <v>211</v>
      </c>
    </row>
    <row r="438" spans="1:8" x14ac:dyDescent="0.55000000000000004">
      <c r="A438" s="6">
        <v>3.8923791312289418E+18</v>
      </c>
      <c r="B438">
        <v>449</v>
      </c>
      <c r="C438">
        <v>1</v>
      </c>
      <c r="D438">
        <v>2261</v>
      </c>
      <c r="E438">
        <f t="shared" si="28"/>
        <v>4</v>
      </c>
      <c r="F438">
        <f t="shared" si="29"/>
        <v>1</v>
      </c>
      <c r="G438">
        <f t="shared" si="30"/>
        <v>3</v>
      </c>
      <c r="H438">
        <f t="shared" si="31"/>
        <v>413</v>
      </c>
    </row>
    <row r="439" spans="1:8" x14ac:dyDescent="0.55000000000000004">
      <c r="A439" s="6">
        <v>3.8996603096353321E+18</v>
      </c>
      <c r="B439">
        <v>174</v>
      </c>
      <c r="C439">
        <v>2</v>
      </c>
      <c r="D439">
        <v>2625</v>
      </c>
      <c r="E439">
        <f t="shared" si="28"/>
        <v>5</v>
      </c>
      <c r="F439">
        <f t="shared" si="29"/>
        <v>2</v>
      </c>
      <c r="G439">
        <f t="shared" si="30"/>
        <v>3</v>
      </c>
      <c r="H439">
        <f t="shared" si="31"/>
        <v>523</v>
      </c>
    </row>
    <row r="440" spans="1:8" x14ac:dyDescent="0.55000000000000004">
      <c r="A440" s="6">
        <v>3.9077561414754412E+18</v>
      </c>
      <c r="B440">
        <v>1267</v>
      </c>
      <c r="C440">
        <v>1</v>
      </c>
      <c r="D440">
        <v>175</v>
      </c>
      <c r="E440">
        <f t="shared" si="28"/>
        <v>1</v>
      </c>
      <c r="F440">
        <f t="shared" si="29"/>
        <v>1</v>
      </c>
      <c r="G440">
        <f t="shared" si="30"/>
        <v>1</v>
      </c>
      <c r="H440">
        <f t="shared" si="31"/>
        <v>111</v>
      </c>
    </row>
    <row r="441" spans="1:8" x14ac:dyDescent="0.55000000000000004">
      <c r="A441" s="6">
        <v>3.911655942259586E+18</v>
      </c>
      <c r="B441">
        <v>1016</v>
      </c>
      <c r="C441">
        <v>1</v>
      </c>
      <c r="D441">
        <v>1250</v>
      </c>
      <c r="E441">
        <f t="shared" si="28"/>
        <v>2</v>
      </c>
      <c r="F441">
        <f t="shared" si="29"/>
        <v>1</v>
      </c>
      <c r="G441">
        <f t="shared" si="30"/>
        <v>2</v>
      </c>
      <c r="H441">
        <f t="shared" si="31"/>
        <v>212</v>
      </c>
    </row>
    <row r="442" spans="1:8" x14ac:dyDescent="0.55000000000000004">
      <c r="A442" s="6">
        <v>3.9149132213084621E+18</v>
      </c>
      <c r="B442">
        <v>776</v>
      </c>
      <c r="C442">
        <v>1</v>
      </c>
      <c r="D442">
        <v>948</v>
      </c>
      <c r="E442">
        <f t="shared" si="28"/>
        <v>3</v>
      </c>
      <c r="F442">
        <f t="shared" si="29"/>
        <v>1</v>
      </c>
      <c r="G442">
        <f t="shared" si="30"/>
        <v>2</v>
      </c>
      <c r="H442">
        <f t="shared" si="31"/>
        <v>312</v>
      </c>
    </row>
    <row r="443" spans="1:8" x14ac:dyDescent="0.55000000000000004">
      <c r="A443" s="6">
        <v>3.91791813032032E+18</v>
      </c>
      <c r="B443">
        <v>347</v>
      </c>
      <c r="C443">
        <v>2</v>
      </c>
      <c r="D443">
        <v>602</v>
      </c>
      <c r="E443">
        <f t="shared" si="28"/>
        <v>4</v>
      </c>
      <c r="F443">
        <f t="shared" si="29"/>
        <v>2</v>
      </c>
      <c r="G443">
        <f t="shared" si="30"/>
        <v>1</v>
      </c>
      <c r="H443">
        <f t="shared" si="31"/>
        <v>421</v>
      </c>
    </row>
    <row r="444" spans="1:8" x14ac:dyDescent="0.55000000000000004">
      <c r="A444" s="6">
        <v>3.9275450521629261E+18</v>
      </c>
      <c r="B444">
        <v>1273</v>
      </c>
      <c r="C444">
        <v>1</v>
      </c>
      <c r="D444">
        <v>319</v>
      </c>
      <c r="E444">
        <f t="shared" si="28"/>
        <v>1</v>
      </c>
      <c r="F444">
        <f t="shared" si="29"/>
        <v>1</v>
      </c>
      <c r="G444">
        <f t="shared" si="30"/>
        <v>1</v>
      </c>
      <c r="H444">
        <f t="shared" si="31"/>
        <v>111</v>
      </c>
    </row>
    <row r="445" spans="1:8" x14ac:dyDescent="0.55000000000000004">
      <c r="A445" s="6">
        <v>3.9325204183798779E+18</v>
      </c>
      <c r="B445">
        <v>154</v>
      </c>
      <c r="C445">
        <v>1</v>
      </c>
      <c r="D445">
        <v>1259</v>
      </c>
      <c r="E445">
        <f t="shared" si="28"/>
        <v>5</v>
      </c>
      <c r="F445">
        <f t="shared" si="29"/>
        <v>1</v>
      </c>
      <c r="G445">
        <f t="shared" si="30"/>
        <v>2</v>
      </c>
      <c r="H445">
        <f t="shared" si="31"/>
        <v>512</v>
      </c>
    </row>
    <row r="446" spans="1:8" x14ac:dyDescent="0.55000000000000004">
      <c r="A446" s="6">
        <v>3.9337276893371848E+18</v>
      </c>
      <c r="B446">
        <v>611</v>
      </c>
      <c r="C446">
        <v>2</v>
      </c>
      <c r="D446">
        <v>5976</v>
      </c>
      <c r="E446">
        <f t="shared" si="28"/>
        <v>3</v>
      </c>
      <c r="F446">
        <f t="shared" si="29"/>
        <v>2</v>
      </c>
      <c r="G446">
        <f t="shared" si="30"/>
        <v>3</v>
      </c>
      <c r="H446">
        <f t="shared" si="31"/>
        <v>323</v>
      </c>
    </row>
    <row r="447" spans="1:8" x14ac:dyDescent="0.55000000000000004">
      <c r="A447" s="6">
        <v>3.9440220148222531E+18</v>
      </c>
      <c r="B447">
        <v>261</v>
      </c>
      <c r="C447">
        <v>1</v>
      </c>
      <c r="D447">
        <v>990</v>
      </c>
      <c r="E447">
        <f t="shared" si="28"/>
        <v>5</v>
      </c>
      <c r="F447">
        <f t="shared" si="29"/>
        <v>1</v>
      </c>
      <c r="G447">
        <f t="shared" si="30"/>
        <v>2</v>
      </c>
      <c r="H447">
        <f t="shared" si="31"/>
        <v>512</v>
      </c>
    </row>
    <row r="448" spans="1:8" x14ac:dyDescent="0.55000000000000004">
      <c r="A448" s="6">
        <v>3.9444617656284708E+18</v>
      </c>
      <c r="B448">
        <v>695</v>
      </c>
      <c r="C448">
        <v>1</v>
      </c>
      <c r="D448">
        <v>537</v>
      </c>
      <c r="E448">
        <f t="shared" si="28"/>
        <v>3</v>
      </c>
      <c r="F448">
        <f t="shared" si="29"/>
        <v>1</v>
      </c>
      <c r="G448">
        <f t="shared" si="30"/>
        <v>1</v>
      </c>
      <c r="H448">
        <f t="shared" si="31"/>
        <v>311</v>
      </c>
    </row>
    <row r="449" spans="1:8" x14ac:dyDescent="0.55000000000000004">
      <c r="A449" s="6">
        <v>3.9926169556438211E+18</v>
      </c>
      <c r="B449">
        <v>74</v>
      </c>
      <c r="C449">
        <v>1</v>
      </c>
      <c r="D449">
        <v>1726</v>
      </c>
      <c r="E449">
        <f t="shared" si="28"/>
        <v>5</v>
      </c>
      <c r="F449">
        <f t="shared" si="29"/>
        <v>1</v>
      </c>
      <c r="G449">
        <f t="shared" si="30"/>
        <v>2</v>
      </c>
      <c r="H449">
        <f t="shared" si="31"/>
        <v>512</v>
      </c>
    </row>
    <row r="450" spans="1:8" x14ac:dyDescent="0.55000000000000004">
      <c r="A450" s="6">
        <v>4.0018623992861558E+18</v>
      </c>
      <c r="B450">
        <v>85</v>
      </c>
      <c r="C450">
        <v>2</v>
      </c>
      <c r="D450">
        <v>16388</v>
      </c>
      <c r="E450">
        <f t="shared" si="28"/>
        <v>5</v>
      </c>
      <c r="F450">
        <f t="shared" si="29"/>
        <v>2</v>
      </c>
      <c r="G450">
        <f t="shared" si="30"/>
        <v>3</v>
      </c>
      <c r="H450">
        <f t="shared" si="31"/>
        <v>523</v>
      </c>
    </row>
    <row r="451" spans="1:8" x14ac:dyDescent="0.55000000000000004">
      <c r="A451" s="6">
        <v>4.0074036940112302E+18</v>
      </c>
      <c r="B451">
        <v>94</v>
      </c>
      <c r="C451">
        <v>2</v>
      </c>
      <c r="D451">
        <v>2283</v>
      </c>
      <c r="E451">
        <f t="shared" ref="E451:E514" si="32">VLOOKUP(B451,$K$5:$L$9,2,1)</f>
        <v>5</v>
      </c>
      <c r="F451">
        <f t="shared" ref="F451:F514" si="33">VLOOKUP(C451,$K$15:$L$17,2,1)</f>
        <v>2</v>
      </c>
      <c r="G451">
        <f t="shared" ref="G451:G514" si="34">VLOOKUP(D451,$K$24:$L$26,2,1)</f>
        <v>3</v>
      </c>
      <c r="H451">
        <f t="shared" ref="H451:H514" si="35">E451*100+F451*10+G451</f>
        <v>523</v>
      </c>
    </row>
    <row r="452" spans="1:8" x14ac:dyDescent="0.55000000000000004">
      <c r="A452" s="6">
        <v>4.0114768138737981E+18</v>
      </c>
      <c r="B452">
        <v>1383</v>
      </c>
      <c r="C452">
        <v>1</v>
      </c>
      <c r="D452">
        <v>540</v>
      </c>
      <c r="E452">
        <f t="shared" si="32"/>
        <v>1</v>
      </c>
      <c r="F452">
        <f t="shared" si="33"/>
        <v>1</v>
      </c>
      <c r="G452">
        <f t="shared" si="34"/>
        <v>1</v>
      </c>
      <c r="H452">
        <f t="shared" si="35"/>
        <v>111</v>
      </c>
    </row>
    <row r="453" spans="1:8" x14ac:dyDescent="0.55000000000000004">
      <c r="A453" s="6">
        <v>4.0215809108254679E+18</v>
      </c>
      <c r="B453">
        <v>684</v>
      </c>
      <c r="C453">
        <v>2</v>
      </c>
      <c r="D453">
        <v>2060</v>
      </c>
      <c r="E453">
        <f t="shared" si="32"/>
        <v>3</v>
      </c>
      <c r="F453">
        <f t="shared" si="33"/>
        <v>2</v>
      </c>
      <c r="G453">
        <f t="shared" si="34"/>
        <v>2</v>
      </c>
      <c r="H453">
        <f t="shared" si="35"/>
        <v>322</v>
      </c>
    </row>
    <row r="454" spans="1:8" x14ac:dyDescent="0.55000000000000004">
      <c r="A454" s="6">
        <v>4.0459079524297672E+18</v>
      </c>
      <c r="B454">
        <v>237</v>
      </c>
      <c r="C454">
        <v>1</v>
      </c>
      <c r="D454">
        <v>579</v>
      </c>
      <c r="E454">
        <f t="shared" si="32"/>
        <v>5</v>
      </c>
      <c r="F454">
        <f t="shared" si="33"/>
        <v>1</v>
      </c>
      <c r="G454">
        <f t="shared" si="34"/>
        <v>1</v>
      </c>
      <c r="H454">
        <f t="shared" si="35"/>
        <v>511</v>
      </c>
    </row>
    <row r="455" spans="1:8" x14ac:dyDescent="0.55000000000000004">
      <c r="A455" s="6">
        <v>4.0511141420952192E+18</v>
      </c>
      <c r="B455">
        <v>812</v>
      </c>
      <c r="C455">
        <v>1</v>
      </c>
      <c r="D455">
        <v>534</v>
      </c>
      <c r="E455">
        <f t="shared" si="32"/>
        <v>3</v>
      </c>
      <c r="F455">
        <f t="shared" si="33"/>
        <v>1</v>
      </c>
      <c r="G455">
        <f t="shared" si="34"/>
        <v>1</v>
      </c>
      <c r="H455">
        <f t="shared" si="35"/>
        <v>311</v>
      </c>
    </row>
    <row r="456" spans="1:8" x14ac:dyDescent="0.55000000000000004">
      <c r="A456" s="6">
        <v>4.094269431837227E+18</v>
      </c>
      <c r="B456">
        <v>294</v>
      </c>
      <c r="C456">
        <v>2</v>
      </c>
      <c r="D456">
        <v>3096</v>
      </c>
      <c r="E456">
        <f t="shared" si="32"/>
        <v>4</v>
      </c>
      <c r="F456">
        <f t="shared" si="33"/>
        <v>2</v>
      </c>
      <c r="G456">
        <f t="shared" si="34"/>
        <v>3</v>
      </c>
      <c r="H456">
        <f t="shared" si="35"/>
        <v>423</v>
      </c>
    </row>
    <row r="457" spans="1:8" x14ac:dyDescent="0.55000000000000004">
      <c r="A457" s="6">
        <v>4.1040030372730511E+18</v>
      </c>
      <c r="B457">
        <v>34</v>
      </c>
      <c r="C457">
        <v>1</v>
      </c>
      <c r="D457">
        <v>4824</v>
      </c>
      <c r="E457">
        <f t="shared" si="32"/>
        <v>5</v>
      </c>
      <c r="F457">
        <f t="shared" si="33"/>
        <v>1</v>
      </c>
      <c r="G457">
        <f t="shared" si="34"/>
        <v>3</v>
      </c>
      <c r="H457">
        <f t="shared" si="35"/>
        <v>513</v>
      </c>
    </row>
    <row r="458" spans="1:8" x14ac:dyDescent="0.55000000000000004">
      <c r="A458" s="6">
        <v>4.1118846582469458E+18</v>
      </c>
      <c r="B458">
        <v>561</v>
      </c>
      <c r="C458">
        <v>1</v>
      </c>
      <c r="D458">
        <v>1370</v>
      </c>
      <c r="E458">
        <f t="shared" si="32"/>
        <v>4</v>
      </c>
      <c r="F458">
        <f t="shared" si="33"/>
        <v>1</v>
      </c>
      <c r="G458">
        <f t="shared" si="34"/>
        <v>2</v>
      </c>
      <c r="H458">
        <f t="shared" si="35"/>
        <v>412</v>
      </c>
    </row>
    <row r="459" spans="1:8" x14ac:dyDescent="0.55000000000000004">
      <c r="A459" s="6">
        <v>4.1178339371491098E+18</v>
      </c>
      <c r="B459">
        <v>686</v>
      </c>
      <c r="C459">
        <v>1</v>
      </c>
      <c r="D459">
        <v>483</v>
      </c>
      <c r="E459">
        <f t="shared" si="32"/>
        <v>3</v>
      </c>
      <c r="F459">
        <f t="shared" si="33"/>
        <v>1</v>
      </c>
      <c r="G459">
        <f t="shared" si="34"/>
        <v>1</v>
      </c>
      <c r="H459">
        <f t="shared" si="35"/>
        <v>311</v>
      </c>
    </row>
    <row r="460" spans="1:8" x14ac:dyDescent="0.55000000000000004">
      <c r="A460" s="6">
        <v>4.135258352010667E+18</v>
      </c>
      <c r="B460">
        <v>350</v>
      </c>
      <c r="C460">
        <v>1</v>
      </c>
      <c r="D460">
        <v>3665</v>
      </c>
      <c r="E460">
        <f t="shared" si="32"/>
        <v>4</v>
      </c>
      <c r="F460">
        <f t="shared" si="33"/>
        <v>1</v>
      </c>
      <c r="G460">
        <f t="shared" si="34"/>
        <v>3</v>
      </c>
      <c r="H460">
        <f t="shared" si="35"/>
        <v>413</v>
      </c>
    </row>
    <row r="461" spans="1:8" x14ac:dyDescent="0.55000000000000004">
      <c r="A461" s="6">
        <v>4.1384079277476362E+18</v>
      </c>
      <c r="B461">
        <v>998</v>
      </c>
      <c r="C461">
        <v>2</v>
      </c>
      <c r="D461">
        <v>2718</v>
      </c>
      <c r="E461">
        <f t="shared" si="32"/>
        <v>2</v>
      </c>
      <c r="F461">
        <f t="shared" si="33"/>
        <v>2</v>
      </c>
      <c r="G461">
        <f t="shared" si="34"/>
        <v>3</v>
      </c>
      <c r="H461">
        <f t="shared" si="35"/>
        <v>223</v>
      </c>
    </row>
    <row r="462" spans="1:8" x14ac:dyDescent="0.55000000000000004">
      <c r="A462" s="6">
        <v>4.1401714480403871E+18</v>
      </c>
      <c r="B462">
        <v>111</v>
      </c>
      <c r="C462">
        <v>1</v>
      </c>
      <c r="D462">
        <v>1176</v>
      </c>
      <c r="E462">
        <f t="shared" si="32"/>
        <v>5</v>
      </c>
      <c r="F462">
        <f t="shared" si="33"/>
        <v>1</v>
      </c>
      <c r="G462">
        <f t="shared" si="34"/>
        <v>2</v>
      </c>
      <c r="H462">
        <f t="shared" si="35"/>
        <v>512</v>
      </c>
    </row>
    <row r="463" spans="1:8" x14ac:dyDescent="0.55000000000000004">
      <c r="A463" s="6">
        <v>4.1447631003015081E+18</v>
      </c>
      <c r="B463">
        <v>1365</v>
      </c>
      <c r="C463">
        <v>1</v>
      </c>
      <c r="D463">
        <v>3300</v>
      </c>
      <c r="E463">
        <f t="shared" si="32"/>
        <v>1</v>
      </c>
      <c r="F463">
        <f t="shared" si="33"/>
        <v>1</v>
      </c>
      <c r="G463">
        <f t="shared" si="34"/>
        <v>3</v>
      </c>
      <c r="H463">
        <f t="shared" si="35"/>
        <v>113</v>
      </c>
    </row>
    <row r="464" spans="1:8" x14ac:dyDescent="0.55000000000000004">
      <c r="A464" s="6">
        <v>4.1750935598840468E+18</v>
      </c>
      <c r="B464">
        <v>756</v>
      </c>
      <c r="C464">
        <v>1</v>
      </c>
      <c r="D464">
        <v>4770</v>
      </c>
      <c r="E464">
        <f t="shared" si="32"/>
        <v>3</v>
      </c>
      <c r="F464">
        <f t="shared" si="33"/>
        <v>1</v>
      </c>
      <c r="G464">
        <f t="shared" si="34"/>
        <v>3</v>
      </c>
      <c r="H464">
        <f t="shared" si="35"/>
        <v>313</v>
      </c>
    </row>
    <row r="465" spans="1:8" x14ac:dyDescent="0.55000000000000004">
      <c r="A465" s="6">
        <v>4.1851863206250301E+18</v>
      </c>
      <c r="B465">
        <v>163</v>
      </c>
      <c r="C465">
        <v>2</v>
      </c>
      <c r="D465">
        <v>376</v>
      </c>
      <c r="E465">
        <f t="shared" si="32"/>
        <v>5</v>
      </c>
      <c r="F465">
        <f t="shared" si="33"/>
        <v>2</v>
      </c>
      <c r="G465">
        <f t="shared" si="34"/>
        <v>1</v>
      </c>
      <c r="H465">
        <f t="shared" si="35"/>
        <v>521</v>
      </c>
    </row>
    <row r="466" spans="1:8" x14ac:dyDescent="0.55000000000000004">
      <c r="A466" s="6">
        <v>4.1901479744037089E+18</v>
      </c>
      <c r="B466">
        <v>258</v>
      </c>
      <c r="C466">
        <v>2</v>
      </c>
      <c r="D466">
        <v>3959</v>
      </c>
      <c r="E466">
        <f t="shared" si="32"/>
        <v>5</v>
      </c>
      <c r="F466">
        <f t="shared" si="33"/>
        <v>2</v>
      </c>
      <c r="G466">
        <f t="shared" si="34"/>
        <v>3</v>
      </c>
      <c r="H466">
        <f t="shared" si="35"/>
        <v>523</v>
      </c>
    </row>
    <row r="467" spans="1:8" x14ac:dyDescent="0.55000000000000004">
      <c r="A467" s="6">
        <v>4.1927928262707988E+18</v>
      </c>
      <c r="B467">
        <v>1130</v>
      </c>
      <c r="C467">
        <v>1</v>
      </c>
      <c r="D467">
        <v>1050</v>
      </c>
      <c r="E467">
        <f t="shared" si="32"/>
        <v>2</v>
      </c>
      <c r="F467">
        <f t="shared" si="33"/>
        <v>1</v>
      </c>
      <c r="G467">
        <f t="shared" si="34"/>
        <v>2</v>
      </c>
      <c r="H467">
        <f t="shared" si="35"/>
        <v>212</v>
      </c>
    </row>
    <row r="468" spans="1:8" x14ac:dyDescent="0.55000000000000004">
      <c r="A468" s="6">
        <v>4.196813306737175E+18</v>
      </c>
      <c r="B468">
        <v>528</v>
      </c>
      <c r="C468">
        <v>2</v>
      </c>
      <c r="D468">
        <v>1603</v>
      </c>
      <c r="E468">
        <f t="shared" si="32"/>
        <v>4</v>
      </c>
      <c r="F468">
        <f t="shared" si="33"/>
        <v>2</v>
      </c>
      <c r="G468">
        <f t="shared" si="34"/>
        <v>2</v>
      </c>
      <c r="H468">
        <f t="shared" si="35"/>
        <v>422</v>
      </c>
    </row>
    <row r="469" spans="1:8" x14ac:dyDescent="0.55000000000000004">
      <c r="A469" s="6">
        <v>4.197425612844927E+18</v>
      </c>
      <c r="B469">
        <v>282</v>
      </c>
      <c r="C469">
        <v>1</v>
      </c>
      <c r="D469">
        <v>6740</v>
      </c>
      <c r="E469">
        <f t="shared" si="32"/>
        <v>5</v>
      </c>
      <c r="F469">
        <f t="shared" si="33"/>
        <v>1</v>
      </c>
      <c r="G469">
        <f t="shared" si="34"/>
        <v>3</v>
      </c>
      <c r="H469">
        <f t="shared" si="35"/>
        <v>513</v>
      </c>
    </row>
    <row r="470" spans="1:8" x14ac:dyDescent="0.55000000000000004">
      <c r="A470" s="6">
        <v>4.1979686203009562E+18</v>
      </c>
      <c r="B470">
        <v>781</v>
      </c>
      <c r="C470">
        <v>1</v>
      </c>
      <c r="D470">
        <v>2320</v>
      </c>
      <c r="E470">
        <f t="shared" si="32"/>
        <v>3</v>
      </c>
      <c r="F470">
        <f t="shared" si="33"/>
        <v>1</v>
      </c>
      <c r="G470">
        <f t="shared" si="34"/>
        <v>3</v>
      </c>
      <c r="H470">
        <f t="shared" si="35"/>
        <v>313</v>
      </c>
    </row>
    <row r="471" spans="1:8" x14ac:dyDescent="0.55000000000000004">
      <c r="A471" s="6">
        <v>4.200684856420906E+18</v>
      </c>
      <c r="B471">
        <v>60</v>
      </c>
      <c r="C471">
        <v>2</v>
      </c>
      <c r="D471">
        <v>6664</v>
      </c>
      <c r="E471">
        <f t="shared" si="32"/>
        <v>5</v>
      </c>
      <c r="F471">
        <f t="shared" si="33"/>
        <v>2</v>
      </c>
      <c r="G471">
        <f t="shared" si="34"/>
        <v>3</v>
      </c>
      <c r="H471">
        <f t="shared" si="35"/>
        <v>523</v>
      </c>
    </row>
    <row r="472" spans="1:8" x14ac:dyDescent="0.55000000000000004">
      <c r="A472" s="6">
        <v>4.2015316285946138E+18</v>
      </c>
      <c r="B472">
        <v>250</v>
      </c>
      <c r="C472">
        <v>2</v>
      </c>
      <c r="D472">
        <v>9554</v>
      </c>
      <c r="E472">
        <f t="shared" si="32"/>
        <v>5</v>
      </c>
      <c r="F472">
        <f t="shared" si="33"/>
        <v>2</v>
      </c>
      <c r="G472">
        <f t="shared" si="34"/>
        <v>3</v>
      </c>
      <c r="H472">
        <f t="shared" si="35"/>
        <v>523</v>
      </c>
    </row>
    <row r="473" spans="1:8" x14ac:dyDescent="0.55000000000000004">
      <c r="A473" s="6">
        <v>4.20500913241359E+18</v>
      </c>
      <c r="B473">
        <v>745</v>
      </c>
      <c r="C473">
        <v>1</v>
      </c>
      <c r="D473">
        <v>204</v>
      </c>
      <c r="E473">
        <f t="shared" si="32"/>
        <v>3</v>
      </c>
      <c r="F473">
        <f t="shared" si="33"/>
        <v>1</v>
      </c>
      <c r="G473">
        <f t="shared" si="34"/>
        <v>1</v>
      </c>
      <c r="H473">
        <f t="shared" si="35"/>
        <v>311</v>
      </c>
    </row>
    <row r="474" spans="1:8" x14ac:dyDescent="0.55000000000000004">
      <c r="A474" s="6">
        <v>4.212623568848788E+18</v>
      </c>
      <c r="B474">
        <v>434</v>
      </c>
      <c r="C474">
        <v>1</v>
      </c>
      <c r="D474">
        <v>110</v>
      </c>
      <c r="E474">
        <f t="shared" si="32"/>
        <v>4</v>
      </c>
      <c r="F474">
        <f t="shared" si="33"/>
        <v>1</v>
      </c>
      <c r="G474">
        <f t="shared" si="34"/>
        <v>1</v>
      </c>
      <c r="H474">
        <f t="shared" si="35"/>
        <v>411</v>
      </c>
    </row>
    <row r="475" spans="1:8" x14ac:dyDescent="0.55000000000000004">
      <c r="A475" s="6">
        <v>4.2159826876365911E+18</v>
      </c>
      <c r="B475">
        <v>515</v>
      </c>
      <c r="C475">
        <v>1</v>
      </c>
      <c r="D475">
        <v>6.1</v>
      </c>
      <c r="E475">
        <f t="shared" si="32"/>
        <v>4</v>
      </c>
      <c r="F475">
        <f t="shared" si="33"/>
        <v>1</v>
      </c>
      <c r="G475">
        <f t="shared" si="34"/>
        <v>1</v>
      </c>
      <c r="H475">
        <f t="shared" si="35"/>
        <v>411</v>
      </c>
    </row>
    <row r="476" spans="1:8" x14ac:dyDescent="0.55000000000000004">
      <c r="A476" s="6">
        <v>4.2177726099247478E+18</v>
      </c>
      <c r="B476">
        <v>658</v>
      </c>
      <c r="C476">
        <v>1</v>
      </c>
      <c r="D476">
        <v>1485</v>
      </c>
      <c r="E476">
        <f t="shared" si="32"/>
        <v>3</v>
      </c>
      <c r="F476">
        <f t="shared" si="33"/>
        <v>1</v>
      </c>
      <c r="G476">
        <f t="shared" si="34"/>
        <v>2</v>
      </c>
      <c r="H476">
        <f t="shared" si="35"/>
        <v>312</v>
      </c>
    </row>
    <row r="477" spans="1:8" x14ac:dyDescent="0.55000000000000004">
      <c r="A477" s="6">
        <v>4.2265606458392428E+18</v>
      </c>
      <c r="B477">
        <v>175</v>
      </c>
      <c r="C477">
        <v>3</v>
      </c>
      <c r="D477">
        <v>20183</v>
      </c>
      <c r="E477">
        <f t="shared" si="32"/>
        <v>5</v>
      </c>
      <c r="F477">
        <f t="shared" si="33"/>
        <v>3</v>
      </c>
      <c r="G477">
        <f t="shared" si="34"/>
        <v>3</v>
      </c>
      <c r="H477">
        <f t="shared" si="35"/>
        <v>533</v>
      </c>
    </row>
    <row r="478" spans="1:8" x14ac:dyDescent="0.55000000000000004">
      <c r="A478" s="6">
        <v>4.2320153372283551E+18</v>
      </c>
      <c r="B478">
        <v>536</v>
      </c>
      <c r="C478">
        <v>1</v>
      </c>
      <c r="D478">
        <v>889</v>
      </c>
      <c r="E478">
        <f t="shared" si="32"/>
        <v>4</v>
      </c>
      <c r="F478">
        <f t="shared" si="33"/>
        <v>1</v>
      </c>
      <c r="G478">
        <f t="shared" si="34"/>
        <v>2</v>
      </c>
      <c r="H478">
        <f t="shared" si="35"/>
        <v>412</v>
      </c>
    </row>
    <row r="479" spans="1:8" x14ac:dyDescent="0.55000000000000004">
      <c r="A479" s="6">
        <v>4.2380513788323712E+18</v>
      </c>
      <c r="B479">
        <v>114</v>
      </c>
      <c r="C479">
        <v>1</v>
      </c>
      <c r="D479">
        <v>790</v>
      </c>
      <c r="E479">
        <f t="shared" si="32"/>
        <v>5</v>
      </c>
      <c r="F479">
        <f t="shared" si="33"/>
        <v>1</v>
      </c>
      <c r="G479">
        <f t="shared" si="34"/>
        <v>2</v>
      </c>
      <c r="H479">
        <f t="shared" si="35"/>
        <v>512</v>
      </c>
    </row>
    <row r="480" spans="1:8" x14ac:dyDescent="0.55000000000000004">
      <c r="A480" s="6">
        <v>4.2434207068438789E+18</v>
      </c>
      <c r="B480">
        <v>109</v>
      </c>
      <c r="C480">
        <v>1</v>
      </c>
      <c r="D480">
        <v>472</v>
      </c>
      <c r="E480">
        <f t="shared" si="32"/>
        <v>5</v>
      </c>
      <c r="F480">
        <f t="shared" si="33"/>
        <v>1</v>
      </c>
      <c r="G480">
        <f t="shared" si="34"/>
        <v>1</v>
      </c>
      <c r="H480">
        <f t="shared" si="35"/>
        <v>511</v>
      </c>
    </row>
    <row r="481" spans="1:8" x14ac:dyDescent="0.55000000000000004">
      <c r="A481" s="6">
        <v>4.2616684915424748E+18</v>
      </c>
      <c r="B481">
        <v>971</v>
      </c>
      <c r="C481">
        <v>1</v>
      </c>
      <c r="D481">
        <v>156</v>
      </c>
      <c r="E481">
        <f t="shared" si="32"/>
        <v>2</v>
      </c>
      <c r="F481">
        <f t="shared" si="33"/>
        <v>1</v>
      </c>
      <c r="G481">
        <f t="shared" si="34"/>
        <v>1</v>
      </c>
      <c r="H481">
        <f t="shared" si="35"/>
        <v>211</v>
      </c>
    </row>
    <row r="482" spans="1:8" x14ac:dyDescent="0.55000000000000004">
      <c r="A482" s="6">
        <v>4.2618102748152248E+18</v>
      </c>
      <c r="B482">
        <v>39</v>
      </c>
      <c r="C482">
        <v>3</v>
      </c>
      <c r="D482">
        <v>3986</v>
      </c>
      <c r="E482">
        <f t="shared" si="32"/>
        <v>5</v>
      </c>
      <c r="F482">
        <f t="shared" si="33"/>
        <v>3</v>
      </c>
      <c r="G482">
        <f t="shared" si="34"/>
        <v>3</v>
      </c>
      <c r="H482">
        <f t="shared" si="35"/>
        <v>533</v>
      </c>
    </row>
    <row r="483" spans="1:8" x14ac:dyDescent="0.55000000000000004">
      <c r="A483" s="6">
        <v>4.2650534554014602E+18</v>
      </c>
      <c r="B483">
        <v>439</v>
      </c>
      <c r="C483">
        <v>1</v>
      </c>
      <c r="D483">
        <v>65</v>
      </c>
      <c r="E483">
        <f t="shared" si="32"/>
        <v>4</v>
      </c>
      <c r="F483">
        <f t="shared" si="33"/>
        <v>1</v>
      </c>
      <c r="G483">
        <f t="shared" si="34"/>
        <v>1</v>
      </c>
      <c r="H483">
        <f t="shared" si="35"/>
        <v>411</v>
      </c>
    </row>
    <row r="484" spans="1:8" x14ac:dyDescent="0.55000000000000004">
      <c r="A484" s="6">
        <v>4.2667909490277059E+18</v>
      </c>
      <c r="B484">
        <v>431</v>
      </c>
      <c r="C484">
        <v>4</v>
      </c>
      <c r="D484">
        <v>9207</v>
      </c>
      <c r="E484">
        <f t="shared" si="32"/>
        <v>4</v>
      </c>
      <c r="F484">
        <f t="shared" si="33"/>
        <v>3</v>
      </c>
      <c r="G484">
        <f t="shared" si="34"/>
        <v>3</v>
      </c>
      <c r="H484">
        <f t="shared" si="35"/>
        <v>433</v>
      </c>
    </row>
    <row r="485" spans="1:8" x14ac:dyDescent="0.55000000000000004">
      <c r="A485" s="6">
        <v>4.2728264437008538E+18</v>
      </c>
      <c r="B485">
        <v>148</v>
      </c>
      <c r="C485">
        <v>5</v>
      </c>
      <c r="D485">
        <v>2762</v>
      </c>
      <c r="E485">
        <f t="shared" si="32"/>
        <v>5</v>
      </c>
      <c r="F485">
        <f t="shared" si="33"/>
        <v>3</v>
      </c>
      <c r="G485">
        <f t="shared" si="34"/>
        <v>3</v>
      </c>
      <c r="H485">
        <f t="shared" si="35"/>
        <v>533</v>
      </c>
    </row>
    <row r="486" spans="1:8" x14ac:dyDescent="0.55000000000000004">
      <c r="A486" s="6">
        <v>4.2881579349642619E+18</v>
      </c>
      <c r="B486">
        <v>1346</v>
      </c>
      <c r="C486">
        <v>1</v>
      </c>
      <c r="D486">
        <v>279</v>
      </c>
      <c r="E486">
        <f t="shared" si="32"/>
        <v>1</v>
      </c>
      <c r="F486">
        <f t="shared" si="33"/>
        <v>1</v>
      </c>
      <c r="G486">
        <f t="shared" si="34"/>
        <v>1</v>
      </c>
      <c r="H486">
        <f t="shared" si="35"/>
        <v>111</v>
      </c>
    </row>
    <row r="487" spans="1:8" x14ac:dyDescent="0.55000000000000004">
      <c r="A487" s="6">
        <v>4.29177626358705E+18</v>
      </c>
      <c r="B487">
        <v>107</v>
      </c>
      <c r="C487">
        <v>2</v>
      </c>
      <c r="D487">
        <v>2252</v>
      </c>
      <c r="E487">
        <f t="shared" si="32"/>
        <v>5</v>
      </c>
      <c r="F487">
        <f t="shared" si="33"/>
        <v>2</v>
      </c>
      <c r="G487">
        <f t="shared" si="34"/>
        <v>3</v>
      </c>
      <c r="H487">
        <f t="shared" si="35"/>
        <v>523</v>
      </c>
    </row>
    <row r="488" spans="1:8" x14ac:dyDescent="0.55000000000000004">
      <c r="A488" s="6">
        <v>4.3136611516126039E+18</v>
      </c>
      <c r="B488">
        <v>165</v>
      </c>
      <c r="C488">
        <v>2</v>
      </c>
      <c r="D488">
        <v>11426</v>
      </c>
      <c r="E488">
        <f t="shared" si="32"/>
        <v>5</v>
      </c>
      <c r="F488">
        <f t="shared" si="33"/>
        <v>2</v>
      </c>
      <c r="G488">
        <f t="shared" si="34"/>
        <v>3</v>
      </c>
      <c r="H488">
        <f t="shared" si="35"/>
        <v>523</v>
      </c>
    </row>
    <row r="489" spans="1:8" x14ac:dyDescent="0.55000000000000004">
      <c r="A489" s="6">
        <v>4.3270255639258972E+18</v>
      </c>
      <c r="B489">
        <v>525</v>
      </c>
      <c r="C489">
        <v>3</v>
      </c>
      <c r="D489">
        <v>3985</v>
      </c>
      <c r="E489">
        <f t="shared" si="32"/>
        <v>4</v>
      </c>
      <c r="F489">
        <f t="shared" si="33"/>
        <v>3</v>
      </c>
      <c r="G489">
        <f t="shared" si="34"/>
        <v>3</v>
      </c>
      <c r="H489">
        <f t="shared" si="35"/>
        <v>433</v>
      </c>
    </row>
    <row r="490" spans="1:8" x14ac:dyDescent="0.55000000000000004">
      <c r="A490" s="6">
        <v>4.3463733059550648E+18</v>
      </c>
      <c r="B490">
        <v>810</v>
      </c>
      <c r="C490">
        <v>1</v>
      </c>
      <c r="D490">
        <v>245</v>
      </c>
      <c r="E490">
        <f t="shared" si="32"/>
        <v>3</v>
      </c>
      <c r="F490">
        <f t="shared" si="33"/>
        <v>1</v>
      </c>
      <c r="G490">
        <f t="shared" si="34"/>
        <v>1</v>
      </c>
      <c r="H490">
        <f t="shared" si="35"/>
        <v>311</v>
      </c>
    </row>
    <row r="491" spans="1:8" x14ac:dyDescent="0.55000000000000004">
      <c r="A491" s="6">
        <v>4.3544470910002161E+18</v>
      </c>
      <c r="B491">
        <v>962</v>
      </c>
      <c r="C491">
        <v>1</v>
      </c>
      <c r="D491">
        <v>7500</v>
      </c>
      <c r="E491">
        <f t="shared" si="32"/>
        <v>2</v>
      </c>
      <c r="F491">
        <f t="shared" si="33"/>
        <v>1</v>
      </c>
      <c r="G491">
        <f t="shared" si="34"/>
        <v>3</v>
      </c>
      <c r="H491">
        <f t="shared" si="35"/>
        <v>213</v>
      </c>
    </row>
    <row r="492" spans="1:8" x14ac:dyDescent="0.55000000000000004">
      <c r="A492" s="6">
        <v>4.3720849680859843E+18</v>
      </c>
      <c r="B492">
        <v>1236</v>
      </c>
      <c r="C492">
        <v>1</v>
      </c>
      <c r="D492">
        <v>430</v>
      </c>
      <c r="E492">
        <f t="shared" si="32"/>
        <v>1</v>
      </c>
      <c r="F492">
        <f t="shared" si="33"/>
        <v>1</v>
      </c>
      <c r="G492">
        <f t="shared" si="34"/>
        <v>1</v>
      </c>
      <c r="H492">
        <f t="shared" si="35"/>
        <v>111</v>
      </c>
    </row>
    <row r="493" spans="1:8" x14ac:dyDescent="0.55000000000000004">
      <c r="A493" s="6">
        <v>4.3785163421245199E+18</v>
      </c>
      <c r="B493">
        <v>200</v>
      </c>
      <c r="C493">
        <v>1</v>
      </c>
      <c r="D493">
        <v>1468</v>
      </c>
      <c r="E493">
        <f t="shared" si="32"/>
        <v>5</v>
      </c>
      <c r="F493">
        <f t="shared" si="33"/>
        <v>1</v>
      </c>
      <c r="G493">
        <f t="shared" si="34"/>
        <v>2</v>
      </c>
      <c r="H493">
        <f t="shared" si="35"/>
        <v>512</v>
      </c>
    </row>
    <row r="494" spans="1:8" x14ac:dyDescent="0.55000000000000004">
      <c r="A494" s="6">
        <v>4.3842148892131758E+18</v>
      </c>
      <c r="B494">
        <v>1211</v>
      </c>
      <c r="C494">
        <v>1</v>
      </c>
      <c r="D494">
        <v>126</v>
      </c>
      <c r="E494">
        <f t="shared" si="32"/>
        <v>1</v>
      </c>
      <c r="F494">
        <f t="shared" si="33"/>
        <v>1</v>
      </c>
      <c r="G494">
        <f t="shared" si="34"/>
        <v>1</v>
      </c>
      <c r="H494">
        <f t="shared" si="35"/>
        <v>111</v>
      </c>
    </row>
    <row r="495" spans="1:8" x14ac:dyDescent="0.55000000000000004">
      <c r="A495" s="6">
        <v>4.3920295187112781E+18</v>
      </c>
      <c r="B495">
        <v>178</v>
      </c>
      <c r="C495">
        <v>1</v>
      </c>
      <c r="D495">
        <v>1150</v>
      </c>
      <c r="E495">
        <f t="shared" si="32"/>
        <v>5</v>
      </c>
      <c r="F495">
        <f t="shared" si="33"/>
        <v>1</v>
      </c>
      <c r="G495">
        <f t="shared" si="34"/>
        <v>2</v>
      </c>
      <c r="H495">
        <f t="shared" si="35"/>
        <v>512</v>
      </c>
    </row>
    <row r="496" spans="1:8" x14ac:dyDescent="0.55000000000000004">
      <c r="A496" s="6">
        <v>4.3931228336396959E+18</v>
      </c>
      <c r="B496">
        <v>145</v>
      </c>
      <c r="C496">
        <v>2</v>
      </c>
      <c r="D496">
        <v>4257</v>
      </c>
      <c r="E496">
        <f t="shared" si="32"/>
        <v>5</v>
      </c>
      <c r="F496">
        <f t="shared" si="33"/>
        <v>2</v>
      </c>
      <c r="G496">
        <f t="shared" si="34"/>
        <v>3</v>
      </c>
      <c r="H496">
        <f t="shared" si="35"/>
        <v>523</v>
      </c>
    </row>
    <row r="497" spans="1:8" x14ac:dyDescent="0.55000000000000004">
      <c r="A497" s="6">
        <v>4.4002765809907272E+18</v>
      </c>
      <c r="B497">
        <v>983</v>
      </c>
      <c r="C497">
        <v>1</v>
      </c>
      <c r="D497">
        <v>1696</v>
      </c>
      <c r="E497">
        <f t="shared" si="32"/>
        <v>2</v>
      </c>
      <c r="F497">
        <f t="shared" si="33"/>
        <v>1</v>
      </c>
      <c r="G497">
        <f t="shared" si="34"/>
        <v>2</v>
      </c>
      <c r="H497">
        <f t="shared" si="35"/>
        <v>212</v>
      </c>
    </row>
    <row r="498" spans="1:8" x14ac:dyDescent="0.55000000000000004">
      <c r="A498" s="6">
        <v>4.4233063623482399E+18</v>
      </c>
      <c r="B498">
        <v>297</v>
      </c>
      <c r="C498">
        <v>1</v>
      </c>
      <c r="D498">
        <v>523</v>
      </c>
      <c r="E498">
        <f t="shared" si="32"/>
        <v>4</v>
      </c>
      <c r="F498">
        <f t="shared" si="33"/>
        <v>1</v>
      </c>
      <c r="G498">
        <f t="shared" si="34"/>
        <v>1</v>
      </c>
      <c r="H498">
        <f t="shared" si="35"/>
        <v>411</v>
      </c>
    </row>
    <row r="499" spans="1:8" x14ac:dyDescent="0.55000000000000004">
      <c r="A499" s="6">
        <v>4.4246172807612518E+18</v>
      </c>
      <c r="B499">
        <v>667</v>
      </c>
      <c r="C499">
        <v>1</v>
      </c>
      <c r="D499">
        <v>530</v>
      </c>
      <c r="E499">
        <f t="shared" si="32"/>
        <v>3</v>
      </c>
      <c r="F499">
        <f t="shared" si="33"/>
        <v>1</v>
      </c>
      <c r="G499">
        <f t="shared" si="34"/>
        <v>1</v>
      </c>
      <c r="H499">
        <f t="shared" si="35"/>
        <v>311</v>
      </c>
    </row>
    <row r="500" spans="1:8" x14ac:dyDescent="0.55000000000000004">
      <c r="A500" s="6">
        <v>4.4418718641919068E+18</v>
      </c>
      <c r="B500">
        <v>19</v>
      </c>
      <c r="C500">
        <v>3</v>
      </c>
      <c r="D500">
        <v>2699</v>
      </c>
      <c r="E500">
        <f t="shared" si="32"/>
        <v>5</v>
      </c>
      <c r="F500">
        <f t="shared" si="33"/>
        <v>3</v>
      </c>
      <c r="G500">
        <f t="shared" si="34"/>
        <v>3</v>
      </c>
      <c r="H500">
        <f t="shared" si="35"/>
        <v>533</v>
      </c>
    </row>
    <row r="501" spans="1:8" x14ac:dyDescent="0.55000000000000004">
      <c r="A501" s="6">
        <v>4.444326172685058E+18</v>
      </c>
      <c r="B501">
        <v>322</v>
      </c>
      <c r="C501">
        <v>1</v>
      </c>
      <c r="D501">
        <v>1790</v>
      </c>
      <c r="E501">
        <f t="shared" si="32"/>
        <v>4</v>
      </c>
      <c r="F501">
        <f t="shared" si="33"/>
        <v>1</v>
      </c>
      <c r="G501">
        <f t="shared" si="34"/>
        <v>2</v>
      </c>
      <c r="H501">
        <f t="shared" si="35"/>
        <v>412</v>
      </c>
    </row>
    <row r="502" spans="1:8" x14ac:dyDescent="0.55000000000000004">
      <c r="A502" s="6">
        <v>4.4937326221003612E+18</v>
      </c>
      <c r="B502">
        <v>221</v>
      </c>
      <c r="C502">
        <v>2</v>
      </c>
      <c r="D502">
        <v>276</v>
      </c>
      <c r="E502">
        <f t="shared" si="32"/>
        <v>5</v>
      </c>
      <c r="F502">
        <f t="shared" si="33"/>
        <v>2</v>
      </c>
      <c r="G502">
        <f t="shared" si="34"/>
        <v>1</v>
      </c>
      <c r="H502">
        <f t="shared" si="35"/>
        <v>521</v>
      </c>
    </row>
    <row r="503" spans="1:8" x14ac:dyDescent="0.55000000000000004">
      <c r="A503" s="6">
        <v>4.5106534982823552E+18</v>
      </c>
      <c r="B503">
        <v>279</v>
      </c>
      <c r="C503">
        <v>1</v>
      </c>
      <c r="D503">
        <v>128</v>
      </c>
      <c r="E503">
        <f t="shared" si="32"/>
        <v>5</v>
      </c>
      <c r="F503">
        <f t="shared" si="33"/>
        <v>1</v>
      </c>
      <c r="G503">
        <f t="shared" si="34"/>
        <v>1</v>
      </c>
      <c r="H503">
        <f t="shared" si="35"/>
        <v>511</v>
      </c>
    </row>
    <row r="504" spans="1:8" x14ac:dyDescent="0.55000000000000004">
      <c r="A504" s="6">
        <v>4.5250344827868918E+18</v>
      </c>
      <c r="B504">
        <v>70</v>
      </c>
      <c r="C504">
        <v>1</v>
      </c>
      <c r="D504">
        <v>2136</v>
      </c>
      <c r="E504">
        <f t="shared" si="32"/>
        <v>5</v>
      </c>
      <c r="F504">
        <f t="shared" si="33"/>
        <v>1</v>
      </c>
      <c r="G504">
        <f t="shared" si="34"/>
        <v>2</v>
      </c>
      <c r="H504">
        <f t="shared" si="35"/>
        <v>512</v>
      </c>
    </row>
    <row r="505" spans="1:8" x14ac:dyDescent="0.55000000000000004">
      <c r="A505" s="6">
        <v>4.5296498561153311E+18</v>
      </c>
      <c r="B505">
        <v>931</v>
      </c>
      <c r="C505">
        <v>1</v>
      </c>
      <c r="D505">
        <v>30</v>
      </c>
      <c r="E505">
        <f t="shared" si="32"/>
        <v>2</v>
      </c>
      <c r="F505">
        <f t="shared" si="33"/>
        <v>1</v>
      </c>
      <c r="G505">
        <f t="shared" si="34"/>
        <v>1</v>
      </c>
      <c r="H505">
        <f t="shared" si="35"/>
        <v>211</v>
      </c>
    </row>
    <row r="506" spans="1:8" x14ac:dyDescent="0.55000000000000004">
      <c r="A506" s="6">
        <v>4.5328982199816069E+18</v>
      </c>
      <c r="B506">
        <v>35</v>
      </c>
      <c r="C506">
        <v>3</v>
      </c>
      <c r="D506">
        <v>2341</v>
      </c>
      <c r="E506">
        <f t="shared" si="32"/>
        <v>5</v>
      </c>
      <c r="F506">
        <f t="shared" si="33"/>
        <v>3</v>
      </c>
      <c r="G506">
        <f t="shared" si="34"/>
        <v>3</v>
      </c>
      <c r="H506">
        <f t="shared" si="35"/>
        <v>533</v>
      </c>
    </row>
    <row r="507" spans="1:8" x14ac:dyDescent="0.55000000000000004">
      <c r="A507" s="6">
        <v>4.5593323890435702E+18</v>
      </c>
      <c r="B507">
        <v>808</v>
      </c>
      <c r="C507">
        <v>2</v>
      </c>
      <c r="D507">
        <v>1073</v>
      </c>
      <c r="E507">
        <f t="shared" si="32"/>
        <v>3</v>
      </c>
      <c r="F507">
        <f t="shared" si="33"/>
        <v>2</v>
      </c>
      <c r="G507">
        <f t="shared" si="34"/>
        <v>2</v>
      </c>
      <c r="H507">
        <f t="shared" si="35"/>
        <v>322</v>
      </c>
    </row>
    <row r="508" spans="1:8" x14ac:dyDescent="0.55000000000000004">
      <c r="A508" s="6">
        <v>4.5603436120477619E+18</v>
      </c>
      <c r="B508">
        <v>458</v>
      </c>
      <c r="C508">
        <v>1</v>
      </c>
      <c r="D508">
        <v>1288</v>
      </c>
      <c r="E508">
        <f t="shared" si="32"/>
        <v>4</v>
      </c>
      <c r="F508">
        <f t="shared" si="33"/>
        <v>1</v>
      </c>
      <c r="G508">
        <f t="shared" si="34"/>
        <v>2</v>
      </c>
      <c r="H508">
        <f t="shared" si="35"/>
        <v>412</v>
      </c>
    </row>
    <row r="509" spans="1:8" x14ac:dyDescent="0.55000000000000004">
      <c r="A509" s="6">
        <v>4.5624078666477901E+18</v>
      </c>
      <c r="B509">
        <v>324</v>
      </c>
      <c r="C509">
        <v>1</v>
      </c>
      <c r="D509">
        <v>1096</v>
      </c>
      <c r="E509">
        <f t="shared" si="32"/>
        <v>4</v>
      </c>
      <c r="F509">
        <f t="shared" si="33"/>
        <v>1</v>
      </c>
      <c r="G509">
        <f t="shared" si="34"/>
        <v>2</v>
      </c>
      <c r="H509">
        <f t="shared" si="35"/>
        <v>412</v>
      </c>
    </row>
    <row r="510" spans="1:8" x14ac:dyDescent="0.55000000000000004">
      <c r="A510" s="6">
        <v>4.574168725778793E+18</v>
      </c>
      <c r="B510">
        <v>898</v>
      </c>
      <c r="C510">
        <v>1</v>
      </c>
      <c r="D510">
        <v>1560</v>
      </c>
      <c r="E510">
        <f t="shared" si="32"/>
        <v>2</v>
      </c>
      <c r="F510">
        <f t="shared" si="33"/>
        <v>1</v>
      </c>
      <c r="G510">
        <f t="shared" si="34"/>
        <v>2</v>
      </c>
      <c r="H510">
        <f t="shared" si="35"/>
        <v>212</v>
      </c>
    </row>
    <row r="511" spans="1:8" x14ac:dyDescent="0.55000000000000004">
      <c r="A511" s="6">
        <v>4.5794481710770079E+18</v>
      </c>
      <c r="B511">
        <v>754</v>
      </c>
      <c r="C511">
        <v>1</v>
      </c>
      <c r="D511">
        <v>2440</v>
      </c>
      <c r="E511">
        <f t="shared" si="32"/>
        <v>3</v>
      </c>
      <c r="F511">
        <f t="shared" si="33"/>
        <v>1</v>
      </c>
      <c r="G511">
        <f t="shared" si="34"/>
        <v>3</v>
      </c>
      <c r="H511">
        <f t="shared" si="35"/>
        <v>313</v>
      </c>
    </row>
    <row r="512" spans="1:8" x14ac:dyDescent="0.55000000000000004">
      <c r="A512" s="6">
        <v>4.5868176532588631E+18</v>
      </c>
      <c r="B512">
        <v>1291</v>
      </c>
      <c r="C512">
        <v>1</v>
      </c>
      <c r="D512">
        <v>309</v>
      </c>
      <c r="E512">
        <f t="shared" si="32"/>
        <v>1</v>
      </c>
      <c r="F512">
        <f t="shared" si="33"/>
        <v>1</v>
      </c>
      <c r="G512">
        <f t="shared" si="34"/>
        <v>1</v>
      </c>
      <c r="H512">
        <f t="shared" si="35"/>
        <v>111</v>
      </c>
    </row>
    <row r="513" spans="1:8" x14ac:dyDescent="0.55000000000000004">
      <c r="A513" s="6">
        <v>4.59109007896557E+18</v>
      </c>
      <c r="B513">
        <v>781</v>
      </c>
      <c r="C513">
        <v>1</v>
      </c>
      <c r="D513">
        <v>356</v>
      </c>
      <c r="E513">
        <f t="shared" si="32"/>
        <v>3</v>
      </c>
      <c r="F513">
        <f t="shared" si="33"/>
        <v>1</v>
      </c>
      <c r="G513">
        <f t="shared" si="34"/>
        <v>1</v>
      </c>
      <c r="H513">
        <f t="shared" si="35"/>
        <v>311</v>
      </c>
    </row>
    <row r="514" spans="1:8" x14ac:dyDescent="0.55000000000000004">
      <c r="A514" s="6">
        <v>4.5930178229070321E+18</v>
      </c>
      <c r="B514">
        <v>260</v>
      </c>
      <c r="C514">
        <v>1</v>
      </c>
      <c r="D514">
        <v>338</v>
      </c>
      <c r="E514">
        <f t="shared" si="32"/>
        <v>5</v>
      </c>
      <c r="F514">
        <f t="shared" si="33"/>
        <v>1</v>
      </c>
      <c r="G514">
        <f t="shared" si="34"/>
        <v>1</v>
      </c>
      <c r="H514">
        <f t="shared" si="35"/>
        <v>511</v>
      </c>
    </row>
    <row r="515" spans="1:8" x14ac:dyDescent="0.55000000000000004">
      <c r="A515" s="6">
        <v>4.5992564956347039E+18</v>
      </c>
      <c r="B515">
        <v>819</v>
      </c>
      <c r="C515">
        <v>1</v>
      </c>
      <c r="D515">
        <v>691</v>
      </c>
      <c r="E515">
        <f t="shared" ref="E515:E578" si="36">VLOOKUP(B515,$K$5:$L$9,2,1)</f>
        <v>3</v>
      </c>
      <c r="F515">
        <f t="shared" ref="F515:F578" si="37">VLOOKUP(C515,$K$15:$L$17,2,1)</f>
        <v>1</v>
      </c>
      <c r="G515">
        <f t="shared" ref="G515:G578" si="38">VLOOKUP(D515,$K$24:$L$26,2,1)</f>
        <v>2</v>
      </c>
      <c r="H515">
        <f t="shared" ref="H515:H578" si="39">E515*100+F515*10+G515</f>
        <v>312</v>
      </c>
    </row>
    <row r="516" spans="1:8" x14ac:dyDescent="0.55000000000000004">
      <c r="A516" s="6">
        <v>4.6112523702828739E+18</v>
      </c>
      <c r="B516">
        <v>154</v>
      </c>
      <c r="C516">
        <v>3</v>
      </c>
      <c r="D516">
        <v>4128</v>
      </c>
      <c r="E516">
        <f t="shared" si="36"/>
        <v>5</v>
      </c>
      <c r="F516">
        <f t="shared" si="37"/>
        <v>3</v>
      </c>
      <c r="G516">
        <f t="shared" si="38"/>
        <v>3</v>
      </c>
      <c r="H516">
        <f t="shared" si="39"/>
        <v>533</v>
      </c>
    </row>
    <row r="517" spans="1:8" x14ac:dyDescent="0.55000000000000004">
      <c r="A517" s="6">
        <v>4.6209190320835246E+18</v>
      </c>
      <c r="B517">
        <v>368</v>
      </c>
      <c r="C517">
        <v>1</v>
      </c>
      <c r="D517">
        <v>150</v>
      </c>
      <c r="E517">
        <f t="shared" si="36"/>
        <v>4</v>
      </c>
      <c r="F517">
        <f t="shared" si="37"/>
        <v>1</v>
      </c>
      <c r="G517">
        <f t="shared" si="38"/>
        <v>1</v>
      </c>
      <c r="H517">
        <f t="shared" si="39"/>
        <v>411</v>
      </c>
    </row>
    <row r="518" spans="1:8" x14ac:dyDescent="0.55000000000000004">
      <c r="A518" s="6">
        <v>4.6234128565641308E+18</v>
      </c>
      <c r="B518">
        <v>754</v>
      </c>
      <c r="C518">
        <v>1</v>
      </c>
      <c r="D518">
        <v>0</v>
      </c>
      <c r="E518">
        <f t="shared" si="36"/>
        <v>3</v>
      </c>
      <c r="F518">
        <f t="shared" si="37"/>
        <v>1</v>
      </c>
      <c r="G518">
        <f t="shared" si="38"/>
        <v>1</v>
      </c>
      <c r="H518">
        <f t="shared" si="39"/>
        <v>311</v>
      </c>
    </row>
    <row r="519" spans="1:8" x14ac:dyDescent="0.55000000000000004">
      <c r="A519" s="6">
        <v>4.6298459976987689E+18</v>
      </c>
      <c r="B519">
        <v>474</v>
      </c>
      <c r="C519">
        <v>2</v>
      </c>
      <c r="D519">
        <v>6921</v>
      </c>
      <c r="E519">
        <f t="shared" si="36"/>
        <v>4</v>
      </c>
      <c r="F519">
        <f t="shared" si="37"/>
        <v>2</v>
      </c>
      <c r="G519">
        <f t="shared" si="38"/>
        <v>3</v>
      </c>
      <c r="H519">
        <f t="shared" si="39"/>
        <v>423</v>
      </c>
    </row>
    <row r="520" spans="1:8" x14ac:dyDescent="0.55000000000000004">
      <c r="A520" s="6">
        <v>4.6557871521791642E+18</v>
      </c>
      <c r="B520">
        <v>714</v>
      </c>
      <c r="C520">
        <v>1</v>
      </c>
      <c r="D520">
        <v>351</v>
      </c>
      <c r="E520">
        <f t="shared" si="36"/>
        <v>3</v>
      </c>
      <c r="F520">
        <f t="shared" si="37"/>
        <v>1</v>
      </c>
      <c r="G520">
        <f t="shared" si="38"/>
        <v>1</v>
      </c>
      <c r="H520">
        <f t="shared" si="39"/>
        <v>311</v>
      </c>
    </row>
    <row r="521" spans="1:8" x14ac:dyDescent="0.55000000000000004">
      <c r="A521" s="6">
        <v>4.6570495975165635E+18</v>
      </c>
      <c r="B521">
        <v>114</v>
      </c>
      <c r="C521">
        <v>4</v>
      </c>
      <c r="D521">
        <v>2731</v>
      </c>
      <c r="E521">
        <f t="shared" si="36"/>
        <v>5</v>
      </c>
      <c r="F521">
        <f t="shared" si="37"/>
        <v>3</v>
      </c>
      <c r="G521">
        <f t="shared" si="38"/>
        <v>3</v>
      </c>
      <c r="H521">
        <f t="shared" si="39"/>
        <v>533</v>
      </c>
    </row>
    <row r="522" spans="1:8" x14ac:dyDescent="0.55000000000000004">
      <c r="A522" s="6">
        <v>4.6573412077654477E+18</v>
      </c>
      <c r="B522">
        <v>106</v>
      </c>
      <c r="C522">
        <v>2</v>
      </c>
      <c r="D522">
        <v>3555</v>
      </c>
      <c r="E522">
        <f t="shared" si="36"/>
        <v>5</v>
      </c>
      <c r="F522">
        <f t="shared" si="37"/>
        <v>2</v>
      </c>
      <c r="G522">
        <f t="shared" si="38"/>
        <v>3</v>
      </c>
      <c r="H522">
        <f t="shared" si="39"/>
        <v>523</v>
      </c>
    </row>
    <row r="523" spans="1:8" x14ac:dyDescent="0.55000000000000004">
      <c r="A523" s="6">
        <v>4.6670717563226644E+18</v>
      </c>
      <c r="B523">
        <v>232</v>
      </c>
      <c r="C523">
        <v>1</v>
      </c>
      <c r="D523">
        <v>190</v>
      </c>
      <c r="E523">
        <f t="shared" si="36"/>
        <v>5</v>
      </c>
      <c r="F523">
        <f t="shared" si="37"/>
        <v>1</v>
      </c>
      <c r="G523">
        <f t="shared" si="38"/>
        <v>1</v>
      </c>
      <c r="H523">
        <f t="shared" si="39"/>
        <v>511</v>
      </c>
    </row>
    <row r="524" spans="1:8" x14ac:dyDescent="0.55000000000000004">
      <c r="A524" s="6">
        <v>4.6672545530710835E+18</v>
      </c>
      <c r="B524">
        <v>405</v>
      </c>
      <c r="C524">
        <v>1</v>
      </c>
      <c r="D524">
        <v>18830</v>
      </c>
      <c r="E524">
        <f t="shared" si="36"/>
        <v>4</v>
      </c>
      <c r="F524">
        <f t="shared" si="37"/>
        <v>1</v>
      </c>
      <c r="G524">
        <f t="shared" si="38"/>
        <v>3</v>
      </c>
      <c r="H524">
        <f t="shared" si="39"/>
        <v>413</v>
      </c>
    </row>
    <row r="525" spans="1:8" x14ac:dyDescent="0.55000000000000004">
      <c r="A525" s="6">
        <v>4.6689134180160983E+18</v>
      </c>
      <c r="B525">
        <v>625</v>
      </c>
      <c r="C525">
        <v>1</v>
      </c>
      <c r="D525">
        <v>439</v>
      </c>
      <c r="E525">
        <f t="shared" si="36"/>
        <v>3</v>
      </c>
      <c r="F525">
        <f t="shared" si="37"/>
        <v>1</v>
      </c>
      <c r="G525">
        <f t="shared" si="38"/>
        <v>1</v>
      </c>
      <c r="H525">
        <f t="shared" si="39"/>
        <v>311</v>
      </c>
    </row>
    <row r="526" spans="1:8" x14ac:dyDescent="0.55000000000000004">
      <c r="A526" s="6">
        <v>4.6766047553752361E+18</v>
      </c>
      <c r="B526">
        <v>259</v>
      </c>
      <c r="C526">
        <v>1</v>
      </c>
      <c r="D526">
        <v>229</v>
      </c>
      <c r="E526">
        <f t="shared" si="36"/>
        <v>5</v>
      </c>
      <c r="F526">
        <f t="shared" si="37"/>
        <v>1</v>
      </c>
      <c r="G526">
        <f t="shared" si="38"/>
        <v>1</v>
      </c>
      <c r="H526">
        <f t="shared" si="39"/>
        <v>511</v>
      </c>
    </row>
    <row r="527" spans="1:8" x14ac:dyDescent="0.55000000000000004">
      <c r="A527" s="6">
        <v>4.697547200199851E+18</v>
      </c>
      <c r="B527">
        <v>1163</v>
      </c>
      <c r="C527">
        <v>1</v>
      </c>
      <c r="D527">
        <v>675</v>
      </c>
      <c r="E527">
        <f t="shared" si="36"/>
        <v>1</v>
      </c>
      <c r="F527">
        <f t="shared" si="37"/>
        <v>1</v>
      </c>
      <c r="G527">
        <f t="shared" si="38"/>
        <v>2</v>
      </c>
      <c r="H527">
        <f t="shared" si="39"/>
        <v>112</v>
      </c>
    </row>
    <row r="528" spans="1:8" x14ac:dyDescent="0.55000000000000004">
      <c r="A528" s="6">
        <v>4.6985115733452452E+18</v>
      </c>
      <c r="B528">
        <v>821</v>
      </c>
      <c r="C528">
        <v>1</v>
      </c>
      <c r="D528">
        <v>263</v>
      </c>
      <c r="E528">
        <f t="shared" si="36"/>
        <v>3</v>
      </c>
      <c r="F528">
        <f t="shared" si="37"/>
        <v>1</v>
      </c>
      <c r="G528">
        <f t="shared" si="38"/>
        <v>1</v>
      </c>
      <c r="H528">
        <f t="shared" si="39"/>
        <v>311</v>
      </c>
    </row>
    <row r="529" spans="1:8" x14ac:dyDescent="0.55000000000000004">
      <c r="A529" s="6">
        <v>4.7001543663819756E+18</v>
      </c>
      <c r="B529">
        <v>32</v>
      </c>
      <c r="C529">
        <v>2</v>
      </c>
      <c r="D529">
        <v>5700</v>
      </c>
      <c r="E529">
        <f t="shared" si="36"/>
        <v>5</v>
      </c>
      <c r="F529">
        <f t="shared" si="37"/>
        <v>2</v>
      </c>
      <c r="G529">
        <f t="shared" si="38"/>
        <v>3</v>
      </c>
      <c r="H529">
        <f t="shared" si="39"/>
        <v>523</v>
      </c>
    </row>
    <row r="530" spans="1:8" x14ac:dyDescent="0.55000000000000004">
      <c r="A530" s="6">
        <v>4.70051168024913E+18</v>
      </c>
      <c r="B530">
        <v>241</v>
      </c>
      <c r="C530">
        <v>1</v>
      </c>
      <c r="D530">
        <v>1107</v>
      </c>
      <c r="E530">
        <f t="shared" si="36"/>
        <v>5</v>
      </c>
      <c r="F530">
        <f t="shared" si="37"/>
        <v>1</v>
      </c>
      <c r="G530">
        <f t="shared" si="38"/>
        <v>2</v>
      </c>
      <c r="H530">
        <f t="shared" si="39"/>
        <v>512</v>
      </c>
    </row>
    <row r="531" spans="1:8" x14ac:dyDescent="0.55000000000000004">
      <c r="A531" s="6">
        <v>4.701188881007828E+18</v>
      </c>
      <c r="B531">
        <v>8</v>
      </c>
      <c r="C531">
        <v>2</v>
      </c>
      <c r="D531">
        <v>733</v>
      </c>
      <c r="E531">
        <f t="shared" si="36"/>
        <v>5</v>
      </c>
      <c r="F531">
        <f t="shared" si="37"/>
        <v>2</v>
      </c>
      <c r="G531">
        <f t="shared" si="38"/>
        <v>2</v>
      </c>
      <c r="H531">
        <f t="shared" si="39"/>
        <v>522</v>
      </c>
    </row>
    <row r="532" spans="1:8" x14ac:dyDescent="0.55000000000000004">
      <c r="A532" s="6">
        <v>4.7091732041371331E+18</v>
      </c>
      <c r="B532">
        <v>766</v>
      </c>
      <c r="C532">
        <v>1</v>
      </c>
      <c r="D532">
        <v>602</v>
      </c>
      <c r="E532">
        <f t="shared" si="36"/>
        <v>3</v>
      </c>
      <c r="F532">
        <f t="shared" si="37"/>
        <v>1</v>
      </c>
      <c r="G532">
        <f t="shared" si="38"/>
        <v>1</v>
      </c>
      <c r="H532">
        <f t="shared" si="39"/>
        <v>311</v>
      </c>
    </row>
    <row r="533" spans="1:8" x14ac:dyDescent="0.55000000000000004">
      <c r="A533" s="6">
        <v>4.7091871911527956E+18</v>
      </c>
      <c r="B533">
        <v>1371</v>
      </c>
      <c r="C533">
        <v>1</v>
      </c>
      <c r="D533">
        <v>618</v>
      </c>
      <c r="E533">
        <f t="shared" si="36"/>
        <v>1</v>
      </c>
      <c r="F533">
        <f t="shared" si="37"/>
        <v>1</v>
      </c>
      <c r="G533">
        <f t="shared" si="38"/>
        <v>1</v>
      </c>
      <c r="H533">
        <f t="shared" si="39"/>
        <v>111</v>
      </c>
    </row>
    <row r="534" spans="1:8" x14ac:dyDescent="0.55000000000000004">
      <c r="A534" s="6">
        <v>4.7105125673545073E+18</v>
      </c>
      <c r="B534">
        <v>580</v>
      </c>
      <c r="C534">
        <v>1</v>
      </c>
      <c r="D534">
        <v>12720</v>
      </c>
      <c r="E534">
        <f t="shared" si="36"/>
        <v>3</v>
      </c>
      <c r="F534">
        <f t="shared" si="37"/>
        <v>1</v>
      </c>
      <c r="G534">
        <f t="shared" si="38"/>
        <v>3</v>
      </c>
      <c r="H534">
        <f t="shared" si="39"/>
        <v>313</v>
      </c>
    </row>
    <row r="535" spans="1:8" x14ac:dyDescent="0.55000000000000004">
      <c r="A535" s="6">
        <v>4.7122757145817979E+18</v>
      </c>
      <c r="B535">
        <v>338</v>
      </c>
      <c r="C535">
        <v>1</v>
      </c>
      <c r="D535">
        <v>226</v>
      </c>
      <c r="E535">
        <f t="shared" si="36"/>
        <v>4</v>
      </c>
      <c r="F535">
        <f t="shared" si="37"/>
        <v>1</v>
      </c>
      <c r="G535">
        <f t="shared" si="38"/>
        <v>1</v>
      </c>
      <c r="H535">
        <f t="shared" si="39"/>
        <v>411</v>
      </c>
    </row>
    <row r="536" spans="1:8" x14ac:dyDescent="0.55000000000000004">
      <c r="A536" s="6">
        <v>4.7348287336815247E+18</v>
      </c>
      <c r="B536">
        <v>273</v>
      </c>
      <c r="C536">
        <v>1</v>
      </c>
      <c r="D536">
        <v>342</v>
      </c>
      <c r="E536">
        <f t="shared" si="36"/>
        <v>5</v>
      </c>
      <c r="F536">
        <f t="shared" si="37"/>
        <v>1</v>
      </c>
      <c r="G536">
        <f t="shared" si="38"/>
        <v>1</v>
      </c>
      <c r="H536">
        <f t="shared" si="39"/>
        <v>511</v>
      </c>
    </row>
    <row r="537" spans="1:8" x14ac:dyDescent="0.55000000000000004">
      <c r="A537" s="6">
        <v>4.7349804595272796E+18</v>
      </c>
      <c r="B537">
        <v>25</v>
      </c>
      <c r="C537">
        <v>1</v>
      </c>
      <c r="D537">
        <v>890</v>
      </c>
      <c r="E537">
        <f t="shared" si="36"/>
        <v>5</v>
      </c>
      <c r="F537">
        <f t="shared" si="37"/>
        <v>1</v>
      </c>
      <c r="G537">
        <f t="shared" si="38"/>
        <v>2</v>
      </c>
      <c r="H537">
        <f t="shared" si="39"/>
        <v>512</v>
      </c>
    </row>
    <row r="538" spans="1:8" x14ac:dyDescent="0.55000000000000004">
      <c r="A538" s="6">
        <v>4.7450770801101681E+18</v>
      </c>
      <c r="B538">
        <v>158</v>
      </c>
      <c r="C538">
        <v>1</v>
      </c>
      <c r="D538">
        <v>7137</v>
      </c>
      <c r="E538">
        <f t="shared" si="36"/>
        <v>5</v>
      </c>
      <c r="F538">
        <f t="shared" si="37"/>
        <v>1</v>
      </c>
      <c r="G538">
        <f t="shared" si="38"/>
        <v>3</v>
      </c>
      <c r="H538">
        <f t="shared" si="39"/>
        <v>513</v>
      </c>
    </row>
    <row r="539" spans="1:8" x14ac:dyDescent="0.55000000000000004">
      <c r="A539" s="6">
        <v>4.7497946326800097E+18</v>
      </c>
      <c r="B539">
        <v>28</v>
      </c>
      <c r="C539">
        <v>3</v>
      </c>
      <c r="D539">
        <v>3778</v>
      </c>
      <c r="E539">
        <f t="shared" si="36"/>
        <v>5</v>
      </c>
      <c r="F539">
        <f t="shared" si="37"/>
        <v>3</v>
      </c>
      <c r="G539">
        <f t="shared" si="38"/>
        <v>3</v>
      </c>
      <c r="H539">
        <f t="shared" si="39"/>
        <v>533</v>
      </c>
    </row>
    <row r="540" spans="1:8" x14ac:dyDescent="0.55000000000000004">
      <c r="A540" s="6">
        <v>4.7695004862084803E+18</v>
      </c>
      <c r="B540">
        <v>70</v>
      </c>
      <c r="C540">
        <v>2</v>
      </c>
      <c r="D540">
        <v>882</v>
      </c>
      <c r="E540">
        <f t="shared" si="36"/>
        <v>5</v>
      </c>
      <c r="F540">
        <f t="shared" si="37"/>
        <v>2</v>
      </c>
      <c r="G540">
        <f t="shared" si="38"/>
        <v>2</v>
      </c>
      <c r="H540">
        <f t="shared" si="39"/>
        <v>522</v>
      </c>
    </row>
    <row r="541" spans="1:8" x14ac:dyDescent="0.55000000000000004">
      <c r="A541" s="6">
        <v>4.7695134222513848E+18</v>
      </c>
      <c r="B541">
        <v>728</v>
      </c>
      <c r="C541">
        <v>1</v>
      </c>
      <c r="D541">
        <v>2766</v>
      </c>
      <c r="E541">
        <f t="shared" si="36"/>
        <v>3</v>
      </c>
      <c r="F541">
        <f t="shared" si="37"/>
        <v>1</v>
      </c>
      <c r="G541">
        <f t="shared" si="38"/>
        <v>3</v>
      </c>
      <c r="H541">
        <f t="shared" si="39"/>
        <v>313</v>
      </c>
    </row>
    <row r="542" spans="1:8" x14ac:dyDescent="0.55000000000000004">
      <c r="A542" s="6">
        <v>4.7892406125369027E+18</v>
      </c>
      <c r="B542">
        <v>880</v>
      </c>
      <c r="C542">
        <v>2</v>
      </c>
      <c r="D542">
        <v>8553</v>
      </c>
      <c r="E542">
        <f t="shared" si="36"/>
        <v>2</v>
      </c>
      <c r="F542">
        <f t="shared" si="37"/>
        <v>2</v>
      </c>
      <c r="G542">
        <f t="shared" si="38"/>
        <v>3</v>
      </c>
      <c r="H542">
        <f t="shared" si="39"/>
        <v>223</v>
      </c>
    </row>
    <row r="543" spans="1:8" x14ac:dyDescent="0.55000000000000004">
      <c r="A543" s="6">
        <v>4.7894399729084293E+18</v>
      </c>
      <c r="B543">
        <v>208</v>
      </c>
      <c r="C543">
        <v>2</v>
      </c>
      <c r="D543">
        <v>2253</v>
      </c>
      <c r="E543">
        <f t="shared" si="36"/>
        <v>5</v>
      </c>
      <c r="F543">
        <f t="shared" si="37"/>
        <v>2</v>
      </c>
      <c r="G543">
        <f t="shared" si="38"/>
        <v>3</v>
      </c>
      <c r="H543">
        <f t="shared" si="39"/>
        <v>523</v>
      </c>
    </row>
    <row r="544" spans="1:8" x14ac:dyDescent="0.55000000000000004">
      <c r="A544" s="6">
        <v>4.7908905203526687E+18</v>
      </c>
      <c r="B544">
        <v>915</v>
      </c>
      <c r="C544">
        <v>1</v>
      </c>
      <c r="D544">
        <v>3912</v>
      </c>
      <c r="E544">
        <f t="shared" si="36"/>
        <v>2</v>
      </c>
      <c r="F544">
        <f t="shared" si="37"/>
        <v>1</v>
      </c>
      <c r="G544">
        <f t="shared" si="38"/>
        <v>3</v>
      </c>
      <c r="H544">
        <f t="shared" si="39"/>
        <v>213</v>
      </c>
    </row>
    <row r="545" spans="1:8" x14ac:dyDescent="0.55000000000000004">
      <c r="A545" s="6">
        <v>4.7913437573787628E+18</v>
      </c>
      <c r="B545">
        <v>449</v>
      </c>
      <c r="C545">
        <v>3</v>
      </c>
      <c r="D545">
        <v>3101</v>
      </c>
      <c r="E545">
        <f t="shared" si="36"/>
        <v>4</v>
      </c>
      <c r="F545">
        <f t="shared" si="37"/>
        <v>3</v>
      </c>
      <c r="G545">
        <f t="shared" si="38"/>
        <v>3</v>
      </c>
      <c r="H545">
        <f t="shared" si="39"/>
        <v>433</v>
      </c>
    </row>
    <row r="546" spans="1:8" x14ac:dyDescent="0.55000000000000004">
      <c r="A546" s="6">
        <v>4.7931904598988749E+18</v>
      </c>
      <c r="B546">
        <v>393</v>
      </c>
      <c r="C546">
        <v>1</v>
      </c>
      <c r="D546">
        <v>390</v>
      </c>
      <c r="E546">
        <f t="shared" si="36"/>
        <v>4</v>
      </c>
      <c r="F546">
        <f t="shared" si="37"/>
        <v>1</v>
      </c>
      <c r="G546">
        <f t="shared" si="38"/>
        <v>1</v>
      </c>
      <c r="H546">
        <f t="shared" si="39"/>
        <v>411</v>
      </c>
    </row>
    <row r="547" spans="1:8" x14ac:dyDescent="0.55000000000000004">
      <c r="A547" s="6">
        <v>4.7992098544701256E+18</v>
      </c>
      <c r="B547">
        <v>459</v>
      </c>
      <c r="C547">
        <v>3</v>
      </c>
      <c r="D547">
        <v>744</v>
      </c>
      <c r="E547">
        <f t="shared" si="36"/>
        <v>4</v>
      </c>
      <c r="F547">
        <f t="shared" si="37"/>
        <v>3</v>
      </c>
      <c r="G547">
        <f t="shared" si="38"/>
        <v>2</v>
      </c>
      <c r="H547">
        <f t="shared" si="39"/>
        <v>432</v>
      </c>
    </row>
    <row r="548" spans="1:8" x14ac:dyDescent="0.55000000000000004">
      <c r="A548" s="6">
        <v>4.8196819098361508E+18</v>
      </c>
      <c r="B548">
        <v>283</v>
      </c>
      <c r="C548">
        <v>2</v>
      </c>
      <c r="D548">
        <v>557</v>
      </c>
      <c r="E548">
        <f t="shared" si="36"/>
        <v>5</v>
      </c>
      <c r="F548">
        <f t="shared" si="37"/>
        <v>2</v>
      </c>
      <c r="G548">
        <f t="shared" si="38"/>
        <v>1</v>
      </c>
      <c r="H548">
        <f t="shared" si="39"/>
        <v>521</v>
      </c>
    </row>
    <row r="549" spans="1:8" x14ac:dyDescent="0.55000000000000004">
      <c r="A549" s="6">
        <v>4.8202440816167782E+18</v>
      </c>
      <c r="B549">
        <v>74</v>
      </c>
      <c r="C549">
        <v>1</v>
      </c>
      <c r="D549">
        <v>1952</v>
      </c>
      <c r="E549">
        <f t="shared" si="36"/>
        <v>5</v>
      </c>
      <c r="F549">
        <f t="shared" si="37"/>
        <v>1</v>
      </c>
      <c r="G549">
        <f t="shared" si="38"/>
        <v>2</v>
      </c>
      <c r="H549">
        <f t="shared" si="39"/>
        <v>512</v>
      </c>
    </row>
    <row r="550" spans="1:8" x14ac:dyDescent="0.55000000000000004">
      <c r="A550" s="6">
        <v>4.8261840652299284E+18</v>
      </c>
      <c r="B550">
        <v>789</v>
      </c>
      <c r="C550">
        <v>1</v>
      </c>
      <c r="D550">
        <v>2905</v>
      </c>
      <c r="E550">
        <f t="shared" si="36"/>
        <v>3</v>
      </c>
      <c r="F550">
        <f t="shared" si="37"/>
        <v>1</v>
      </c>
      <c r="G550">
        <f t="shared" si="38"/>
        <v>3</v>
      </c>
      <c r="H550">
        <f t="shared" si="39"/>
        <v>313</v>
      </c>
    </row>
    <row r="551" spans="1:8" x14ac:dyDescent="0.55000000000000004">
      <c r="A551" s="6">
        <v>4.8261973668250235E+18</v>
      </c>
      <c r="B551">
        <v>615</v>
      </c>
      <c r="C551">
        <v>2</v>
      </c>
      <c r="D551">
        <v>186</v>
      </c>
      <c r="E551">
        <f t="shared" si="36"/>
        <v>3</v>
      </c>
      <c r="F551">
        <f t="shared" si="37"/>
        <v>2</v>
      </c>
      <c r="G551">
        <f t="shared" si="38"/>
        <v>1</v>
      </c>
      <c r="H551">
        <f t="shared" si="39"/>
        <v>321</v>
      </c>
    </row>
    <row r="552" spans="1:8" x14ac:dyDescent="0.55000000000000004">
      <c r="A552" s="6">
        <v>4.8279716963090606E+18</v>
      </c>
      <c r="B552">
        <v>137</v>
      </c>
      <c r="C552">
        <v>2</v>
      </c>
      <c r="D552">
        <v>1897</v>
      </c>
      <c r="E552">
        <f t="shared" si="36"/>
        <v>5</v>
      </c>
      <c r="F552">
        <f t="shared" si="37"/>
        <v>2</v>
      </c>
      <c r="G552">
        <f t="shared" si="38"/>
        <v>2</v>
      </c>
      <c r="H552">
        <f t="shared" si="39"/>
        <v>522</v>
      </c>
    </row>
    <row r="553" spans="1:8" x14ac:dyDescent="0.55000000000000004">
      <c r="A553" s="6">
        <v>4.8291584269761249E+18</v>
      </c>
      <c r="B553">
        <v>152</v>
      </c>
      <c r="C553">
        <v>2</v>
      </c>
      <c r="D553">
        <v>33245</v>
      </c>
      <c r="E553">
        <f t="shared" si="36"/>
        <v>5</v>
      </c>
      <c r="F553">
        <f t="shared" si="37"/>
        <v>2</v>
      </c>
      <c r="G553">
        <f t="shared" si="38"/>
        <v>3</v>
      </c>
      <c r="H553">
        <f t="shared" si="39"/>
        <v>523</v>
      </c>
    </row>
    <row r="554" spans="1:8" x14ac:dyDescent="0.55000000000000004">
      <c r="A554" s="6">
        <v>4.8303745034687304E+18</v>
      </c>
      <c r="B554">
        <v>435</v>
      </c>
      <c r="C554">
        <v>1</v>
      </c>
      <c r="D554">
        <v>299</v>
      </c>
      <c r="E554">
        <f t="shared" si="36"/>
        <v>4</v>
      </c>
      <c r="F554">
        <f t="shared" si="37"/>
        <v>1</v>
      </c>
      <c r="G554">
        <f t="shared" si="38"/>
        <v>1</v>
      </c>
      <c r="H554">
        <f t="shared" si="39"/>
        <v>411</v>
      </c>
    </row>
    <row r="555" spans="1:8" x14ac:dyDescent="0.55000000000000004">
      <c r="A555" s="6">
        <v>4.8320004813216389E+18</v>
      </c>
      <c r="B555">
        <v>98</v>
      </c>
      <c r="C555">
        <v>2</v>
      </c>
      <c r="D555">
        <v>2090</v>
      </c>
      <c r="E555">
        <f t="shared" si="36"/>
        <v>5</v>
      </c>
      <c r="F555">
        <f t="shared" si="37"/>
        <v>2</v>
      </c>
      <c r="G555">
        <f t="shared" si="38"/>
        <v>2</v>
      </c>
      <c r="H555">
        <f t="shared" si="39"/>
        <v>522</v>
      </c>
    </row>
    <row r="556" spans="1:8" x14ac:dyDescent="0.55000000000000004">
      <c r="A556" s="6">
        <v>4.8328095164550554E+18</v>
      </c>
      <c r="B556">
        <v>487</v>
      </c>
      <c r="C556">
        <v>2</v>
      </c>
      <c r="D556">
        <v>1227</v>
      </c>
      <c r="E556">
        <f t="shared" si="36"/>
        <v>4</v>
      </c>
      <c r="F556">
        <f t="shared" si="37"/>
        <v>2</v>
      </c>
      <c r="G556">
        <f t="shared" si="38"/>
        <v>2</v>
      </c>
      <c r="H556">
        <f t="shared" si="39"/>
        <v>422</v>
      </c>
    </row>
    <row r="557" spans="1:8" x14ac:dyDescent="0.55000000000000004">
      <c r="A557" s="6">
        <v>4.8366144911632036E+18</v>
      </c>
      <c r="B557">
        <v>140</v>
      </c>
      <c r="C557">
        <v>2</v>
      </c>
      <c r="D557">
        <v>3750</v>
      </c>
      <c r="E557">
        <f t="shared" si="36"/>
        <v>5</v>
      </c>
      <c r="F557">
        <f t="shared" si="37"/>
        <v>2</v>
      </c>
      <c r="G557">
        <f t="shared" si="38"/>
        <v>3</v>
      </c>
      <c r="H557">
        <f t="shared" si="39"/>
        <v>523</v>
      </c>
    </row>
    <row r="558" spans="1:8" x14ac:dyDescent="0.55000000000000004">
      <c r="A558" s="6">
        <v>4.8396436690101975E+18</v>
      </c>
      <c r="B558">
        <v>243</v>
      </c>
      <c r="C558">
        <v>3</v>
      </c>
      <c r="D558">
        <v>6164</v>
      </c>
      <c r="E558">
        <f t="shared" si="36"/>
        <v>5</v>
      </c>
      <c r="F558">
        <f t="shared" si="37"/>
        <v>3</v>
      </c>
      <c r="G558">
        <f t="shared" si="38"/>
        <v>3</v>
      </c>
      <c r="H558">
        <f t="shared" si="39"/>
        <v>533</v>
      </c>
    </row>
    <row r="559" spans="1:8" x14ac:dyDescent="0.55000000000000004">
      <c r="A559" s="6">
        <v>4.850517775836585E+18</v>
      </c>
      <c r="B559">
        <v>315</v>
      </c>
      <c r="C559">
        <v>2</v>
      </c>
      <c r="D559">
        <v>297</v>
      </c>
      <c r="E559">
        <f t="shared" si="36"/>
        <v>4</v>
      </c>
      <c r="F559">
        <f t="shared" si="37"/>
        <v>2</v>
      </c>
      <c r="G559">
        <f t="shared" si="38"/>
        <v>1</v>
      </c>
      <c r="H559">
        <f t="shared" si="39"/>
        <v>421</v>
      </c>
    </row>
    <row r="560" spans="1:8" x14ac:dyDescent="0.55000000000000004">
      <c r="A560" s="6">
        <v>4.8639728879807365E+18</v>
      </c>
      <c r="B560">
        <v>508</v>
      </c>
      <c r="C560">
        <v>1</v>
      </c>
      <c r="D560">
        <v>2640</v>
      </c>
      <c r="E560">
        <f t="shared" si="36"/>
        <v>4</v>
      </c>
      <c r="F560">
        <f t="shared" si="37"/>
        <v>1</v>
      </c>
      <c r="G560">
        <f t="shared" si="38"/>
        <v>3</v>
      </c>
      <c r="H560">
        <f t="shared" si="39"/>
        <v>413</v>
      </c>
    </row>
    <row r="561" spans="1:8" x14ac:dyDescent="0.55000000000000004">
      <c r="A561" s="6">
        <v>4.8678317292628603E+18</v>
      </c>
      <c r="B561">
        <v>553</v>
      </c>
      <c r="C561">
        <v>1</v>
      </c>
      <c r="D561">
        <v>1641</v>
      </c>
      <c r="E561">
        <f t="shared" si="36"/>
        <v>4</v>
      </c>
      <c r="F561">
        <f t="shared" si="37"/>
        <v>1</v>
      </c>
      <c r="G561">
        <f t="shared" si="38"/>
        <v>2</v>
      </c>
      <c r="H561">
        <f t="shared" si="39"/>
        <v>412</v>
      </c>
    </row>
    <row r="562" spans="1:8" x14ac:dyDescent="0.55000000000000004">
      <c r="A562" s="6">
        <v>4.8679583041495921E+18</v>
      </c>
      <c r="B562">
        <v>349</v>
      </c>
      <c r="C562">
        <v>1</v>
      </c>
      <c r="D562">
        <v>780</v>
      </c>
      <c r="E562">
        <f t="shared" si="36"/>
        <v>4</v>
      </c>
      <c r="F562">
        <f t="shared" si="37"/>
        <v>1</v>
      </c>
      <c r="G562">
        <f t="shared" si="38"/>
        <v>2</v>
      </c>
      <c r="H562">
        <f t="shared" si="39"/>
        <v>412</v>
      </c>
    </row>
    <row r="563" spans="1:8" x14ac:dyDescent="0.55000000000000004">
      <c r="A563" s="6">
        <v>4.8701968054532291E+18</v>
      </c>
      <c r="B563">
        <v>99</v>
      </c>
      <c r="C563">
        <v>2</v>
      </c>
      <c r="D563">
        <v>1517.33</v>
      </c>
      <c r="E563">
        <f t="shared" si="36"/>
        <v>5</v>
      </c>
      <c r="F563">
        <f t="shared" si="37"/>
        <v>2</v>
      </c>
      <c r="G563">
        <f t="shared" si="38"/>
        <v>2</v>
      </c>
      <c r="H563">
        <f t="shared" si="39"/>
        <v>522</v>
      </c>
    </row>
    <row r="564" spans="1:8" x14ac:dyDescent="0.55000000000000004">
      <c r="A564" s="6">
        <v>4.8769984664423875E+18</v>
      </c>
      <c r="B564">
        <v>98</v>
      </c>
      <c r="C564">
        <v>3</v>
      </c>
      <c r="D564">
        <v>14837</v>
      </c>
      <c r="E564">
        <f t="shared" si="36"/>
        <v>5</v>
      </c>
      <c r="F564">
        <f t="shared" si="37"/>
        <v>3</v>
      </c>
      <c r="G564">
        <f t="shared" si="38"/>
        <v>3</v>
      </c>
      <c r="H564">
        <f t="shared" si="39"/>
        <v>533</v>
      </c>
    </row>
    <row r="565" spans="1:8" x14ac:dyDescent="0.55000000000000004">
      <c r="A565" s="6">
        <v>4.87798441317184E+18</v>
      </c>
      <c r="B565">
        <v>100</v>
      </c>
      <c r="C565">
        <v>2</v>
      </c>
      <c r="D565">
        <v>2030</v>
      </c>
      <c r="E565">
        <f t="shared" si="36"/>
        <v>5</v>
      </c>
      <c r="F565">
        <f t="shared" si="37"/>
        <v>2</v>
      </c>
      <c r="G565">
        <f t="shared" si="38"/>
        <v>2</v>
      </c>
      <c r="H565">
        <f t="shared" si="39"/>
        <v>522</v>
      </c>
    </row>
    <row r="566" spans="1:8" x14ac:dyDescent="0.55000000000000004">
      <c r="A566" s="6">
        <v>4.8818776375257528E+18</v>
      </c>
      <c r="B566">
        <v>606</v>
      </c>
      <c r="C566">
        <v>1</v>
      </c>
      <c r="D566">
        <v>480</v>
      </c>
      <c r="E566">
        <f t="shared" si="36"/>
        <v>3</v>
      </c>
      <c r="F566">
        <f t="shared" si="37"/>
        <v>1</v>
      </c>
      <c r="G566">
        <f t="shared" si="38"/>
        <v>1</v>
      </c>
      <c r="H566">
        <f t="shared" si="39"/>
        <v>311</v>
      </c>
    </row>
    <row r="567" spans="1:8" x14ac:dyDescent="0.55000000000000004">
      <c r="A567" s="6">
        <v>4.9000438688418744E+18</v>
      </c>
      <c r="B567">
        <v>242</v>
      </c>
      <c r="C567">
        <v>3</v>
      </c>
      <c r="D567">
        <v>3194</v>
      </c>
      <c r="E567">
        <f t="shared" si="36"/>
        <v>5</v>
      </c>
      <c r="F567">
        <f t="shared" si="37"/>
        <v>3</v>
      </c>
      <c r="G567">
        <f t="shared" si="38"/>
        <v>3</v>
      </c>
      <c r="H567">
        <f t="shared" si="39"/>
        <v>533</v>
      </c>
    </row>
    <row r="568" spans="1:8" x14ac:dyDescent="0.55000000000000004">
      <c r="A568" s="6">
        <v>4.9010360200738509E+18</v>
      </c>
      <c r="B568">
        <v>145</v>
      </c>
      <c r="C568">
        <v>1</v>
      </c>
      <c r="D568">
        <v>2638</v>
      </c>
      <c r="E568">
        <f t="shared" si="36"/>
        <v>5</v>
      </c>
      <c r="F568">
        <f t="shared" si="37"/>
        <v>1</v>
      </c>
      <c r="G568">
        <f t="shared" si="38"/>
        <v>3</v>
      </c>
      <c r="H568">
        <f t="shared" si="39"/>
        <v>513</v>
      </c>
    </row>
    <row r="569" spans="1:8" x14ac:dyDescent="0.55000000000000004">
      <c r="A569" s="6">
        <v>4.9043793651502182E+18</v>
      </c>
      <c r="B569">
        <v>130</v>
      </c>
      <c r="C569">
        <v>1</v>
      </c>
      <c r="D569">
        <v>1430</v>
      </c>
      <c r="E569">
        <f t="shared" si="36"/>
        <v>5</v>
      </c>
      <c r="F569">
        <f t="shared" si="37"/>
        <v>1</v>
      </c>
      <c r="G569">
        <f t="shared" si="38"/>
        <v>2</v>
      </c>
      <c r="H569">
        <f t="shared" si="39"/>
        <v>512</v>
      </c>
    </row>
    <row r="570" spans="1:8" x14ac:dyDescent="0.55000000000000004">
      <c r="A570" s="6">
        <v>4.9074909914343188E+18</v>
      </c>
      <c r="B570">
        <v>307</v>
      </c>
      <c r="C570">
        <v>2</v>
      </c>
      <c r="D570">
        <v>3033</v>
      </c>
      <c r="E570">
        <f t="shared" si="36"/>
        <v>4</v>
      </c>
      <c r="F570">
        <f t="shared" si="37"/>
        <v>2</v>
      </c>
      <c r="G570">
        <f t="shared" si="38"/>
        <v>3</v>
      </c>
      <c r="H570">
        <f t="shared" si="39"/>
        <v>423</v>
      </c>
    </row>
    <row r="571" spans="1:8" x14ac:dyDescent="0.55000000000000004">
      <c r="A571" s="6">
        <v>4.9268211954818836E+18</v>
      </c>
      <c r="B571">
        <v>405</v>
      </c>
      <c r="C571">
        <v>1</v>
      </c>
      <c r="D571">
        <v>585</v>
      </c>
      <c r="E571">
        <f t="shared" si="36"/>
        <v>4</v>
      </c>
      <c r="F571">
        <f t="shared" si="37"/>
        <v>1</v>
      </c>
      <c r="G571">
        <f t="shared" si="38"/>
        <v>1</v>
      </c>
      <c r="H571">
        <f t="shared" si="39"/>
        <v>411</v>
      </c>
    </row>
    <row r="572" spans="1:8" x14ac:dyDescent="0.55000000000000004">
      <c r="A572" s="6">
        <v>4.9356075865298401E+18</v>
      </c>
      <c r="B572">
        <v>41</v>
      </c>
      <c r="C572">
        <v>2</v>
      </c>
      <c r="D572">
        <v>7269</v>
      </c>
      <c r="E572">
        <f t="shared" si="36"/>
        <v>5</v>
      </c>
      <c r="F572">
        <f t="shared" si="37"/>
        <v>2</v>
      </c>
      <c r="G572">
        <f t="shared" si="38"/>
        <v>3</v>
      </c>
      <c r="H572">
        <f t="shared" si="39"/>
        <v>523</v>
      </c>
    </row>
    <row r="573" spans="1:8" x14ac:dyDescent="0.55000000000000004">
      <c r="A573" s="6">
        <v>4.936094153990783E+18</v>
      </c>
      <c r="B573">
        <v>25</v>
      </c>
      <c r="C573">
        <v>1</v>
      </c>
      <c r="D573">
        <v>687</v>
      </c>
      <c r="E573">
        <f t="shared" si="36"/>
        <v>5</v>
      </c>
      <c r="F573">
        <f t="shared" si="37"/>
        <v>1</v>
      </c>
      <c r="G573">
        <f t="shared" si="38"/>
        <v>2</v>
      </c>
      <c r="H573">
        <f t="shared" si="39"/>
        <v>512</v>
      </c>
    </row>
    <row r="574" spans="1:8" x14ac:dyDescent="0.55000000000000004">
      <c r="A574" s="6">
        <v>4.9450563649617633E+18</v>
      </c>
      <c r="B574">
        <v>237</v>
      </c>
      <c r="C574">
        <v>2</v>
      </c>
      <c r="D574">
        <v>1015</v>
      </c>
      <c r="E574">
        <f t="shared" si="36"/>
        <v>5</v>
      </c>
      <c r="F574">
        <f t="shared" si="37"/>
        <v>2</v>
      </c>
      <c r="G574">
        <f t="shared" si="38"/>
        <v>2</v>
      </c>
      <c r="H574">
        <f t="shared" si="39"/>
        <v>522</v>
      </c>
    </row>
    <row r="575" spans="1:8" x14ac:dyDescent="0.55000000000000004">
      <c r="A575" s="6">
        <v>4.9500099252429445E+18</v>
      </c>
      <c r="B575">
        <v>135</v>
      </c>
      <c r="C575">
        <v>2</v>
      </c>
      <c r="D575">
        <v>2321</v>
      </c>
      <c r="E575">
        <f t="shared" si="36"/>
        <v>5</v>
      </c>
      <c r="F575">
        <f t="shared" si="37"/>
        <v>2</v>
      </c>
      <c r="G575">
        <f t="shared" si="38"/>
        <v>3</v>
      </c>
      <c r="H575">
        <f t="shared" si="39"/>
        <v>523</v>
      </c>
    </row>
    <row r="576" spans="1:8" x14ac:dyDescent="0.55000000000000004">
      <c r="A576" s="6">
        <v>4.9635871697967299E+18</v>
      </c>
      <c r="B576">
        <v>710</v>
      </c>
      <c r="C576">
        <v>1</v>
      </c>
      <c r="D576">
        <v>1900</v>
      </c>
      <c r="E576">
        <f t="shared" si="36"/>
        <v>3</v>
      </c>
      <c r="F576">
        <f t="shared" si="37"/>
        <v>1</v>
      </c>
      <c r="G576">
        <f t="shared" si="38"/>
        <v>2</v>
      </c>
      <c r="H576">
        <f t="shared" si="39"/>
        <v>312</v>
      </c>
    </row>
    <row r="577" spans="1:8" x14ac:dyDescent="0.55000000000000004">
      <c r="A577" s="6">
        <v>4.9669611351398246E+18</v>
      </c>
      <c r="B577">
        <v>488</v>
      </c>
      <c r="C577">
        <v>1</v>
      </c>
      <c r="D577">
        <v>22.24</v>
      </c>
      <c r="E577">
        <f t="shared" si="36"/>
        <v>4</v>
      </c>
      <c r="F577">
        <f t="shared" si="37"/>
        <v>1</v>
      </c>
      <c r="G577">
        <f t="shared" si="38"/>
        <v>1</v>
      </c>
      <c r="H577">
        <f t="shared" si="39"/>
        <v>411</v>
      </c>
    </row>
    <row r="578" spans="1:8" x14ac:dyDescent="0.55000000000000004">
      <c r="A578" s="6">
        <v>4.9679677734774938E+18</v>
      </c>
      <c r="B578">
        <v>551</v>
      </c>
      <c r="C578">
        <v>3</v>
      </c>
      <c r="D578">
        <v>4184</v>
      </c>
      <c r="E578">
        <f t="shared" si="36"/>
        <v>4</v>
      </c>
      <c r="F578">
        <f t="shared" si="37"/>
        <v>3</v>
      </c>
      <c r="G578">
        <f t="shared" si="38"/>
        <v>3</v>
      </c>
      <c r="H578">
        <f t="shared" si="39"/>
        <v>433</v>
      </c>
    </row>
    <row r="579" spans="1:8" x14ac:dyDescent="0.55000000000000004">
      <c r="A579" s="6">
        <v>4.971188874099796E+18</v>
      </c>
      <c r="B579">
        <v>528</v>
      </c>
      <c r="C579">
        <v>1</v>
      </c>
      <c r="D579">
        <v>1833</v>
      </c>
      <c r="E579">
        <f t="shared" ref="E579:E642" si="40">VLOOKUP(B579,$K$5:$L$9,2,1)</f>
        <v>4</v>
      </c>
      <c r="F579">
        <f t="shared" ref="F579:F642" si="41">VLOOKUP(C579,$K$15:$L$17,2,1)</f>
        <v>1</v>
      </c>
      <c r="G579">
        <f t="shared" ref="G579:G642" si="42">VLOOKUP(D579,$K$24:$L$26,2,1)</f>
        <v>2</v>
      </c>
      <c r="H579">
        <f t="shared" ref="H579:H642" si="43">E579*100+F579*10+G579</f>
        <v>412</v>
      </c>
    </row>
    <row r="580" spans="1:8" x14ac:dyDescent="0.55000000000000004">
      <c r="A580" s="6">
        <v>4.9767555645308058E+18</v>
      </c>
      <c r="B580">
        <v>50</v>
      </c>
      <c r="C580">
        <v>2</v>
      </c>
      <c r="D580">
        <v>2445</v>
      </c>
      <c r="E580">
        <f t="shared" si="40"/>
        <v>5</v>
      </c>
      <c r="F580">
        <f t="shared" si="41"/>
        <v>2</v>
      </c>
      <c r="G580">
        <f t="shared" si="42"/>
        <v>3</v>
      </c>
      <c r="H580">
        <f t="shared" si="43"/>
        <v>523</v>
      </c>
    </row>
    <row r="581" spans="1:8" x14ac:dyDescent="0.55000000000000004">
      <c r="A581" s="6">
        <v>5.0025370734544476E+18</v>
      </c>
      <c r="B581">
        <v>485</v>
      </c>
      <c r="C581">
        <v>1</v>
      </c>
      <c r="D581">
        <v>4390</v>
      </c>
      <c r="E581">
        <f t="shared" si="40"/>
        <v>4</v>
      </c>
      <c r="F581">
        <f t="shared" si="41"/>
        <v>1</v>
      </c>
      <c r="G581">
        <f t="shared" si="42"/>
        <v>3</v>
      </c>
      <c r="H581">
        <f t="shared" si="43"/>
        <v>413</v>
      </c>
    </row>
    <row r="582" spans="1:8" x14ac:dyDescent="0.55000000000000004">
      <c r="A582" s="6">
        <v>5.0200884906810337E+18</v>
      </c>
      <c r="B582">
        <v>725</v>
      </c>
      <c r="C582">
        <v>2</v>
      </c>
      <c r="D582">
        <v>1737</v>
      </c>
      <c r="E582">
        <f t="shared" si="40"/>
        <v>3</v>
      </c>
      <c r="F582">
        <f t="shared" si="41"/>
        <v>2</v>
      </c>
      <c r="G582">
        <f t="shared" si="42"/>
        <v>2</v>
      </c>
      <c r="H582">
        <f t="shared" si="43"/>
        <v>322</v>
      </c>
    </row>
    <row r="583" spans="1:8" x14ac:dyDescent="0.55000000000000004">
      <c r="A583" s="6">
        <v>5.0270598344531937E+18</v>
      </c>
      <c r="B583">
        <v>1013</v>
      </c>
      <c r="C583">
        <v>1</v>
      </c>
      <c r="D583">
        <v>365</v>
      </c>
      <c r="E583">
        <f t="shared" si="40"/>
        <v>2</v>
      </c>
      <c r="F583">
        <f t="shared" si="41"/>
        <v>1</v>
      </c>
      <c r="G583">
        <f t="shared" si="42"/>
        <v>1</v>
      </c>
      <c r="H583">
        <f t="shared" si="43"/>
        <v>211</v>
      </c>
    </row>
    <row r="584" spans="1:8" x14ac:dyDescent="0.55000000000000004">
      <c r="A584" s="6">
        <v>5.0326461427474545E+18</v>
      </c>
      <c r="B584">
        <v>826</v>
      </c>
      <c r="C584">
        <v>1</v>
      </c>
      <c r="D584">
        <v>1309</v>
      </c>
      <c r="E584">
        <f t="shared" si="40"/>
        <v>3</v>
      </c>
      <c r="F584">
        <f t="shared" si="41"/>
        <v>1</v>
      </c>
      <c r="G584">
        <f t="shared" si="42"/>
        <v>2</v>
      </c>
      <c r="H584">
        <f t="shared" si="43"/>
        <v>312</v>
      </c>
    </row>
    <row r="585" spans="1:8" x14ac:dyDescent="0.55000000000000004">
      <c r="A585" s="6">
        <v>5.0342814580087347E+18</v>
      </c>
      <c r="B585">
        <v>519</v>
      </c>
      <c r="C585">
        <v>2</v>
      </c>
      <c r="D585">
        <v>408</v>
      </c>
      <c r="E585">
        <f t="shared" si="40"/>
        <v>4</v>
      </c>
      <c r="F585">
        <f t="shared" si="41"/>
        <v>2</v>
      </c>
      <c r="G585">
        <f t="shared" si="42"/>
        <v>1</v>
      </c>
      <c r="H585">
        <f t="shared" si="43"/>
        <v>421</v>
      </c>
    </row>
    <row r="586" spans="1:8" x14ac:dyDescent="0.55000000000000004">
      <c r="A586" s="6">
        <v>5.048051833006036E+18</v>
      </c>
      <c r="B586">
        <v>1169</v>
      </c>
      <c r="C586">
        <v>1</v>
      </c>
      <c r="D586">
        <v>651</v>
      </c>
      <c r="E586">
        <f t="shared" si="40"/>
        <v>1</v>
      </c>
      <c r="F586">
        <f t="shared" si="41"/>
        <v>1</v>
      </c>
      <c r="G586">
        <f t="shared" si="42"/>
        <v>1</v>
      </c>
      <c r="H586">
        <f t="shared" si="43"/>
        <v>111</v>
      </c>
    </row>
    <row r="587" spans="1:8" x14ac:dyDescent="0.55000000000000004">
      <c r="A587" s="6">
        <v>5.0481806929191342E+18</v>
      </c>
      <c r="B587">
        <v>727</v>
      </c>
      <c r="C587">
        <v>2</v>
      </c>
      <c r="D587">
        <v>388</v>
      </c>
      <c r="E587">
        <f t="shared" si="40"/>
        <v>3</v>
      </c>
      <c r="F587">
        <f t="shared" si="41"/>
        <v>2</v>
      </c>
      <c r="G587">
        <f t="shared" si="42"/>
        <v>1</v>
      </c>
      <c r="H587">
        <f t="shared" si="43"/>
        <v>321</v>
      </c>
    </row>
    <row r="588" spans="1:8" x14ac:dyDescent="0.55000000000000004">
      <c r="A588" s="6">
        <v>5.062924551433218E+18</v>
      </c>
      <c r="B588">
        <v>414</v>
      </c>
      <c r="C588">
        <v>1</v>
      </c>
      <c r="D588">
        <v>147</v>
      </c>
      <c r="E588">
        <f t="shared" si="40"/>
        <v>4</v>
      </c>
      <c r="F588">
        <f t="shared" si="41"/>
        <v>1</v>
      </c>
      <c r="G588">
        <f t="shared" si="42"/>
        <v>1</v>
      </c>
      <c r="H588">
        <f t="shared" si="43"/>
        <v>411</v>
      </c>
    </row>
    <row r="589" spans="1:8" x14ac:dyDescent="0.55000000000000004">
      <c r="A589" s="6">
        <v>5.0702927783924183E+18</v>
      </c>
      <c r="B589">
        <v>836</v>
      </c>
      <c r="C589">
        <v>1</v>
      </c>
      <c r="D589">
        <v>1419</v>
      </c>
      <c r="E589">
        <f t="shared" si="40"/>
        <v>3</v>
      </c>
      <c r="F589">
        <f t="shared" si="41"/>
        <v>1</v>
      </c>
      <c r="G589">
        <f t="shared" si="42"/>
        <v>2</v>
      </c>
      <c r="H589">
        <f t="shared" si="43"/>
        <v>312</v>
      </c>
    </row>
    <row r="590" spans="1:8" x14ac:dyDescent="0.55000000000000004">
      <c r="A590" s="6">
        <v>5.0802846933944412E+18</v>
      </c>
      <c r="B590">
        <v>157</v>
      </c>
      <c r="C590">
        <v>1</v>
      </c>
      <c r="D590">
        <v>741</v>
      </c>
      <c r="E590">
        <f t="shared" si="40"/>
        <v>5</v>
      </c>
      <c r="F590">
        <f t="shared" si="41"/>
        <v>1</v>
      </c>
      <c r="G590">
        <f t="shared" si="42"/>
        <v>2</v>
      </c>
      <c r="H590">
        <f t="shared" si="43"/>
        <v>512</v>
      </c>
    </row>
    <row r="591" spans="1:8" x14ac:dyDescent="0.55000000000000004">
      <c r="A591" s="6">
        <v>5.089514647593942E+18</v>
      </c>
      <c r="B591">
        <v>138</v>
      </c>
      <c r="C591">
        <v>1</v>
      </c>
      <c r="D591">
        <v>1077</v>
      </c>
      <c r="E591">
        <f t="shared" si="40"/>
        <v>5</v>
      </c>
      <c r="F591">
        <f t="shared" si="41"/>
        <v>1</v>
      </c>
      <c r="G591">
        <f t="shared" si="42"/>
        <v>2</v>
      </c>
      <c r="H591">
        <f t="shared" si="43"/>
        <v>512</v>
      </c>
    </row>
    <row r="592" spans="1:8" x14ac:dyDescent="0.55000000000000004">
      <c r="A592" s="6">
        <v>5.0919192247528796E+18</v>
      </c>
      <c r="B592">
        <v>1279</v>
      </c>
      <c r="C592">
        <v>1</v>
      </c>
      <c r="D592">
        <v>45</v>
      </c>
      <c r="E592">
        <f t="shared" si="40"/>
        <v>1</v>
      </c>
      <c r="F592">
        <f t="shared" si="41"/>
        <v>1</v>
      </c>
      <c r="G592">
        <f t="shared" si="42"/>
        <v>1</v>
      </c>
      <c r="H592">
        <f t="shared" si="43"/>
        <v>111</v>
      </c>
    </row>
    <row r="593" spans="1:8" x14ac:dyDescent="0.55000000000000004">
      <c r="A593" s="6">
        <v>5.1034642093638625E+18</v>
      </c>
      <c r="B593">
        <v>1024</v>
      </c>
      <c r="C593">
        <v>1</v>
      </c>
      <c r="D593">
        <v>6300</v>
      </c>
      <c r="E593">
        <f t="shared" si="40"/>
        <v>2</v>
      </c>
      <c r="F593">
        <f t="shared" si="41"/>
        <v>1</v>
      </c>
      <c r="G593">
        <f t="shared" si="42"/>
        <v>3</v>
      </c>
      <c r="H593">
        <f t="shared" si="43"/>
        <v>213</v>
      </c>
    </row>
    <row r="594" spans="1:8" x14ac:dyDescent="0.55000000000000004">
      <c r="A594" s="6">
        <v>5.1068414271306322E+18</v>
      </c>
      <c r="B594">
        <v>743</v>
      </c>
      <c r="C594">
        <v>1</v>
      </c>
      <c r="D594">
        <v>519</v>
      </c>
      <c r="E594">
        <f t="shared" si="40"/>
        <v>3</v>
      </c>
      <c r="F594">
        <f t="shared" si="41"/>
        <v>1</v>
      </c>
      <c r="G594">
        <f t="shared" si="42"/>
        <v>1</v>
      </c>
      <c r="H594">
        <f t="shared" si="43"/>
        <v>311</v>
      </c>
    </row>
    <row r="595" spans="1:8" x14ac:dyDescent="0.55000000000000004">
      <c r="A595" s="6">
        <v>5.1151533040191508E+18</v>
      </c>
      <c r="B595">
        <v>841</v>
      </c>
      <c r="C595">
        <v>1</v>
      </c>
      <c r="D595">
        <v>1042</v>
      </c>
      <c r="E595">
        <f t="shared" si="40"/>
        <v>3</v>
      </c>
      <c r="F595">
        <f t="shared" si="41"/>
        <v>1</v>
      </c>
      <c r="G595">
        <f t="shared" si="42"/>
        <v>2</v>
      </c>
      <c r="H595">
        <f t="shared" si="43"/>
        <v>312</v>
      </c>
    </row>
    <row r="596" spans="1:8" x14ac:dyDescent="0.55000000000000004">
      <c r="A596" s="6">
        <v>5.1195927289748562E+18</v>
      </c>
      <c r="B596">
        <v>539</v>
      </c>
      <c r="C596">
        <v>2</v>
      </c>
      <c r="D596">
        <v>435</v>
      </c>
      <c r="E596">
        <f t="shared" si="40"/>
        <v>4</v>
      </c>
      <c r="F596">
        <f t="shared" si="41"/>
        <v>2</v>
      </c>
      <c r="G596">
        <f t="shared" si="42"/>
        <v>1</v>
      </c>
      <c r="H596">
        <f t="shared" si="43"/>
        <v>421</v>
      </c>
    </row>
    <row r="597" spans="1:8" x14ac:dyDescent="0.55000000000000004">
      <c r="A597" s="6">
        <v>5.1197851135200154E+18</v>
      </c>
      <c r="B597">
        <v>1023</v>
      </c>
      <c r="C597">
        <v>1</v>
      </c>
      <c r="D597">
        <v>9042</v>
      </c>
      <c r="E597">
        <f t="shared" si="40"/>
        <v>2</v>
      </c>
      <c r="F597">
        <f t="shared" si="41"/>
        <v>1</v>
      </c>
      <c r="G597">
        <f t="shared" si="42"/>
        <v>3</v>
      </c>
      <c r="H597">
        <f t="shared" si="43"/>
        <v>213</v>
      </c>
    </row>
    <row r="598" spans="1:8" x14ac:dyDescent="0.55000000000000004">
      <c r="A598" s="6">
        <v>5.1250685605554504E+18</v>
      </c>
      <c r="B598">
        <v>260</v>
      </c>
      <c r="C598">
        <v>2</v>
      </c>
      <c r="D598">
        <v>319</v>
      </c>
      <c r="E598">
        <f t="shared" si="40"/>
        <v>5</v>
      </c>
      <c r="F598">
        <f t="shared" si="41"/>
        <v>2</v>
      </c>
      <c r="G598">
        <f t="shared" si="42"/>
        <v>1</v>
      </c>
      <c r="H598">
        <f t="shared" si="43"/>
        <v>521</v>
      </c>
    </row>
    <row r="599" spans="1:8" x14ac:dyDescent="0.55000000000000004">
      <c r="A599" s="6">
        <v>5.1344811324232817E+18</v>
      </c>
      <c r="B599">
        <v>390</v>
      </c>
      <c r="C599">
        <v>1</v>
      </c>
      <c r="D599">
        <v>5860</v>
      </c>
      <c r="E599">
        <f t="shared" si="40"/>
        <v>4</v>
      </c>
      <c r="F599">
        <f t="shared" si="41"/>
        <v>1</v>
      </c>
      <c r="G599">
        <f t="shared" si="42"/>
        <v>3</v>
      </c>
      <c r="H599">
        <f t="shared" si="43"/>
        <v>413</v>
      </c>
    </row>
    <row r="600" spans="1:8" x14ac:dyDescent="0.55000000000000004">
      <c r="A600" s="6">
        <v>5.1460942534911273E+18</v>
      </c>
      <c r="B600">
        <v>42</v>
      </c>
      <c r="C600">
        <v>2</v>
      </c>
      <c r="D600">
        <v>13582</v>
      </c>
      <c r="E600">
        <f t="shared" si="40"/>
        <v>5</v>
      </c>
      <c r="F600">
        <f t="shared" si="41"/>
        <v>2</v>
      </c>
      <c r="G600">
        <f t="shared" si="42"/>
        <v>3</v>
      </c>
      <c r="H600">
        <f t="shared" si="43"/>
        <v>523</v>
      </c>
    </row>
    <row r="601" spans="1:8" x14ac:dyDescent="0.55000000000000004">
      <c r="A601" s="6">
        <v>5.1485119209302528E+18</v>
      </c>
      <c r="B601">
        <v>1202</v>
      </c>
      <c r="C601">
        <v>1</v>
      </c>
      <c r="D601">
        <v>126</v>
      </c>
      <c r="E601">
        <f t="shared" si="40"/>
        <v>1</v>
      </c>
      <c r="F601">
        <f t="shared" si="41"/>
        <v>1</v>
      </c>
      <c r="G601">
        <f t="shared" si="42"/>
        <v>1</v>
      </c>
      <c r="H601">
        <f t="shared" si="43"/>
        <v>111</v>
      </c>
    </row>
    <row r="602" spans="1:8" x14ac:dyDescent="0.55000000000000004">
      <c r="A602" s="6">
        <v>5.160656493172777E+18</v>
      </c>
      <c r="B602">
        <v>908</v>
      </c>
      <c r="C602">
        <v>1</v>
      </c>
      <c r="D602">
        <v>255</v>
      </c>
      <c r="E602">
        <f t="shared" si="40"/>
        <v>2</v>
      </c>
      <c r="F602">
        <f t="shared" si="41"/>
        <v>1</v>
      </c>
      <c r="G602">
        <f t="shared" si="42"/>
        <v>1</v>
      </c>
      <c r="H602">
        <f t="shared" si="43"/>
        <v>211</v>
      </c>
    </row>
    <row r="603" spans="1:8" x14ac:dyDescent="0.55000000000000004">
      <c r="A603" s="6">
        <v>5.1745483234186783E+18</v>
      </c>
      <c r="B603">
        <v>43</v>
      </c>
      <c r="C603">
        <v>1</v>
      </c>
      <c r="D603">
        <v>2970</v>
      </c>
      <c r="E603">
        <f t="shared" si="40"/>
        <v>5</v>
      </c>
      <c r="F603">
        <f t="shared" si="41"/>
        <v>1</v>
      </c>
      <c r="G603">
        <f t="shared" si="42"/>
        <v>3</v>
      </c>
      <c r="H603">
        <f t="shared" si="43"/>
        <v>513</v>
      </c>
    </row>
    <row r="604" spans="1:8" x14ac:dyDescent="0.55000000000000004">
      <c r="A604" s="6">
        <v>5.1767562768368189E+18</v>
      </c>
      <c r="B604">
        <v>354</v>
      </c>
      <c r="C604">
        <v>1</v>
      </c>
      <c r="D604">
        <v>119</v>
      </c>
      <c r="E604">
        <f t="shared" si="40"/>
        <v>4</v>
      </c>
      <c r="F604">
        <f t="shared" si="41"/>
        <v>1</v>
      </c>
      <c r="G604">
        <f t="shared" si="42"/>
        <v>1</v>
      </c>
      <c r="H604">
        <f t="shared" si="43"/>
        <v>411</v>
      </c>
    </row>
    <row r="605" spans="1:8" x14ac:dyDescent="0.55000000000000004">
      <c r="A605" s="6">
        <v>5.1788856754276485E+18</v>
      </c>
      <c r="B605">
        <v>818</v>
      </c>
      <c r="C605">
        <v>2</v>
      </c>
      <c r="D605">
        <v>1260</v>
      </c>
      <c r="E605">
        <f t="shared" si="40"/>
        <v>3</v>
      </c>
      <c r="F605">
        <f t="shared" si="41"/>
        <v>2</v>
      </c>
      <c r="G605">
        <f t="shared" si="42"/>
        <v>2</v>
      </c>
      <c r="H605">
        <f t="shared" si="43"/>
        <v>322</v>
      </c>
    </row>
    <row r="606" spans="1:8" x14ac:dyDescent="0.55000000000000004">
      <c r="A606" s="6">
        <v>5.1902422601240381E+18</v>
      </c>
      <c r="B606">
        <v>51</v>
      </c>
      <c r="C606">
        <v>2</v>
      </c>
      <c r="D606">
        <v>5153</v>
      </c>
      <c r="E606">
        <f t="shared" si="40"/>
        <v>5</v>
      </c>
      <c r="F606">
        <f t="shared" si="41"/>
        <v>2</v>
      </c>
      <c r="G606">
        <f t="shared" si="42"/>
        <v>3</v>
      </c>
      <c r="H606">
        <f t="shared" si="43"/>
        <v>523</v>
      </c>
    </row>
    <row r="607" spans="1:8" x14ac:dyDescent="0.55000000000000004">
      <c r="A607" s="6">
        <v>5.1961716275844608E+18</v>
      </c>
      <c r="B607">
        <v>1002</v>
      </c>
      <c r="C607">
        <v>1</v>
      </c>
      <c r="D607">
        <v>1118</v>
      </c>
      <c r="E607">
        <f t="shared" si="40"/>
        <v>2</v>
      </c>
      <c r="F607">
        <f t="shared" si="41"/>
        <v>1</v>
      </c>
      <c r="G607">
        <f t="shared" si="42"/>
        <v>2</v>
      </c>
      <c r="H607">
        <f t="shared" si="43"/>
        <v>212</v>
      </c>
    </row>
    <row r="608" spans="1:8" x14ac:dyDescent="0.55000000000000004">
      <c r="A608" s="6">
        <v>5.210992950617346E+18</v>
      </c>
      <c r="B608">
        <v>480</v>
      </c>
      <c r="C608">
        <v>1</v>
      </c>
      <c r="D608">
        <v>1170</v>
      </c>
      <c r="E608">
        <f t="shared" si="40"/>
        <v>4</v>
      </c>
      <c r="F608">
        <f t="shared" si="41"/>
        <v>1</v>
      </c>
      <c r="G608">
        <f t="shared" si="42"/>
        <v>2</v>
      </c>
      <c r="H608">
        <f t="shared" si="43"/>
        <v>412</v>
      </c>
    </row>
    <row r="609" spans="1:8" x14ac:dyDescent="0.55000000000000004">
      <c r="A609" s="6">
        <v>5.2246598796763812E+18</v>
      </c>
      <c r="B609">
        <v>790</v>
      </c>
      <c r="C609">
        <v>1</v>
      </c>
      <c r="D609">
        <v>2070</v>
      </c>
      <c r="E609">
        <f t="shared" si="40"/>
        <v>3</v>
      </c>
      <c r="F609">
        <f t="shared" si="41"/>
        <v>1</v>
      </c>
      <c r="G609">
        <f t="shared" si="42"/>
        <v>2</v>
      </c>
      <c r="H609">
        <f t="shared" si="43"/>
        <v>312</v>
      </c>
    </row>
    <row r="610" spans="1:8" x14ac:dyDescent="0.55000000000000004">
      <c r="A610" s="6">
        <v>5.2340527379084902E+18</v>
      </c>
      <c r="B610">
        <v>481</v>
      </c>
      <c r="C610">
        <v>1</v>
      </c>
      <c r="D610">
        <v>558</v>
      </c>
      <c r="E610">
        <f t="shared" si="40"/>
        <v>4</v>
      </c>
      <c r="F610">
        <f t="shared" si="41"/>
        <v>1</v>
      </c>
      <c r="G610">
        <f t="shared" si="42"/>
        <v>1</v>
      </c>
      <c r="H610">
        <f t="shared" si="43"/>
        <v>411</v>
      </c>
    </row>
    <row r="611" spans="1:8" x14ac:dyDescent="0.55000000000000004">
      <c r="A611" s="6">
        <v>5.239570284531626E+18</v>
      </c>
      <c r="B611">
        <v>531</v>
      </c>
      <c r="C611">
        <v>1</v>
      </c>
      <c r="D611">
        <v>930</v>
      </c>
      <c r="E611">
        <f t="shared" si="40"/>
        <v>4</v>
      </c>
      <c r="F611">
        <f t="shared" si="41"/>
        <v>1</v>
      </c>
      <c r="G611">
        <f t="shared" si="42"/>
        <v>2</v>
      </c>
      <c r="H611">
        <f t="shared" si="43"/>
        <v>412</v>
      </c>
    </row>
    <row r="612" spans="1:8" x14ac:dyDescent="0.55000000000000004">
      <c r="A612" s="6">
        <v>5.2428657608355123E+18</v>
      </c>
      <c r="B612">
        <v>157</v>
      </c>
      <c r="C612">
        <v>1</v>
      </c>
      <c r="D612">
        <v>13526</v>
      </c>
      <c r="E612">
        <f t="shared" si="40"/>
        <v>5</v>
      </c>
      <c r="F612">
        <f t="shared" si="41"/>
        <v>1</v>
      </c>
      <c r="G612">
        <f t="shared" si="42"/>
        <v>3</v>
      </c>
      <c r="H612">
        <f t="shared" si="43"/>
        <v>513</v>
      </c>
    </row>
    <row r="613" spans="1:8" x14ac:dyDescent="0.55000000000000004">
      <c r="A613" s="6">
        <v>5.2552553803214479E+18</v>
      </c>
      <c r="B613">
        <v>270</v>
      </c>
      <c r="C613">
        <v>1</v>
      </c>
      <c r="D613">
        <v>2555</v>
      </c>
      <c r="E613">
        <f t="shared" si="40"/>
        <v>5</v>
      </c>
      <c r="F613">
        <f t="shared" si="41"/>
        <v>1</v>
      </c>
      <c r="G613">
        <f t="shared" si="42"/>
        <v>3</v>
      </c>
      <c r="H613">
        <f t="shared" si="43"/>
        <v>513</v>
      </c>
    </row>
    <row r="614" spans="1:8" x14ac:dyDescent="0.55000000000000004">
      <c r="A614" s="6">
        <v>5.2579795737863025E+18</v>
      </c>
      <c r="B614">
        <v>925</v>
      </c>
      <c r="C614">
        <v>1</v>
      </c>
      <c r="D614">
        <v>156</v>
      </c>
      <c r="E614">
        <f t="shared" si="40"/>
        <v>2</v>
      </c>
      <c r="F614">
        <f t="shared" si="41"/>
        <v>1</v>
      </c>
      <c r="G614">
        <f t="shared" si="42"/>
        <v>1</v>
      </c>
      <c r="H614">
        <f t="shared" si="43"/>
        <v>211</v>
      </c>
    </row>
    <row r="615" spans="1:8" x14ac:dyDescent="0.55000000000000004">
      <c r="A615" s="6">
        <v>5.2725860293849027E+18</v>
      </c>
      <c r="B615">
        <v>283</v>
      </c>
      <c r="C615">
        <v>1</v>
      </c>
      <c r="D615">
        <v>607</v>
      </c>
      <c r="E615">
        <f t="shared" si="40"/>
        <v>5</v>
      </c>
      <c r="F615">
        <f t="shared" si="41"/>
        <v>1</v>
      </c>
      <c r="G615">
        <f t="shared" si="42"/>
        <v>1</v>
      </c>
      <c r="H615">
        <f t="shared" si="43"/>
        <v>511</v>
      </c>
    </row>
    <row r="616" spans="1:8" x14ac:dyDescent="0.55000000000000004">
      <c r="A616" s="6">
        <v>5.2922210755784581E+18</v>
      </c>
      <c r="B616">
        <v>361</v>
      </c>
      <c r="C616">
        <v>2</v>
      </c>
      <c r="D616">
        <v>1318</v>
      </c>
      <c r="E616">
        <f t="shared" si="40"/>
        <v>4</v>
      </c>
      <c r="F616">
        <f t="shared" si="41"/>
        <v>2</v>
      </c>
      <c r="G616">
        <f t="shared" si="42"/>
        <v>2</v>
      </c>
      <c r="H616">
        <f t="shared" si="43"/>
        <v>422</v>
      </c>
    </row>
    <row r="617" spans="1:8" x14ac:dyDescent="0.55000000000000004">
      <c r="A617" s="6">
        <v>5.2949354389902428E+18</v>
      </c>
      <c r="B617">
        <v>124</v>
      </c>
      <c r="C617">
        <v>1</v>
      </c>
      <c r="D617">
        <v>99</v>
      </c>
      <c r="E617">
        <f t="shared" si="40"/>
        <v>5</v>
      </c>
      <c r="F617">
        <f t="shared" si="41"/>
        <v>1</v>
      </c>
      <c r="G617">
        <f t="shared" si="42"/>
        <v>1</v>
      </c>
      <c r="H617">
        <f t="shared" si="43"/>
        <v>511</v>
      </c>
    </row>
    <row r="618" spans="1:8" x14ac:dyDescent="0.55000000000000004">
      <c r="A618" s="6">
        <v>5.306007669942868E+18</v>
      </c>
      <c r="B618">
        <v>47</v>
      </c>
      <c r="C618">
        <v>2</v>
      </c>
      <c r="D618">
        <v>2239</v>
      </c>
      <c r="E618">
        <f t="shared" si="40"/>
        <v>5</v>
      </c>
      <c r="F618">
        <f t="shared" si="41"/>
        <v>2</v>
      </c>
      <c r="G618">
        <f t="shared" si="42"/>
        <v>2</v>
      </c>
      <c r="H618">
        <f t="shared" si="43"/>
        <v>522</v>
      </c>
    </row>
    <row r="619" spans="1:8" x14ac:dyDescent="0.55000000000000004">
      <c r="A619" s="6">
        <v>5.3060560523915049E+18</v>
      </c>
      <c r="B619">
        <v>811</v>
      </c>
      <c r="C619">
        <v>1</v>
      </c>
      <c r="D619">
        <v>1990</v>
      </c>
      <c r="E619">
        <f t="shared" si="40"/>
        <v>3</v>
      </c>
      <c r="F619">
        <f t="shared" si="41"/>
        <v>1</v>
      </c>
      <c r="G619">
        <f t="shared" si="42"/>
        <v>2</v>
      </c>
      <c r="H619">
        <f t="shared" si="43"/>
        <v>312</v>
      </c>
    </row>
    <row r="620" spans="1:8" x14ac:dyDescent="0.55000000000000004">
      <c r="A620" s="6">
        <v>5.3237933045177467E+18</v>
      </c>
      <c r="B620">
        <v>40</v>
      </c>
      <c r="C620">
        <v>1</v>
      </c>
      <c r="D620">
        <v>15811</v>
      </c>
      <c r="E620">
        <f t="shared" si="40"/>
        <v>5</v>
      </c>
      <c r="F620">
        <f t="shared" si="41"/>
        <v>1</v>
      </c>
      <c r="G620">
        <f t="shared" si="42"/>
        <v>3</v>
      </c>
      <c r="H620">
        <f t="shared" si="43"/>
        <v>513</v>
      </c>
    </row>
    <row r="621" spans="1:8" x14ac:dyDescent="0.55000000000000004">
      <c r="A621" s="6">
        <v>5.3366388308756603E+18</v>
      </c>
      <c r="B621">
        <v>466</v>
      </c>
      <c r="C621">
        <v>1</v>
      </c>
      <c r="D621">
        <v>3080</v>
      </c>
      <c r="E621">
        <f t="shared" si="40"/>
        <v>4</v>
      </c>
      <c r="F621">
        <f t="shared" si="41"/>
        <v>1</v>
      </c>
      <c r="G621">
        <f t="shared" si="42"/>
        <v>3</v>
      </c>
      <c r="H621">
        <f t="shared" si="43"/>
        <v>413</v>
      </c>
    </row>
    <row r="622" spans="1:8" x14ac:dyDescent="0.55000000000000004">
      <c r="A622" s="6">
        <v>5.3367691214396877E+18</v>
      </c>
      <c r="B622">
        <v>259</v>
      </c>
      <c r="C622">
        <v>1</v>
      </c>
      <c r="D622">
        <v>186</v>
      </c>
      <c r="E622">
        <f t="shared" si="40"/>
        <v>5</v>
      </c>
      <c r="F622">
        <f t="shared" si="41"/>
        <v>1</v>
      </c>
      <c r="G622">
        <f t="shared" si="42"/>
        <v>1</v>
      </c>
      <c r="H622">
        <f t="shared" si="43"/>
        <v>511</v>
      </c>
    </row>
    <row r="623" spans="1:8" x14ac:dyDescent="0.55000000000000004">
      <c r="A623" s="6">
        <v>5.3370243637905869E+18</v>
      </c>
      <c r="B623">
        <v>766</v>
      </c>
      <c r="C623">
        <v>1</v>
      </c>
      <c r="D623">
        <v>565</v>
      </c>
      <c r="E623">
        <f t="shared" si="40"/>
        <v>3</v>
      </c>
      <c r="F623">
        <f t="shared" si="41"/>
        <v>1</v>
      </c>
      <c r="G623">
        <f t="shared" si="42"/>
        <v>1</v>
      </c>
      <c r="H623">
        <f t="shared" si="43"/>
        <v>311</v>
      </c>
    </row>
    <row r="624" spans="1:8" x14ac:dyDescent="0.55000000000000004">
      <c r="A624" s="6">
        <v>5.3561866016784497E+18</v>
      </c>
      <c r="B624">
        <v>427</v>
      </c>
      <c r="C624">
        <v>1</v>
      </c>
      <c r="D624">
        <v>2030</v>
      </c>
      <c r="E624">
        <f t="shared" si="40"/>
        <v>4</v>
      </c>
      <c r="F624">
        <f t="shared" si="41"/>
        <v>1</v>
      </c>
      <c r="G624">
        <f t="shared" si="42"/>
        <v>2</v>
      </c>
      <c r="H624">
        <f t="shared" si="43"/>
        <v>412</v>
      </c>
    </row>
    <row r="625" spans="1:8" x14ac:dyDescent="0.55000000000000004">
      <c r="A625" s="6">
        <v>5.3620778757135073E+18</v>
      </c>
      <c r="B625">
        <v>78</v>
      </c>
      <c r="C625">
        <v>1</v>
      </c>
      <c r="D625">
        <v>8927</v>
      </c>
      <c r="E625">
        <f t="shared" si="40"/>
        <v>5</v>
      </c>
      <c r="F625">
        <f t="shared" si="41"/>
        <v>1</v>
      </c>
      <c r="G625">
        <f t="shared" si="42"/>
        <v>3</v>
      </c>
      <c r="H625">
        <f t="shared" si="43"/>
        <v>513</v>
      </c>
    </row>
    <row r="626" spans="1:8" x14ac:dyDescent="0.55000000000000004">
      <c r="A626" s="6">
        <v>5.364618019062016E+18</v>
      </c>
      <c r="B626">
        <v>171</v>
      </c>
      <c r="C626">
        <v>2</v>
      </c>
      <c r="D626">
        <v>3197</v>
      </c>
      <c r="E626">
        <f t="shared" si="40"/>
        <v>5</v>
      </c>
      <c r="F626">
        <f t="shared" si="41"/>
        <v>2</v>
      </c>
      <c r="G626">
        <f t="shared" si="42"/>
        <v>3</v>
      </c>
      <c r="H626">
        <f t="shared" si="43"/>
        <v>523</v>
      </c>
    </row>
    <row r="627" spans="1:8" x14ac:dyDescent="0.55000000000000004">
      <c r="A627" s="6">
        <v>5.3702924294165412E+18</v>
      </c>
      <c r="B627">
        <v>1035</v>
      </c>
      <c r="C627">
        <v>1</v>
      </c>
      <c r="D627">
        <v>597</v>
      </c>
      <c r="E627">
        <f t="shared" si="40"/>
        <v>2</v>
      </c>
      <c r="F627">
        <f t="shared" si="41"/>
        <v>1</v>
      </c>
      <c r="G627">
        <f t="shared" si="42"/>
        <v>1</v>
      </c>
      <c r="H627">
        <f t="shared" si="43"/>
        <v>211</v>
      </c>
    </row>
    <row r="628" spans="1:8" x14ac:dyDescent="0.55000000000000004">
      <c r="A628" s="6">
        <v>5.3711356378921155E+18</v>
      </c>
      <c r="B628">
        <v>240</v>
      </c>
      <c r="C628">
        <v>1</v>
      </c>
      <c r="D628">
        <v>7799</v>
      </c>
      <c r="E628">
        <f t="shared" si="40"/>
        <v>5</v>
      </c>
      <c r="F628">
        <f t="shared" si="41"/>
        <v>1</v>
      </c>
      <c r="G628">
        <f t="shared" si="42"/>
        <v>3</v>
      </c>
      <c r="H628">
        <f t="shared" si="43"/>
        <v>513</v>
      </c>
    </row>
    <row r="629" spans="1:8" x14ac:dyDescent="0.55000000000000004">
      <c r="A629" s="6">
        <v>5.3732341107030211E+18</v>
      </c>
      <c r="B629">
        <v>441</v>
      </c>
      <c r="C629">
        <v>1</v>
      </c>
      <c r="D629">
        <v>209</v>
      </c>
      <c r="E629">
        <f t="shared" si="40"/>
        <v>4</v>
      </c>
      <c r="F629">
        <f t="shared" si="41"/>
        <v>1</v>
      </c>
      <c r="G629">
        <f t="shared" si="42"/>
        <v>1</v>
      </c>
      <c r="H629">
        <f t="shared" si="43"/>
        <v>411</v>
      </c>
    </row>
    <row r="630" spans="1:8" x14ac:dyDescent="0.55000000000000004">
      <c r="A630" s="6">
        <v>5.3744616220022743E+18</v>
      </c>
      <c r="B630">
        <v>848</v>
      </c>
      <c r="C630">
        <v>2</v>
      </c>
      <c r="D630">
        <v>5763</v>
      </c>
      <c r="E630">
        <f t="shared" si="40"/>
        <v>3</v>
      </c>
      <c r="F630">
        <f t="shared" si="41"/>
        <v>2</v>
      </c>
      <c r="G630">
        <f t="shared" si="42"/>
        <v>3</v>
      </c>
      <c r="H630">
        <f t="shared" si="43"/>
        <v>323</v>
      </c>
    </row>
    <row r="631" spans="1:8" x14ac:dyDescent="0.55000000000000004">
      <c r="A631" s="6">
        <v>5.3784676578982953E+18</v>
      </c>
      <c r="B631">
        <v>89</v>
      </c>
      <c r="C631">
        <v>1</v>
      </c>
      <c r="D631">
        <v>1291</v>
      </c>
      <c r="E631">
        <f t="shared" si="40"/>
        <v>5</v>
      </c>
      <c r="F631">
        <f t="shared" si="41"/>
        <v>1</v>
      </c>
      <c r="G631">
        <f t="shared" si="42"/>
        <v>2</v>
      </c>
      <c r="H631">
        <f t="shared" si="43"/>
        <v>512</v>
      </c>
    </row>
    <row r="632" spans="1:8" x14ac:dyDescent="0.55000000000000004">
      <c r="A632" s="6">
        <v>5.3910319597590886E+18</v>
      </c>
      <c r="B632">
        <v>184</v>
      </c>
      <c r="C632">
        <v>1</v>
      </c>
      <c r="D632">
        <v>1262</v>
      </c>
      <c r="E632">
        <f t="shared" si="40"/>
        <v>5</v>
      </c>
      <c r="F632">
        <f t="shared" si="41"/>
        <v>1</v>
      </c>
      <c r="G632">
        <f t="shared" si="42"/>
        <v>2</v>
      </c>
      <c r="H632">
        <f t="shared" si="43"/>
        <v>512</v>
      </c>
    </row>
    <row r="633" spans="1:8" x14ac:dyDescent="0.55000000000000004">
      <c r="A633" s="6">
        <v>5.3920489679229184E+18</v>
      </c>
      <c r="B633">
        <v>276</v>
      </c>
      <c r="C633">
        <v>2</v>
      </c>
      <c r="D633">
        <v>1798</v>
      </c>
      <c r="E633">
        <f t="shared" si="40"/>
        <v>5</v>
      </c>
      <c r="F633">
        <f t="shared" si="41"/>
        <v>2</v>
      </c>
      <c r="G633">
        <f t="shared" si="42"/>
        <v>2</v>
      </c>
      <c r="H633">
        <f t="shared" si="43"/>
        <v>522</v>
      </c>
    </row>
    <row r="634" spans="1:8" x14ac:dyDescent="0.55000000000000004">
      <c r="A634" s="6">
        <v>5.3973038049061745E+18</v>
      </c>
      <c r="B634">
        <v>29</v>
      </c>
      <c r="C634">
        <v>81</v>
      </c>
      <c r="D634">
        <v>38689102.890000001</v>
      </c>
      <c r="E634">
        <f t="shared" si="40"/>
        <v>5</v>
      </c>
      <c r="F634">
        <f t="shared" si="41"/>
        <v>3</v>
      </c>
      <c r="G634">
        <f t="shared" si="42"/>
        <v>3</v>
      </c>
      <c r="H634">
        <f t="shared" si="43"/>
        <v>533</v>
      </c>
    </row>
    <row r="635" spans="1:8" x14ac:dyDescent="0.55000000000000004">
      <c r="A635" s="6">
        <v>5.4003993865011261E+18</v>
      </c>
      <c r="B635">
        <v>111</v>
      </c>
      <c r="C635">
        <v>1</v>
      </c>
      <c r="D635">
        <v>614</v>
      </c>
      <c r="E635">
        <f t="shared" si="40"/>
        <v>5</v>
      </c>
      <c r="F635">
        <f t="shared" si="41"/>
        <v>1</v>
      </c>
      <c r="G635">
        <f t="shared" si="42"/>
        <v>1</v>
      </c>
      <c r="H635">
        <f t="shared" si="43"/>
        <v>511</v>
      </c>
    </row>
    <row r="636" spans="1:8" x14ac:dyDescent="0.55000000000000004">
      <c r="A636" s="6">
        <v>5.4059398132815749E+18</v>
      </c>
      <c r="B636">
        <v>221</v>
      </c>
      <c r="C636">
        <v>1</v>
      </c>
      <c r="D636">
        <v>313</v>
      </c>
      <c r="E636">
        <f t="shared" si="40"/>
        <v>5</v>
      </c>
      <c r="F636">
        <f t="shared" si="41"/>
        <v>1</v>
      </c>
      <c r="G636">
        <f t="shared" si="42"/>
        <v>1</v>
      </c>
      <c r="H636">
        <f t="shared" si="43"/>
        <v>511</v>
      </c>
    </row>
    <row r="637" spans="1:8" x14ac:dyDescent="0.55000000000000004">
      <c r="A637" s="6">
        <v>5.4108562764381123E+18</v>
      </c>
      <c r="B637">
        <v>880</v>
      </c>
      <c r="C637">
        <v>1</v>
      </c>
      <c r="D637">
        <v>568</v>
      </c>
      <c r="E637">
        <f t="shared" si="40"/>
        <v>2</v>
      </c>
      <c r="F637">
        <f t="shared" si="41"/>
        <v>1</v>
      </c>
      <c r="G637">
        <f t="shared" si="42"/>
        <v>1</v>
      </c>
      <c r="H637">
        <f t="shared" si="43"/>
        <v>211</v>
      </c>
    </row>
    <row r="638" spans="1:8" x14ac:dyDescent="0.55000000000000004">
      <c r="A638" s="6">
        <v>5.4120567348960328E+18</v>
      </c>
      <c r="B638">
        <v>286</v>
      </c>
      <c r="C638">
        <v>1</v>
      </c>
      <c r="D638">
        <v>301</v>
      </c>
      <c r="E638">
        <f t="shared" si="40"/>
        <v>5</v>
      </c>
      <c r="F638">
        <f t="shared" si="41"/>
        <v>1</v>
      </c>
      <c r="G638">
        <f t="shared" si="42"/>
        <v>1</v>
      </c>
      <c r="H638">
        <f t="shared" si="43"/>
        <v>511</v>
      </c>
    </row>
    <row r="639" spans="1:8" x14ac:dyDescent="0.55000000000000004">
      <c r="A639" s="6">
        <v>5.4207611659423212E+18</v>
      </c>
      <c r="B639">
        <v>865</v>
      </c>
      <c r="C639">
        <v>1</v>
      </c>
      <c r="D639">
        <v>249</v>
      </c>
      <c r="E639">
        <f t="shared" si="40"/>
        <v>3</v>
      </c>
      <c r="F639">
        <f t="shared" si="41"/>
        <v>1</v>
      </c>
      <c r="G639">
        <f t="shared" si="42"/>
        <v>1</v>
      </c>
      <c r="H639">
        <f t="shared" si="43"/>
        <v>311</v>
      </c>
    </row>
    <row r="640" spans="1:8" x14ac:dyDescent="0.55000000000000004">
      <c r="A640" s="6">
        <v>5.4221416760493773E+18</v>
      </c>
      <c r="B640">
        <v>574</v>
      </c>
      <c r="C640">
        <v>1</v>
      </c>
      <c r="D640">
        <v>2038</v>
      </c>
      <c r="E640">
        <f t="shared" si="40"/>
        <v>4</v>
      </c>
      <c r="F640">
        <f t="shared" si="41"/>
        <v>1</v>
      </c>
      <c r="G640">
        <f t="shared" si="42"/>
        <v>2</v>
      </c>
      <c r="H640">
        <f t="shared" si="43"/>
        <v>412</v>
      </c>
    </row>
    <row r="641" spans="1:8" x14ac:dyDescent="0.55000000000000004">
      <c r="A641" s="6">
        <v>5.4238305817622938E+18</v>
      </c>
      <c r="B641">
        <v>406</v>
      </c>
      <c r="C641">
        <v>1</v>
      </c>
      <c r="D641">
        <v>598</v>
      </c>
      <c r="E641">
        <f t="shared" si="40"/>
        <v>4</v>
      </c>
      <c r="F641">
        <f t="shared" si="41"/>
        <v>1</v>
      </c>
      <c r="G641">
        <f t="shared" si="42"/>
        <v>1</v>
      </c>
      <c r="H641">
        <f t="shared" si="43"/>
        <v>411</v>
      </c>
    </row>
    <row r="642" spans="1:8" x14ac:dyDescent="0.55000000000000004">
      <c r="A642" s="6">
        <v>5.4249199035225917E+18</v>
      </c>
      <c r="B642">
        <v>557</v>
      </c>
      <c r="C642">
        <v>3</v>
      </c>
      <c r="D642">
        <v>10443</v>
      </c>
      <c r="E642">
        <f t="shared" si="40"/>
        <v>4</v>
      </c>
      <c r="F642">
        <f t="shared" si="41"/>
        <v>3</v>
      </c>
      <c r="G642">
        <f t="shared" si="42"/>
        <v>3</v>
      </c>
      <c r="H642">
        <f t="shared" si="43"/>
        <v>433</v>
      </c>
    </row>
    <row r="643" spans="1:8" x14ac:dyDescent="0.55000000000000004">
      <c r="A643" s="6">
        <v>5.4480656603369421E+18</v>
      </c>
      <c r="B643">
        <v>78</v>
      </c>
      <c r="C643">
        <v>2</v>
      </c>
      <c r="D643">
        <v>353</v>
      </c>
      <c r="E643">
        <f t="shared" ref="E643:E706" si="44">VLOOKUP(B643,$K$5:$L$9,2,1)</f>
        <v>5</v>
      </c>
      <c r="F643">
        <f t="shared" ref="F643:F706" si="45">VLOOKUP(C643,$K$15:$L$17,2,1)</f>
        <v>2</v>
      </c>
      <c r="G643">
        <f t="shared" ref="G643:G706" si="46">VLOOKUP(D643,$K$24:$L$26,2,1)</f>
        <v>1</v>
      </c>
      <c r="H643">
        <f t="shared" ref="H643:H706" si="47">E643*100+F643*10+G643</f>
        <v>521</v>
      </c>
    </row>
    <row r="644" spans="1:8" x14ac:dyDescent="0.55000000000000004">
      <c r="A644" s="6">
        <v>5.4525141882851154E+18</v>
      </c>
      <c r="B644">
        <v>1132</v>
      </c>
      <c r="C644">
        <v>1</v>
      </c>
      <c r="D644">
        <v>900</v>
      </c>
      <c r="E644">
        <f t="shared" si="44"/>
        <v>2</v>
      </c>
      <c r="F644">
        <f t="shared" si="45"/>
        <v>1</v>
      </c>
      <c r="G644">
        <f t="shared" si="46"/>
        <v>2</v>
      </c>
      <c r="H644">
        <f t="shared" si="47"/>
        <v>212</v>
      </c>
    </row>
    <row r="645" spans="1:8" x14ac:dyDescent="0.55000000000000004">
      <c r="A645" s="6">
        <v>5.4624663585149143E+18</v>
      </c>
      <c r="B645">
        <v>552</v>
      </c>
      <c r="C645">
        <v>1</v>
      </c>
      <c r="D645">
        <v>318</v>
      </c>
      <c r="E645">
        <f t="shared" si="44"/>
        <v>4</v>
      </c>
      <c r="F645">
        <f t="shared" si="45"/>
        <v>1</v>
      </c>
      <c r="G645">
        <f t="shared" si="46"/>
        <v>1</v>
      </c>
      <c r="H645">
        <f t="shared" si="47"/>
        <v>411</v>
      </c>
    </row>
    <row r="646" spans="1:8" x14ac:dyDescent="0.55000000000000004">
      <c r="A646" s="6">
        <v>5.4651937541551749E+18</v>
      </c>
      <c r="B646">
        <v>269</v>
      </c>
      <c r="C646">
        <v>2</v>
      </c>
      <c r="D646">
        <v>279</v>
      </c>
      <c r="E646">
        <f t="shared" si="44"/>
        <v>5</v>
      </c>
      <c r="F646">
        <f t="shared" si="45"/>
        <v>2</v>
      </c>
      <c r="G646">
        <f t="shared" si="46"/>
        <v>1</v>
      </c>
      <c r="H646">
        <f t="shared" si="47"/>
        <v>521</v>
      </c>
    </row>
    <row r="647" spans="1:8" x14ac:dyDescent="0.55000000000000004">
      <c r="A647" s="6">
        <v>5.4967923404373617E+18</v>
      </c>
      <c r="B647">
        <v>200</v>
      </c>
      <c r="C647">
        <v>2</v>
      </c>
      <c r="D647">
        <v>3422</v>
      </c>
      <c r="E647">
        <f t="shared" si="44"/>
        <v>5</v>
      </c>
      <c r="F647">
        <f t="shared" si="45"/>
        <v>2</v>
      </c>
      <c r="G647">
        <f t="shared" si="46"/>
        <v>3</v>
      </c>
      <c r="H647">
        <f t="shared" si="47"/>
        <v>523</v>
      </c>
    </row>
    <row r="648" spans="1:8" x14ac:dyDescent="0.55000000000000004">
      <c r="A648" s="6">
        <v>5.497031036325631E+18</v>
      </c>
      <c r="B648">
        <v>14</v>
      </c>
      <c r="C648">
        <v>2</v>
      </c>
      <c r="D648">
        <v>2734</v>
      </c>
      <c r="E648">
        <f t="shared" si="44"/>
        <v>5</v>
      </c>
      <c r="F648">
        <f t="shared" si="45"/>
        <v>2</v>
      </c>
      <c r="G648">
        <f t="shared" si="46"/>
        <v>3</v>
      </c>
      <c r="H648">
        <f t="shared" si="47"/>
        <v>523</v>
      </c>
    </row>
    <row r="649" spans="1:8" x14ac:dyDescent="0.55000000000000004">
      <c r="A649" s="6">
        <v>5.5103799152353352E+18</v>
      </c>
      <c r="B649">
        <v>208</v>
      </c>
      <c r="C649">
        <v>2</v>
      </c>
      <c r="D649">
        <v>9693</v>
      </c>
      <c r="E649">
        <f t="shared" si="44"/>
        <v>5</v>
      </c>
      <c r="F649">
        <f t="shared" si="45"/>
        <v>2</v>
      </c>
      <c r="G649">
        <f t="shared" si="46"/>
        <v>3</v>
      </c>
      <c r="H649">
        <f t="shared" si="47"/>
        <v>523</v>
      </c>
    </row>
    <row r="650" spans="1:8" x14ac:dyDescent="0.55000000000000004">
      <c r="A650" s="6">
        <v>5.5255863221200271E+18</v>
      </c>
      <c r="B650">
        <v>63</v>
      </c>
      <c r="C650">
        <v>2</v>
      </c>
      <c r="D650">
        <v>483</v>
      </c>
      <c r="E650">
        <f t="shared" si="44"/>
        <v>5</v>
      </c>
      <c r="F650">
        <f t="shared" si="45"/>
        <v>2</v>
      </c>
      <c r="G650">
        <f t="shared" si="46"/>
        <v>1</v>
      </c>
      <c r="H650">
        <f t="shared" si="47"/>
        <v>521</v>
      </c>
    </row>
    <row r="651" spans="1:8" x14ac:dyDescent="0.55000000000000004">
      <c r="A651" s="6">
        <v>5.5398942607699497E+18</v>
      </c>
      <c r="B651">
        <v>674</v>
      </c>
      <c r="C651">
        <v>1</v>
      </c>
      <c r="D651">
        <v>98</v>
      </c>
      <c r="E651">
        <f t="shared" si="44"/>
        <v>3</v>
      </c>
      <c r="F651">
        <f t="shared" si="45"/>
        <v>1</v>
      </c>
      <c r="G651">
        <f t="shared" si="46"/>
        <v>1</v>
      </c>
      <c r="H651">
        <f t="shared" si="47"/>
        <v>311</v>
      </c>
    </row>
    <row r="652" spans="1:8" x14ac:dyDescent="0.55000000000000004">
      <c r="A652" s="6">
        <v>5.5407192610282045E+18</v>
      </c>
      <c r="B652">
        <v>23</v>
      </c>
      <c r="C652">
        <v>1</v>
      </c>
      <c r="D652">
        <v>335</v>
      </c>
      <c r="E652">
        <f t="shared" si="44"/>
        <v>5</v>
      </c>
      <c r="F652">
        <f t="shared" si="45"/>
        <v>1</v>
      </c>
      <c r="G652">
        <f t="shared" si="46"/>
        <v>1</v>
      </c>
      <c r="H652">
        <f t="shared" si="47"/>
        <v>511</v>
      </c>
    </row>
    <row r="653" spans="1:8" x14ac:dyDescent="0.55000000000000004">
      <c r="A653" s="6">
        <v>5.5419601185334149E+18</v>
      </c>
      <c r="B653">
        <v>177</v>
      </c>
      <c r="C653">
        <v>1</v>
      </c>
      <c r="D653">
        <v>607</v>
      </c>
      <c r="E653">
        <f t="shared" si="44"/>
        <v>5</v>
      </c>
      <c r="F653">
        <f t="shared" si="45"/>
        <v>1</v>
      </c>
      <c r="G653">
        <f t="shared" si="46"/>
        <v>1</v>
      </c>
      <c r="H653">
        <f t="shared" si="47"/>
        <v>511</v>
      </c>
    </row>
    <row r="654" spans="1:8" x14ac:dyDescent="0.55000000000000004">
      <c r="A654" s="6">
        <v>5.5473400348587612E+18</v>
      </c>
      <c r="B654">
        <v>10</v>
      </c>
      <c r="C654">
        <v>1</v>
      </c>
      <c r="D654">
        <v>1578</v>
      </c>
      <c r="E654">
        <f t="shared" si="44"/>
        <v>5</v>
      </c>
      <c r="F654">
        <f t="shared" si="45"/>
        <v>1</v>
      </c>
      <c r="G654">
        <f t="shared" si="46"/>
        <v>2</v>
      </c>
      <c r="H654">
        <f t="shared" si="47"/>
        <v>512</v>
      </c>
    </row>
    <row r="655" spans="1:8" x14ac:dyDescent="0.55000000000000004">
      <c r="A655" s="6">
        <v>5.5710040725666847E+18</v>
      </c>
      <c r="B655">
        <v>309</v>
      </c>
      <c r="C655">
        <v>2</v>
      </c>
      <c r="D655">
        <v>3203</v>
      </c>
      <c r="E655">
        <f t="shared" si="44"/>
        <v>4</v>
      </c>
      <c r="F655">
        <f t="shared" si="45"/>
        <v>2</v>
      </c>
      <c r="G655">
        <f t="shared" si="46"/>
        <v>3</v>
      </c>
      <c r="H655">
        <f t="shared" si="47"/>
        <v>423</v>
      </c>
    </row>
    <row r="656" spans="1:8" x14ac:dyDescent="0.55000000000000004">
      <c r="A656" s="6">
        <v>5.5746640187933563E+18</v>
      </c>
      <c r="B656">
        <v>605</v>
      </c>
      <c r="C656">
        <v>1</v>
      </c>
      <c r="D656">
        <v>549</v>
      </c>
      <c r="E656">
        <f t="shared" si="44"/>
        <v>3</v>
      </c>
      <c r="F656">
        <f t="shared" si="45"/>
        <v>1</v>
      </c>
      <c r="G656">
        <f t="shared" si="46"/>
        <v>1</v>
      </c>
      <c r="H656">
        <f t="shared" si="47"/>
        <v>311</v>
      </c>
    </row>
    <row r="657" spans="1:8" x14ac:dyDescent="0.55000000000000004">
      <c r="A657" s="6">
        <v>5.5847640147339397E+18</v>
      </c>
      <c r="B657">
        <v>812</v>
      </c>
      <c r="C657">
        <v>1</v>
      </c>
      <c r="D657">
        <v>630</v>
      </c>
      <c r="E657">
        <f t="shared" si="44"/>
        <v>3</v>
      </c>
      <c r="F657">
        <f t="shared" si="45"/>
        <v>1</v>
      </c>
      <c r="G657">
        <f t="shared" si="46"/>
        <v>1</v>
      </c>
      <c r="H657">
        <f t="shared" si="47"/>
        <v>311</v>
      </c>
    </row>
    <row r="658" spans="1:8" x14ac:dyDescent="0.55000000000000004">
      <c r="A658" s="6">
        <v>5.5869190576617318E+18</v>
      </c>
      <c r="B658">
        <v>653</v>
      </c>
      <c r="C658">
        <v>1</v>
      </c>
      <c r="D658">
        <v>3631</v>
      </c>
      <c r="E658">
        <f t="shared" si="44"/>
        <v>3</v>
      </c>
      <c r="F658">
        <f t="shared" si="45"/>
        <v>1</v>
      </c>
      <c r="G658">
        <f t="shared" si="46"/>
        <v>3</v>
      </c>
      <c r="H658">
        <f t="shared" si="47"/>
        <v>313</v>
      </c>
    </row>
    <row r="659" spans="1:8" x14ac:dyDescent="0.55000000000000004">
      <c r="A659" s="6">
        <v>5.5885706773209549E+18</v>
      </c>
      <c r="B659">
        <v>31</v>
      </c>
      <c r="C659">
        <v>2</v>
      </c>
      <c r="D659">
        <v>19568</v>
      </c>
      <c r="E659">
        <f t="shared" si="44"/>
        <v>5</v>
      </c>
      <c r="F659">
        <f t="shared" si="45"/>
        <v>2</v>
      </c>
      <c r="G659">
        <f t="shared" si="46"/>
        <v>3</v>
      </c>
      <c r="H659">
        <f t="shared" si="47"/>
        <v>523</v>
      </c>
    </row>
    <row r="660" spans="1:8" x14ac:dyDescent="0.55000000000000004">
      <c r="A660" s="6">
        <v>5.5996363281860024E+18</v>
      </c>
      <c r="B660">
        <v>83</v>
      </c>
      <c r="C660">
        <v>1</v>
      </c>
      <c r="D660">
        <v>1580</v>
      </c>
      <c r="E660">
        <f t="shared" si="44"/>
        <v>5</v>
      </c>
      <c r="F660">
        <f t="shared" si="45"/>
        <v>1</v>
      </c>
      <c r="G660">
        <f t="shared" si="46"/>
        <v>2</v>
      </c>
      <c r="H660">
        <f t="shared" si="47"/>
        <v>512</v>
      </c>
    </row>
    <row r="661" spans="1:8" x14ac:dyDescent="0.55000000000000004">
      <c r="A661" s="6">
        <v>5.6031507266232842E+18</v>
      </c>
      <c r="B661">
        <v>712</v>
      </c>
      <c r="C661">
        <v>1</v>
      </c>
      <c r="D661">
        <v>405</v>
      </c>
      <c r="E661">
        <f t="shared" si="44"/>
        <v>3</v>
      </c>
      <c r="F661">
        <f t="shared" si="45"/>
        <v>1</v>
      </c>
      <c r="G661">
        <f t="shared" si="46"/>
        <v>1</v>
      </c>
      <c r="H661">
        <f t="shared" si="47"/>
        <v>311</v>
      </c>
    </row>
    <row r="662" spans="1:8" x14ac:dyDescent="0.55000000000000004">
      <c r="A662" s="6">
        <v>5.6058152256816343E+18</v>
      </c>
      <c r="B662">
        <v>135</v>
      </c>
      <c r="C662">
        <v>1</v>
      </c>
      <c r="D662">
        <v>147</v>
      </c>
      <c r="E662">
        <f t="shared" si="44"/>
        <v>5</v>
      </c>
      <c r="F662">
        <f t="shared" si="45"/>
        <v>1</v>
      </c>
      <c r="G662">
        <f t="shared" si="46"/>
        <v>1</v>
      </c>
      <c r="H662">
        <f t="shared" si="47"/>
        <v>511</v>
      </c>
    </row>
    <row r="663" spans="1:8" x14ac:dyDescent="0.55000000000000004">
      <c r="A663" s="6">
        <v>5.6099104682635295E+18</v>
      </c>
      <c r="B663">
        <v>431</v>
      </c>
      <c r="C663">
        <v>2</v>
      </c>
      <c r="D663">
        <v>2434</v>
      </c>
      <c r="E663">
        <f t="shared" si="44"/>
        <v>4</v>
      </c>
      <c r="F663">
        <f t="shared" si="45"/>
        <v>2</v>
      </c>
      <c r="G663">
        <f t="shared" si="46"/>
        <v>3</v>
      </c>
      <c r="H663">
        <f t="shared" si="47"/>
        <v>423</v>
      </c>
    </row>
    <row r="664" spans="1:8" x14ac:dyDescent="0.55000000000000004">
      <c r="A664" s="6">
        <v>5.6186651322132787E+18</v>
      </c>
      <c r="B664">
        <v>672</v>
      </c>
      <c r="C664">
        <v>1</v>
      </c>
      <c r="D664">
        <v>15415</v>
      </c>
      <c r="E664">
        <f t="shared" si="44"/>
        <v>3</v>
      </c>
      <c r="F664">
        <f t="shared" si="45"/>
        <v>1</v>
      </c>
      <c r="G664">
        <f t="shared" si="46"/>
        <v>3</v>
      </c>
      <c r="H664">
        <f t="shared" si="47"/>
        <v>313</v>
      </c>
    </row>
    <row r="665" spans="1:8" x14ac:dyDescent="0.55000000000000004">
      <c r="A665" s="6">
        <v>5.6382876841213542E+18</v>
      </c>
      <c r="B665">
        <v>176</v>
      </c>
      <c r="C665">
        <v>2</v>
      </c>
      <c r="D665">
        <v>1482</v>
      </c>
      <c r="E665">
        <f t="shared" si="44"/>
        <v>5</v>
      </c>
      <c r="F665">
        <f t="shared" si="45"/>
        <v>2</v>
      </c>
      <c r="G665">
        <f t="shared" si="46"/>
        <v>2</v>
      </c>
      <c r="H665">
        <f t="shared" si="47"/>
        <v>522</v>
      </c>
    </row>
    <row r="666" spans="1:8" x14ac:dyDescent="0.55000000000000004">
      <c r="A666" s="6">
        <v>5.6384367051789804E+18</v>
      </c>
      <c r="B666">
        <v>16</v>
      </c>
      <c r="C666">
        <v>2</v>
      </c>
      <c r="D666">
        <v>4247</v>
      </c>
      <c r="E666">
        <f t="shared" si="44"/>
        <v>5</v>
      </c>
      <c r="F666">
        <f t="shared" si="45"/>
        <v>2</v>
      </c>
      <c r="G666">
        <f t="shared" si="46"/>
        <v>3</v>
      </c>
      <c r="H666">
        <f t="shared" si="47"/>
        <v>523</v>
      </c>
    </row>
    <row r="667" spans="1:8" x14ac:dyDescent="0.55000000000000004">
      <c r="A667" s="6">
        <v>5.6423374827702804E+18</v>
      </c>
      <c r="B667">
        <v>869</v>
      </c>
      <c r="C667">
        <v>2</v>
      </c>
      <c r="D667">
        <v>2384</v>
      </c>
      <c r="E667">
        <f t="shared" si="44"/>
        <v>2</v>
      </c>
      <c r="F667">
        <f t="shared" si="45"/>
        <v>2</v>
      </c>
      <c r="G667">
        <f t="shared" si="46"/>
        <v>3</v>
      </c>
      <c r="H667">
        <f t="shared" si="47"/>
        <v>223</v>
      </c>
    </row>
    <row r="668" spans="1:8" x14ac:dyDescent="0.55000000000000004">
      <c r="A668" s="6">
        <v>5.6429876351709235E+18</v>
      </c>
      <c r="B668">
        <v>34</v>
      </c>
      <c r="C668">
        <v>1</v>
      </c>
      <c r="D668">
        <v>425</v>
      </c>
      <c r="E668">
        <f t="shared" si="44"/>
        <v>5</v>
      </c>
      <c r="F668">
        <f t="shared" si="45"/>
        <v>1</v>
      </c>
      <c r="G668">
        <f t="shared" si="46"/>
        <v>1</v>
      </c>
      <c r="H668">
        <f t="shared" si="47"/>
        <v>511</v>
      </c>
    </row>
    <row r="669" spans="1:8" x14ac:dyDescent="0.55000000000000004">
      <c r="A669" s="6">
        <v>5.6599675409249679E+18</v>
      </c>
      <c r="B669">
        <v>535</v>
      </c>
      <c r="C669">
        <v>2</v>
      </c>
      <c r="D669">
        <v>2846</v>
      </c>
      <c r="E669">
        <f t="shared" si="44"/>
        <v>4</v>
      </c>
      <c r="F669">
        <f t="shared" si="45"/>
        <v>2</v>
      </c>
      <c r="G669">
        <f t="shared" si="46"/>
        <v>3</v>
      </c>
      <c r="H669">
        <f t="shared" si="47"/>
        <v>423</v>
      </c>
    </row>
    <row r="670" spans="1:8" x14ac:dyDescent="0.55000000000000004">
      <c r="A670" s="6">
        <v>5.6630641825212416E+18</v>
      </c>
      <c r="B670">
        <v>732</v>
      </c>
      <c r="C670">
        <v>1</v>
      </c>
      <c r="D670">
        <v>1333</v>
      </c>
      <c r="E670">
        <f t="shared" si="44"/>
        <v>3</v>
      </c>
      <c r="F670">
        <f t="shared" si="45"/>
        <v>1</v>
      </c>
      <c r="G670">
        <f t="shared" si="46"/>
        <v>2</v>
      </c>
      <c r="H670">
        <f t="shared" si="47"/>
        <v>312</v>
      </c>
    </row>
    <row r="671" spans="1:8" x14ac:dyDescent="0.55000000000000004">
      <c r="A671" s="6">
        <v>5.6822075481277911E+18</v>
      </c>
      <c r="B671">
        <v>22</v>
      </c>
      <c r="C671">
        <v>2</v>
      </c>
      <c r="D671">
        <v>1546</v>
      </c>
      <c r="E671">
        <f t="shared" si="44"/>
        <v>5</v>
      </c>
      <c r="F671">
        <f t="shared" si="45"/>
        <v>2</v>
      </c>
      <c r="G671">
        <f t="shared" si="46"/>
        <v>2</v>
      </c>
      <c r="H671">
        <f t="shared" si="47"/>
        <v>522</v>
      </c>
    </row>
    <row r="672" spans="1:8" x14ac:dyDescent="0.55000000000000004">
      <c r="A672" s="6">
        <v>5.6825257000827535E+18</v>
      </c>
      <c r="B672">
        <v>275</v>
      </c>
      <c r="C672">
        <v>3</v>
      </c>
      <c r="D672">
        <v>14975</v>
      </c>
      <c r="E672">
        <f t="shared" si="44"/>
        <v>5</v>
      </c>
      <c r="F672">
        <f t="shared" si="45"/>
        <v>3</v>
      </c>
      <c r="G672">
        <f t="shared" si="46"/>
        <v>3</v>
      </c>
      <c r="H672">
        <f t="shared" si="47"/>
        <v>533</v>
      </c>
    </row>
    <row r="673" spans="1:8" x14ac:dyDescent="0.55000000000000004">
      <c r="A673" s="6">
        <v>5.6918524632912978E+18</v>
      </c>
      <c r="B673">
        <v>75</v>
      </c>
      <c r="C673">
        <v>2</v>
      </c>
      <c r="D673">
        <v>5735</v>
      </c>
      <c r="E673">
        <f t="shared" si="44"/>
        <v>5</v>
      </c>
      <c r="F673">
        <f t="shared" si="45"/>
        <v>2</v>
      </c>
      <c r="G673">
        <f t="shared" si="46"/>
        <v>3</v>
      </c>
      <c r="H673">
        <f t="shared" si="47"/>
        <v>523</v>
      </c>
    </row>
    <row r="674" spans="1:8" x14ac:dyDescent="0.55000000000000004">
      <c r="A674" s="6">
        <v>5.6919244987251599E+18</v>
      </c>
      <c r="B674">
        <v>819</v>
      </c>
      <c r="C674">
        <v>1</v>
      </c>
      <c r="D674">
        <v>1053</v>
      </c>
      <c r="E674">
        <f t="shared" si="44"/>
        <v>3</v>
      </c>
      <c r="F674">
        <f t="shared" si="45"/>
        <v>1</v>
      </c>
      <c r="G674">
        <f t="shared" si="46"/>
        <v>2</v>
      </c>
      <c r="H674">
        <f t="shared" si="47"/>
        <v>312</v>
      </c>
    </row>
    <row r="675" spans="1:8" x14ac:dyDescent="0.55000000000000004">
      <c r="A675" s="6">
        <v>5.6974482217642691E+18</v>
      </c>
      <c r="B675">
        <v>150</v>
      </c>
      <c r="C675">
        <v>1</v>
      </c>
      <c r="D675">
        <v>1175</v>
      </c>
      <c r="E675">
        <f t="shared" si="44"/>
        <v>5</v>
      </c>
      <c r="F675">
        <f t="shared" si="45"/>
        <v>1</v>
      </c>
      <c r="G675">
        <f t="shared" si="46"/>
        <v>2</v>
      </c>
      <c r="H675">
        <f t="shared" si="47"/>
        <v>512</v>
      </c>
    </row>
    <row r="676" spans="1:8" x14ac:dyDescent="0.55000000000000004">
      <c r="A676" s="6">
        <v>5.7005708962086676E+18</v>
      </c>
      <c r="B676">
        <v>11</v>
      </c>
      <c r="C676">
        <v>2</v>
      </c>
      <c r="D676">
        <v>1456</v>
      </c>
      <c r="E676">
        <f t="shared" si="44"/>
        <v>5</v>
      </c>
      <c r="F676">
        <f t="shared" si="45"/>
        <v>2</v>
      </c>
      <c r="G676">
        <f t="shared" si="46"/>
        <v>2</v>
      </c>
      <c r="H676">
        <f t="shared" si="47"/>
        <v>522</v>
      </c>
    </row>
    <row r="677" spans="1:8" x14ac:dyDescent="0.55000000000000004">
      <c r="A677" s="6">
        <v>5.7023836737131592E+18</v>
      </c>
      <c r="B677">
        <v>1246</v>
      </c>
      <c r="C677">
        <v>1</v>
      </c>
      <c r="D677">
        <v>1920</v>
      </c>
      <c r="E677">
        <f t="shared" si="44"/>
        <v>1</v>
      </c>
      <c r="F677">
        <f t="shared" si="45"/>
        <v>1</v>
      </c>
      <c r="G677">
        <f t="shared" si="46"/>
        <v>2</v>
      </c>
      <c r="H677">
        <f t="shared" si="47"/>
        <v>112</v>
      </c>
    </row>
    <row r="678" spans="1:8" x14ac:dyDescent="0.55000000000000004">
      <c r="A678" s="6">
        <v>5.7073573820168806E+18</v>
      </c>
      <c r="B678">
        <v>108</v>
      </c>
      <c r="C678">
        <v>1</v>
      </c>
      <c r="D678">
        <v>296</v>
      </c>
      <c r="E678">
        <f t="shared" si="44"/>
        <v>5</v>
      </c>
      <c r="F678">
        <f t="shared" si="45"/>
        <v>1</v>
      </c>
      <c r="G678">
        <f t="shared" si="46"/>
        <v>1</v>
      </c>
      <c r="H678">
        <f t="shared" si="47"/>
        <v>511</v>
      </c>
    </row>
    <row r="679" spans="1:8" x14ac:dyDescent="0.55000000000000004">
      <c r="A679" s="6">
        <v>5.7291105250867794E+18</v>
      </c>
      <c r="B679">
        <v>96</v>
      </c>
      <c r="C679">
        <v>1</v>
      </c>
      <c r="D679">
        <v>4040</v>
      </c>
      <c r="E679">
        <f t="shared" si="44"/>
        <v>5</v>
      </c>
      <c r="F679">
        <f t="shared" si="45"/>
        <v>1</v>
      </c>
      <c r="G679">
        <f t="shared" si="46"/>
        <v>3</v>
      </c>
      <c r="H679">
        <f t="shared" si="47"/>
        <v>513</v>
      </c>
    </row>
    <row r="680" spans="1:8" x14ac:dyDescent="0.55000000000000004">
      <c r="A680" s="6">
        <v>5.7314394643560571E+18</v>
      </c>
      <c r="B680">
        <v>256</v>
      </c>
      <c r="C680">
        <v>4</v>
      </c>
      <c r="D680">
        <v>10633</v>
      </c>
      <c r="E680">
        <f t="shared" si="44"/>
        <v>5</v>
      </c>
      <c r="F680">
        <f t="shared" si="45"/>
        <v>3</v>
      </c>
      <c r="G680">
        <f t="shared" si="46"/>
        <v>3</v>
      </c>
      <c r="H680">
        <f t="shared" si="47"/>
        <v>533</v>
      </c>
    </row>
    <row r="681" spans="1:8" x14ac:dyDescent="0.55000000000000004">
      <c r="A681" s="6">
        <v>5.7494670863138181E+18</v>
      </c>
      <c r="B681">
        <v>533</v>
      </c>
      <c r="C681">
        <v>1</v>
      </c>
      <c r="D681">
        <v>283</v>
      </c>
      <c r="E681">
        <f t="shared" si="44"/>
        <v>4</v>
      </c>
      <c r="F681">
        <f t="shared" si="45"/>
        <v>1</v>
      </c>
      <c r="G681">
        <f t="shared" si="46"/>
        <v>1</v>
      </c>
      <c r="H681">
        <f t="shared" si="47"/>
        <v>411</v>
      </c>
    </row>
    <row r="682" spans="1:8" x14ac:dyDescent="0.55000000000000004">
      <c r="A682" s="6">
        <v>5.7556105243482644E+18</v>
      </c>
      <c r="B682">
        <v>107</v>
      </c>
      <c r="C682">
        <v>3</v>
      </c>
      <c r="D682">
        <v>1204</v>
      </c>
      <c r="E682">
        <f t="shared" si="44"/>
        <v>5</v>
      </c>
      <c r="F682">
        <f t="shared" si="45"/>
        <v>3</v>
      </c>
      <c r="G682">
        <f t="shared" si="46"/>
        <v>2</v>
      </c>
      <c r="H682">
        <f t="shared" si="47"/>
        <v>532</v>
      </c>
    </row>
    <row r="683" spans="1:8" x14ac:dyDescent="0.55000000000000004">
      <c r="A683" s="6">
        <v>5.7659891873700403E+18</v>
      </c>
      <c r="B683">
        <v>362</v>
      </c>
      <c r="C683">
        <v>2</v>
      </c>
      <c r="D683">
        <v>1054</v>
      </c>
      <c r="E683">
        <f t="shared" si="44"/>
        <v>4</v>
      </c>
      <c r="F683">
        <f t="shared" si="45"/>
        <v>2</v>
      </c>
      <c r="G683">
        <f t="shared" si="46"/>
        <v>2</v>
      </c>
      <c r="H683">
        <f t="shared" si="47"/>
        <v>422</v>
      </c>
    </row>
    <row r="684" spans="1:8" x14ac:dyDescent="0.55000000000000004">
      <c r="A684" s="6">
        <v>5.7661049619039703E+18</v>
      </c>
      <c r="B684">
        <v>22</v>
      </c>
      <c r="C684">
        <v>1</v>
      </c>
      <c r="D684">
        <v>1740</v>
      </c>
      <c r="E684">
        <f t="shared" si="44"/>
        <v>5</v>
      </c>
      <c r="F684">
        <f t="shared" si="45"/>
        <v>1</v>
      </c>
      <c r="G684">
        <f t="shared" si="46"/>
        <v>2</v>
      </c>
      <c r="H684">
        <f t="shared" si="47"/>
        <v>512</v>
      </c>
    </row>
    <row r="685" spans="1:8" x14ac:dyDescent="0.55000000000000004">
      <c r="A685" s="6">
        <v>5.7910861182605609E+18</v>
      </c>
      <c r="B685">
        <v>79</v>
      </c>
      <c r="C685">
        <v>2</v>
      </c>
      <c r="D685">
        <v>1177</v>
      </c>
      <c r="E685">
        <f t="shared" si="44"/>
        <v>5</v>
      </c>
      <c r="F685">
        <f t="shared" si="45"/>
        <v>2</v>
      </c>
      <c r="G685">
        <f t="shared" si="46"/>
        <v>2</v>
      </c>
      <c r="H685">
        <f t="shared" si="47"/>
        <v>522</v>
      </c>
    </row>
    <row r="686" spans="1:8" x14ac:dyDescent="0.55000000000000004">
      <c r="A686" s="6">
        <v>5.7976081621662054E+18</v>
      </c>
      <c r="B686">
        <v>744</v>
      </c>
      <c r="C686">
        <v>1</v>
      </c>
      <c r="D686">
        <v>690</v>
      </c>
      <c r="E686">
        <f t="shared" si="44"/>
        <v>3</v>
      </c>
      <c r="F686">
        <f t="shared" si="45"/>
        <v>1</v>
      </c>
      <c r="G686">
        <f t="shared" si="46"/>
        <v>2</v>
      </c>
      <c r="H686">
        <f t="shared" si="47"/>
        <v>312</v>
      </c>
    </row>
    <row r="687" spans="1:8" x14ac:dyDescent="0.55000000000000004">
      <c r="A687" s="6">
        <v>5.7983901334204365E+18</v>
      </c>
      <c r="B687">
        <v>641</v>
      </c>
      <c r="C687">
        <v>1</v>
      </c>
      <c r="D687">
        <v>1196</v>
      </c>
      <c r="E687">
        <f t="shared" si="44"/>
        <v>3</v>
      </c>
      <c r="F687">
        <f t="shared" si="45"/>
        <v>1</v>
      </c>
      <c r="G687">
        <f t="shared" si="46"/>
        <v>2</v>
      </c>
      <c r="H687">
        <f t="shared" si="47"/>
        <v>312</v>
      </c>
    </row>
    <row r="688" spans="1:8" x14ac:dyDescent="0.55000000000000004">
      <c r="A688" s="6">
        <v>5.8046519740638956E+18</v>
      </c>
      <c r="B688">
        <v>211</v>
      </c>
      <c r="C688">
        <v>1</v>
      </c>
      <c r="D688">
        <v>386</v>
      </c>
      <c r="E688">
        <f t="shared" si="44"/>
        <v>5</v>
      </c>
      <c r="F688">
        <f t="shared" si="45"/>
        <v>1</v>
      </c>
      <c r="G688">
        <f t="shared" si="46"/>
        <v>1</v>
      </c>
      <c r="H688">
        <f t="shared" si="47"/>
        <v>511</v>
      </c>
    </row>
    <row r="689" spans="1:8" x14ac:dyDescent="0.55000000000000004">
      <c r="A689" s="6">
        <v>5.8066164037275054E+18</v>
      </c>
      <c r="B689">
        <v>399</v>
      </c>
      <c r="C689">
        <v>1</v>
      </c>
      <c r="D689">
        <v>7970</v>
      </c>
      <c r="E689">
        <f t="shared" si="44"/>
        <v>4</v>
      </c>
      <c r="F689">
        <f t="shared" si="45"/>
        <v>1</v>
      </c>
      <c r="G689">
        <f t="shared" si="46"/>
        <v>3</v>
      </c>
      <c r="H689">
        <f t="shared" si="47"/>
        <v>413</v>
      </c>
    </row>
    <row r="690" spans="1:8" x14ac:dyDescent="0.55000000000000004">
      <c r="A690" s="6">
        <v>5.8176783672434412E+18</v>
      </c>
      <c r="B690">
        <v>890</v>
      </c>
      <c r="C690">
        <v>1</v>
      </c>
      <c r="D690">
        <v>400</v>
      </c>
      <c r="E690">
        <f t="shared" si="44"/>
        <v>2</v>
      </c>
      <c r="F690">
        <f t="shared" si="45"/>
        <v>1</v>
      </c>
      <c r="G690">
        <f t="shared" si="46"/>
        <v>1</v>
      </c>
      <c r="H690">
        <f t="shared" si="47"/>
        <v>211</v>
      </c>
    </row>
    <row r="691" spans="1:8" x14ac:dyDescent="0.55000000000000004">
      <c r="A691" s="6">
        <v>5.8245192961811661E+18</v>
      </c>
      <c r="B691">
        <v>99</v>
      </c>
      <c r="C691">
        <v>2</v>
      </c>
      <c r="D691">
        <v>7020</v>
      </c>
      <c r="E691">
        <f t="shared" si="44"/>
        <v>5</v>
      </c>
      <c r="F691">
        <f t="shared" si="45"/>
        <v>2</v>
      </c>
      <c r="G691">
        <f t="shared" si="46"/>
        <v>3</v>
      </c>
      <c r="H691">
        <f t="shared" si="47"/>
        <v>523</v>
      </c>
    </row>
    <row r="692" spans="1:8" x14ac:dyDescent="0.55000000000000004">
      <c r="A692" s="6">
        <v>5.8273439590150308E+18</v>
      </c>
      <c r="B692">
        <v>841</v>
      </c>
      <c r="C692">
        <v>1</v>
      </c>
      <c r="D692">
        <v>55020</v>
      </c>
      <c r="E692">
        <f t="shared" si="44"/>
        <v>3</v>
      </c>
      <c r="F692">
        <f t="shared" si="45"/>
        <v>1</v>
      </c>
      <c r="G692">
        <f t="shared" si="46"/>
        <v>3</v>
      </c>
      <c r="H692">
        <f t="shared" si="47"/>
        <v>313</v>
      </c>
    </row>
    <row r="693" spans="1:8" x14ac:dyDescent="0.55000000000000004">
      <c r="A693" s="6">
        <v>5.8282773082604247E+18</v>
      </c>
      <c r="B693">
        <v>572</v>
      </c>
      <c r="C693">
        <v>1</v>
      </c>
      <c r="D693">
        <v>199</v>
      </c>
      <c r="E693">
        <f t="shared" si="44"/>
        <v>4</v>
      </c>
      <c r="F693">
        <f t="shared" si="45"/>
        <v>1</v>
      </c>
      <c r="G693">
        <f t="shared" si="46"/>
        <v>1</v>
      </c>
      <c r="H693">
        <f t="shared" si="47"/>
        <v>411</v>
      </c>
    </row>
    <row r="694" spans="1:8" x14ac:dyDescent="0.55000000000000004">
      <c r="A694" s="6">
        <v>5.8340753107297587E+18</v>
      </c>
      <c r="B694">
        <v>254</v>
      </c>
      <c r="C694">
        <v>4</v>
      </c>
      <c r="D694">
        <v>18463</v>
      </c>
      <c r="E694">
        <f t="shared" si="44"/>
        <v>5</v>
      </c>
      <c r="F694">
        <f t="shared" si="45"/>
        <v>3</v>
      </c>
      <c r="G694">
        <f t="shared" si="46"/>
        <v>3</v>
      </c>
      <c r="H694">
        <f t="shared" si="47"/>
        <v>533</v>
      </c>
    </row>
    <row r="695" spans="1:8" x14ac:dyDescent="0.55000000000000004">
      <c r="A695" s="6">
        <v>5.8340963873294909E+18</v>
      </c>
      <c r="B695">
        <v>133</v>
      </c>
      <c r="C695">
        <v>3</v>
      </c>
      <c r="D695">
        <v>2003</v>
      </c>
      <c r="E695">
        <f t="shared" si="44"/>
        <v>5</v>
      </c>
      <c r="F695">
        <f t="shared" si="45"/>
        <v>3</v>
      </c>
      <c r="G695">
        <f t="shared" si="46"/>
        <v>2</v>
      </c>
      <c r="H695">
        <f t="shared" si="47"/>
        <v>532</v>
      </c>
    </row>
    <row r="696" spans="1:8" x14ac:dyDescent="0.55000000000000004">
      <c r="A696" s="6">
        <v>5.8366539935574548E+18</v>
      </c>
      <c r="B696">
        <v>162</v>
      </c>
      <c r="C696">
        <v>2</v>
      </c>
      <c r="D696">
        <v>4503</v>
      </c>
      <c r="E696">
        <f t="shared" si="44"/>
        <v>5</v>
      </c>
      <c r="F696">
        <f t="shared" si="45"/>
        <v>2</v>
      </c>
      <c r="G696">
        <f t="shared" si="46"/>
        <v>3</v>
      </c>
      <c r="H696">
        <f t="shared" si="47"/>
        <v>523</v>
      </c>
    </row>
    <row r="697" spans="1:8" x14ac:dyDescent="0.55000000000000004">
      <c r="A697" s="6">
        <v>5.8446676842090926E+18</v>
      </c>
      <c r="B697">
        <v>153</v>
      </c>
      <c r="C697">
        <v>3</v>
      </c>
      <c r="D697">
        <v>1055</v>
      </c>
      <c r="E697">
        <f t="shared" si="44"/>
        <v>5</v>
      </c>
      <c r="F697">
        <f t="shared" si="45"/>
        <v>3</v>
      </c>
      <c r="G697">
        <f t="shared" si="46"/>
        <v>2</v>
      </c>
      <c r="H697">
        <f t="shared" si="47"/>
        <v>532</v>
      </c>
    </row>
    <row r="698" spans="1:8" x14ac:dyDescent="0.55000000000000004">
      <c r="A698" s="6">
        <v>5.8453089461778842E+18</v>
      </c>
      <c r="B698">
        <v>299</v>
      </c>
      <c r="C698">
        <v>1</v>
      </c>
      <c r="D698">
        <v>1309</v>
      </c>
      <c r="E698">
        <f t="shared" si="44"/>
        <v>4</v>
      </c>
      <c r="F698">
        <f t="shared" si="45"/>
        <v>1</v>
      </c>
      <c r="G698">
        <f t="shared" si="46"/>
        <v>2</v>
      </c>
      <c r="H698">
        <f t="shared" si="47"/>
        <v>412</v>
      </c>
    </row>
    <row r="699" spans="1:8" x14ac:dyDescent="0.55000000000000004">
      <c r="A699" s="6">
        <v>5.8485697205147709E+18</v>
      </c>
      <c r="B699">
        <v>1167</v>
      </c>
      <c r="C699">
        <v>1</v>
      </c>
      <c r="D699">
        <v>167</v>
      </c>
      <c r="E699">
        <f t="shared" si="44"/>
        <v>1</v>
      </c>
      <c r="F699">
        <f t="shared" si="45"/>
        <v>1</v>
      </c>
      <c r="G699">
        <f t="shared" si="46"/>
        <v>1</v>
      </c>
      <c r="H699">
        <f t="shared" si="47"/>
        <v>111</v>
      </c>
    </row>
    <row r="700" spans="1:8" x14ac:dyDescent="0.55000000000000004">
      <c r="A700" s="6">
        <v>5.8495625339273144E+18</v>
      </c>
      <c r="B700">
        <v>308</v>
      </c>
      <c r="C700">
        <v>1</v>
      </c>
      <c r="D700">
        <v>160</v>
      </c>
      <c r="E700">
        <f t="shared" si="44"/>
        <v>4</v>
      </c>
      <c r="F700">
        <f t="shared" si="45"/>
        <v>1</v>
      </c>
      <c r="G700">
        <f t="shared" si="46"/>
        <v>1</v>
      </c>
      <c r="H700">
        <f t="shared" si="47"/>
        <v>411</v>
      </c>
    </row>
    <row r="701" spans="1:8" x14ac:dyDescent="0.55000000000000004">
      <c r="A701" s="6">
        <v>5.8527438191363031E+18</v>
      </c>
      <c r="B701">
        <v>837</v>
      </c>
      <c r="C701">
        <v>1</v>
      </c>
      <c r="D701">
        <v>3207</v>
      </c>
      <c r="E701">
        <f t="shared" si="44"/>
        <v>3</v>
      </c>
      <c r="F701">
        <f t="shared" si="45"/>
        <v>1</v>
      </c>
      <c r="G701">
        <f t="shared" si="46"/>
        <v>3</v>
      </c>
      <c r="H701">
        <f t="shared" si="47"/>
        <v>313</v>
      </c>
    </row>
    <row r="702" spans="1:8" x14ac:dyDescent="0.55000000000000004">
      <c r="A702" s="6">
        <v>5.8580331839227464E+18</v>
      </c>
      <c r="B702">
        <v>30</v>
      </c>
      <c r="C702">
        <v>1</v>
      </c>
      <c r="D702">
        <v>780</v>
      </c>
      <c r="E702">
        <f t="shared" si="44"/>
        <v>5</v>
      </c>
      <c r="F702">
        <f t="shared" si="45"/>
        <v>1</v>
      </c>
      <c r="G702">
        <f t="shared" si="46"/>
        <v>2</v>
      </c>
      <c r="H702">
        <f t="shared" si="47"/>
        <v>512</v>
      </c>
    </row>
    <row r="703" spans="1:8" x14ac:dyDescent="0.55000000000000004">
      <c r="A703" s="6">
        <v>5.8649699749280215E+18</v>
      </c>
      <c r="B703">
        <v>103</v>
      </c>
      <c r="C703">
        <v>4</v>
      </c>
      <c r="D703">
        <v>8699</v>
      </c>
      <c r="E703">
        <f t="shared" si="44"/>
        <v>5</v>
      </c>
      <c r="F703">
        <f t="shared" si="45"/>
        <v>3</v>
      </c>
      <c r="G703">
        <f t="shared" si="46"/>
        <v>3</v>
      </c>
      <c r="H703">
        <f t="shared" si="47"/>
        <v>533</v>
      </c>
    </row>
    <row r="704" spans="1:8" x14ac:dyDescent="0.55000000000000004">
      <c r="A704" s="6">
        <v>5.8660013562805678E+18</v>
      </c>
      <c r="B704">
        <v>1075</v>
      </c>
      <c r="C704">
        <v>1</v>
      </c>
      <c r="D704">
        <v>2690</v>
      </c>
      <c r="E704">
        <f t="shared" si="44"/>
        <v>2</v>
      </c>
      <c r="F704">
        <f t="shared" si="45"/>
        <v>1</v>
      </c>
      <c r="G704">
        <f t="shared" si="46"/>
        <v>3</v>
      </c>
      <c r="H704">
        <f t="shared" si="47"/>
        <v>213</v>
      </c>
    </row>
    <row r="705" spans="1:8" x14ac:dyDescent="0.55000000000000004">
      <c r="A705" s="6">
        <v>5.8784430253090079E+18</v>
      </c>
      <c r="B705">
        <v>20</v>
      </c>
      <c r="C705">
        <v>2</v>
      </c>
      <c r="D705">
        <v>3145</v>
      </c>
      <c r="E705">
        <f t="shared" si="44"/>
        <v>5</v>
      </c>
      <c r="F705">
        <f t="shared" si="45"/>
        <v>2</v>
      </c>
      <c r="G705">
        <f t="shared" si="46"/>
        <v>3</v>
      </c>
      <c r="H705">
        <f t="shared" si="47"/>
        <v>523</v>
      </c>
    </row>
    <row r="706" spans="1:8" x14ac:dyDescent="0.55000000000000004">
      <c r="A706" s="6">
        <v>5.880092382884011E+18</v>
      </c>
      <c r="B706">
        <v>24</v>
      </c>
      <c r="C706">
        <v>1</v>
      </c>
      <c r="D706">
        <v>2871</v>
      </c>
      <c r="E706">
        <f t="shared" si="44"/>
        <v>5</v>
      </c>
      <c r="F706">
        <f t="shared" si="45"/>
        <v>1</v>
      </c>
      <c r="G706">
        <f t="shared" si="46"/>
        <v>3</v>
      </c>
      <c r="H706">
        <f t="shared" si="47"/>
        <v>513</v>
      </c>
    </row>
    <row r="707" spans="1:8" x14ac:dyDescent="0.55000000000000004">
      <c r="A707" s="6">
        <v>5.881433254715179E+18</v>
      </c>
      <c r="B707">
        <v>384</v>
      </c>
      <c r="C707">
        <v>1</v>
      </c>
      <c r="D707">
        <v>1218</v>
      </c>
      <c r="E707">
        <f t="shared" ref="E707:E770" si="48">VLOOKUP(B707,$K$5:$L$9,2,1)</f>
        <v>4</v>
      </c>
      <c r="F707">
        <f t="shared" ref="F707:F770" si="49">VLOOKUP(C707,$K$15:$L$17,2,1)</f>
        <v>1</v>
      </c>
      <c r="G707">
        <f t="shared" ref="G707:G770" si="50">VLOOKUP(D707,$K$24:$L$26,2,1)</f>
        <v>2</v>
      </c>
      <c r="H707">
        <f t="shared" ref="H707:H770" si="51">E707*100+F707*10+G707</f>
        <v>412</v>
      </c>
    </row>
    <row r="708" spans="1:8" x14ac:dyDescent="0.55000000000000004">
      <c r="A708" s="6">
        <v>5.8825871455281633E+18</v>
      </c>
      <c r="B708">
        <v>208</v>
      </c>
      <c r="C708">
        <v>2</v>
      </c>
      <c r="D708">
        <v>8331</v>
      </c>
      <c r="E708">
        <f t="shared" si="48"/>
        <v>5</v>
      </c>
      <c r="F708">
        <f t="shared" si="49"/>
        <v>2</v>
      </c>
      <c r="G708">
        <f t="shared" si="50"/>
        <v>3</v>
      </c>
      <c r="H708">
        <f t="shared" si="51"/>
        <v>523</v>
      </c>
    </row>
    <row r="709" spans="1:8" x14ac:dyDescent="0.55000000000000004">
      <c r="A709" s="6">
        <v>5.8918493956634819E+18</v>
      </c>
      <c r="B709">
        <v>43</v>
      </c>
      <c r="C709">
        <v>1</v>
      </c>
      <c r="D709">
        <v>277</v>
      </c>
      <c r="E709">
        <f t="shared" si="48"/>
        <v>5</v>
      </c>
      <c r="F709">
        <f t="shared" si="49"/>
        <v>1</v>
      </c>
      <c r="G709">
        <f t="shared" si="50"/>
        <v>1</v>
      </c>
      <c r="H709">
        <f t="shared" si="51"/>
        <v>511</v>
      </c>
    </row>
    <row r="710" spans="1:8" x14ac:dyDescent="0.55000000000000004">
      <c r="A710" s="6">
        <v>5.9076356762723389E+18</v>
      </c>
      <c r="B710">
        <v>889</v>
      </c>
      <c r="C710">
        <v>1</v>
      </c>
      <c r="D710">
        <v>498</v>
      </c>
      <c r="E710">
        <f t="shared" si="48"/>
        <v>2</v>
      </c>
      <c r="F710">
        <f t="shared" si="49"/>
        <v>1</v>
      </c>
      <c r="G710">
        <f t="shared" si="50"/>
        <v>1</v>
      </c>
      <c r="H710">
        <f t="shared" si="51"/>
        <v>211</v>
      </c>
    </row>
    <row r="711" spans="1:8" x14ac:dyDescent="0.55000000000000004">
      <c r="A711" s="6">
        <v>5.9140597912836055E+18</v>
      </c>
      <c r="B711">
        <v>470</v>
      </c>
      <c r="C711">
        <v>1</v>
      </c>
      <c r="D711">
        <v>630</v>
      </c>
      <c r="E711">
        <f t="shared" si="48"/>
        <v>4</v>
      </c>
      <c r="F711">
        <f t="shared" si="49"/>
        <v>1</v>
      </c>
      <c r="G711">
        <f t="shared" si="50"/>
        <v>1</v>
      </c>
      <c r="H711">
        <f t="shared" si="51"/>
        <v>411</v>
      </c>
    </row>
    <row r="712" spans="1:8" x14ac:dyDescent="0.55000000000000004">
      <c r="A712" s="6">
        <v>5.9243940192343204E+18</v>
      </c>
      <c r="B712">
        <v>771</v>
      </c>
      <c r="C712">
        <v>1</v>
      </c>
      <c r="D712">
        <v>510</v>
      </c>
      <c r="E712">
        <f t="shared" si="48"/>
        <v>3</v>
      </c>
      <c r="F712">
        <f t="shared" si="49"/>
        <v>1</v>
      </c>
      <c r="G712">
        <f t="shared" si="50"/>
        <v>1</v>
      </c>
      <c r="H712">
        <f t="shared" si="51"/>
        <v>311</v>
      </c>
    </row>
    <row r="713" spans="1:8" x14ac:dyDescent="0.55000000000000004">
      <c r="A713" s="6">
        <v>5.9294889023276319E+18</v>
      </c>
      <c r="B713">
        <v>887</v>
      </c>
      <c r="C713">
        <v>2</v>
      </c>
      <c r="D713">
        <v>8323</v>
      </c>
      <c r="E713">
        <f t="shared" si="48"/>
        <v>2</v>
      </c>
      <c r="F713">
        <f t="shared" si="49"/>
        <v>2</v>
      </c>
      <c r="G713">
        <f t="shared" si="50"/>
        <v>3</v>
      </c>
      <c r="H713">
        <f t="shared" si="51"/>
        <v>223</v>
      </c>
    </row>
    <row r="714" spans="1:8" x14ac:dyDescent="0.55000000000000004">
      <c r="A714" s="6">
        <v>5.9351186772047555E+18</v>
      </c>
      <c r="B714">
        <v>478</v>
      </c>
      <c r="C714">
        <v>1</v>
      </c>
      <c r="D714">
        <v>1408</v>
      </c>
      <c r="E714">
        <f t="shared" si="48"/>
        <v>4</v>
      </c>
      <c r="F714">
        <f t="shared" si="49"/>
        <v>1</v>
      </c>
      <c r="G714">
        <f t="shared" si="50"/>
        <v>2</v>
      </c>
      <c r="H714">
        <f t="shared" si="51"/>
        <v>412</v>
      </c>
    </row>
    <row r="715" spans="1:8" x14ac:dyDescent="0.55000000000000004">
      <c r="A715" s="6">
        <v>5.9432810329175511E+18</v>
      </c>
      <c r="B715">
        <v>653</v>
      </c>
      <c r="C715">
        <v>1</v>
      </c>
      <c r="D715">
        <v>799</v>
      </c>
      <c r="E715">
        <f t="shared" si="48"/>
        <v>3</v>
      </c>
      <c r="F715">
        <f t="shared" si="49"/>
        <v>1</v>
      </c>
      <c r="G715">
        <f t="shared" si="50"/>
        <v>2</v>
      </c>
      <c r="H715">
        <f t="shared" si="51"/>
        <v>312</v>
      </c>
    </row>
    <row r="716" spans="1:8" x14ac:dyDescent="0.55000000000000004">
      <c r="A716" s="6">
        <v>5.9513242594965381E+18</v>
      </c>
      <c r="B716">
        <v>577</v>
      </c>
      <c r="C716">
        <v>1</v>
      </c>
      <c r="D716">
        <v>596</v>
      </c>
      <c r="E716">
        <f t="shared" si="48"/>
        <v>4</v>
      </c>
      <c r="F716">
        <f t="shared" si="49"/>
        <v>1</v>
      </c>
      <c r="G716">
        <f t="shared" si="50"/>
        <v>1</v>
      </c>
      <c r="H716">
        <f t="shared" si="51"/>
        <v>411</v>
      </c>
    </row>
    <row r="717" spans="1:8" x14ac:dyDescent="0.55000000000000004">
      <c r="A717" s="6">
        <v>5.9912185336162427E+18</v>
      </c>
      <c r="B717">
        <v>69</v>
      </c>
      <c r="C717">
        <v>2</v>
      </c>
      <c r="D717">
        <v>924</v>
      </c>
      <c r="E717">
        <f t="shared" si="48"/>
        <v>5</v>
      </c>
      <c r="F717">
        <f t="shared" si="49"/>
        <v>2</v>
      </c>
      <c r="G717">
        <f t="shared" si="50"/>
        <v>2</v>
      </c>
      <c r="H717">
        <f t="shared" si="51"/>
        <v>522</v>
      </c>
    </row>
    <row r="718" spans="1:8" x14ac:dyDescent="0.55000000000000004">
      <c r="A718" s="6">
        <v>6.0064479704031314E+18</v>
      </c>
      <c r="B718">
        <v>3</v>
      </c>
      <c r="C718">
        <v>1</v>
      </c>
      <c r="D718">
        <v>190</v>
      </c>
      <c r="E718">
        <f t="shared" si="48"/>
        <v>5</v>
      </c>
      <c r="F718">
        <f t="shared" si="49"/>
        <v>1</v>
      </c>
      <c r="G718">
        <f t="shared" si="50"/>
        <v>1</v>
      </c>
      <c r="H718">
        <f t="shared" si="51"/>
        <v>511</v>
      </c>
    </row>
    <row r="719" spans="1:8" x14ac:dyDescent="0.55000000000000004">
      <c r="A719" s="6">
        <v>6.025922031137792E+18</v>
      </c>
      <c r="B719">
        <v>1398</v>
      </c>
      <c r="C719">
        <v>1</v>
      </c>
      <c r="D719">
        <v>1050</v>
      </c>
      <c r="E719">
        <f t="shared" si="48"/>
        <v>1</v>
      </c>
      <c r="F719">
        <f t="shared" si="49"/>
        <v>1</v>
      </c>
      <c r="G719">
        <f t="shared" si="50"/>
        <v>2</v>
      </c>
      <c r="H719">
        <f t="shared" si="51"/>
        <v>112</v>
      </c>
    </row>
    <row r="720" spans="1:8" x14ac:dyDescent="0.55000000000000004">
      <c r="A720" s="6">
        <v>6.0436031502157281E+18</v>
      </c>
      <c r="B720">
        <v>934</v>
      </c>
      <c r="C720">
        <v>2</v>
      </c>
      <c r="D720">
        <v>943</v>
      </c>
      <c r="E720">
        <f t="shared" si="48"/>
        <v>2</v>
      </c>
      <c r="F720">
        <f t="shared" si="49"/>
        <v>2</v>
      </c>
      <c r="G720">
        <f t="shared" si="50"/>
        <v>2</v>
      </c>
      <c r="H720">
        <f t="shared" si="51"/>
        <v>222</v>
      </c>
    </row>
    <row r="721" spans="1:8" x14ac:dyDescent="0.55000000000000004">
      <c r="A721" s="6">
        <v>6.0502654778610524E+18</v>
      </c>
      <c r="B721">
        <v>1114</v>
      </c>
      <c r="C721">
        <v>2</v>
      </c>
      <c r="D721">
        <v>125</v>
      </c>
      <c r="E721">
        <f t="shared" si="48"/>
        <v>2</v>
      </c>
      <c r="F721">
        <f t="shared" si="49"/>
        <v>2</v>
      </c>
      <c r="G721">
        <f t="shared" si="50"/>
        <v>1</v>
      </c>
      <c r="H721">
        <f t="shared" si="51"/>
        <v>221</v>
      </c>
    </row>
    <row r="722" spans="1:8" x14ac:dyDescent="0.55000000000000004">
      <c r="A722" s="6">
        <v>6.0647484128367104E+18</v>
      </c>
      <c r="B722">
        <v>698</v>
      </c>
      <c r="C722">
        <v>1</v>
      </c>
      <c r="D722">
        <v>1399</v>
      </c>
      <c r="E722">
        <f t="shared" si="48"/>
        <v>3</v>
      </c>
      <c r="F722">
        <f t="shared" si="49"/>
        <v>1</v>
      </c>
      <c r="G722">
        <f t="shared" si="50"/>
        <v>2</v>
      </c>
      <c r="H722">
        <f t="shared" si="51"/>
        <v>312</v>
      </c>
    </row>
    <row r="723" spans="1:8" x14ac:dyDescent="0.55000000000000004">
      <c r="A723" s="6">
        <v>6.0654496658877901E+18</v>
      </c>
      <c r="B723">
        <v>873</v>
      </c>
      <c r="C723">
        <v>2</v>
      </c>
      <c r="D723">
        <v>11560</v>
      </c>
      <c r="E723">
        <f t="shared" si="48"/>
        <v>2</v>
      </c>
      <c r="F723">
        <f t="shared" si="49"/>
        <v>2</v>
      </c>
      <c r="G723">
        <f t="shared" si="50"/>
        <v>3</v>
      </c>
      <c r="H723">
        <f t="shared" si="51"/>
        <v>223</v>
      </c>
    </row>
    <row r="724" spans="1:8" x14ac:dyDescent="0.55000000000000004">
      <c r="A724" s="6">
        <v>6.0699786435620608E+18</v>
      </c>
      <c r="B724">
        <v>787</v>
      </c>
      <c r="C724">
        <v>2</v>
      </c>
      <c r="D724">
        <v>1399</v>
      </c>
      <c r="E724">
        <f t="shared" si="48"/>
        <v>3</v>
      </c>
      <c r="F724">
        <f t="shared" si="49"/>
        <v>2</v>
      </c>
      <c r="G724">
        <f t="shared" si="50"/>
        <v>2</v>
      </c>
      <c r="H724">
        <f t="shared" si="51"/>
        <v>322</v>
      </c>
    </row>
    <row r="725" spans="1:8" x14ac:dyDescent="0.55000000000000004">
      <c r="A725" s="6">
        <v>6.0705676511978691E+18</v>
      </c>
      <c r="B725">
        <v>480</v>
      </c>
      <c r="C725">
        <v>1</v>
      </c>
      <c r="D725">
        <v>1880</v>
      </c>
      <c r="E725">
        <f t="shared" si="48"/>
        <v>4</v>
      </c>
      <c r="F725">
        <f t="shared" si="49"/>
        <v>1</v>
      </c>
      <c r="G725">
        <f t="shared" si="50"/>
        <v>2</v>
      </c>
      <c r="H725">
        <f t="shared" si="51"/>
        <v>412</v>
      </c>
    </row>
    <row r="726" spans="1:8" x14ac:dyDescent="0.55000000000000004">
      <c r="A726" s="6">
        <v>6.084764153214294E+18</v>
      </c>
      <c r="B726">
        <v>438</v>
      </c>
      <c r="C726">
        <v>2</v>
      </c>
      <c r="D726">
        <v>3607</v>
      </c>
      <c r="E726">
        <f t="shared" si="48"/>
        <v>4</v>
      </c>
      <c r="F726">
        <f t="shared" si="49"/>
        <v>2</v>
      </c>
      <c r="G726">
        <f t="shared" si="50"/>
        <v>3</v>
      </c>
      <c r="H726">
        <f t="shared" si="51"/>
        <v>423</v>
      </c>
    </row>
    <row r="727" spans="1:8" x14ac:dyDescent="0.55000000000000004">
      <c r="A727" s="6">
        <v>6.0930507342067261E+18</v>
      </c>
      <c r="B727">
        <v>217</v>
      </c>
      <c r="C727">
        <v>1</v>
      </c>
      <c r="D727">
        <v>790</v>
      </c>
      <c r="E727">
        <f t="shared" si="48"/>
        <v>5</v>
      </c>
      <c r="F727">
        <f t="shared" si="49"/>
        <v>1</v>
      </c>
      <c r="G727">
        <f t="shared" si="50"/>
        <v>2</v>
      </c>
      <c r="H727">
        <f t="shared" si="51"/>
        <v>512</v>
      </c>
    </row>
    <row r="728" spans="1:8" x14ac:dyDescent="0.55000000000000004">
      <c r="A728" s="6">
        <v>6.0965140272997366E+18</v>
      </c>
      <c r="B728">
        <v>45</v>
      </c>
      <c r="C728">
        <v>6</v>
      </c>
      <c r="D728">
        <v>12928</v>
      </c>
      <c r="E728">
        <f t="shared" si="48"/>
        <v>5</v>
      </c>
      <c r="F728">
        <f t="shared" si="49"/>
        <v>3</v>
      </c>
      <c r="G728">
        <f t="shared" si="50"/>
        <v>3</v>
      </c>
      <c r="H728">
        <f t="shared" si="51"/>
        <v>533</v>
      </c>
    </row>
    <row r="729" spans="1:8" x14ac:dyDescent="0.55000000000000004">
      <c r="A729" s="6">
        <v>6.0967920813631478E+18</v>
      </c>
      <c r="B729">
        <v>534</v>
      </c>
      <c r="C729">
        <v>1</v>
      </c>
      <c r="D729">
        <v>240</v>
      </c>
      <c r="E729">
        <f t="shared" si="48"/>
        <v>4</v>
      </c>
      <c r="F729">
        <f t="shared" si="49"/>
        <v>1</v>
      </c>
      <c r="G729">
        <f t="shared" si="50"/>
        <v>1</v>
      </c>
      <c r="H729">
        <f t="shared" si="51"/>
        <v>411</v>
      </c>
    </row>
    <row r="730" spans="1:8" x14ac:dyDescent="0.55000000000000004">
      <c r="A730" s="6">
        <v>6.1057971100813087E+18</v>
      </c>
      <c r="B730">
        <v>902</v>
      </c>
      <c r="C730">
        <v>2</v>
      </c>
      <c r="D730">
        <v>1525</v>
      </c>
      <c r="E730">
        <f t="shared" si="48"/>
        <v>2</v>
      </c>
      <c r="F730">
        <f t="shared" si="49"/>
        <v>2</v>
      </c>
      <c r="G730">
        <f t="shared" si="50"/>
        <v>2</v>
      </c>
      <c r="H730">
        <f t="shared" si="51"/>
        <v>222</v>
      </c>
    </row>
    <row r="731" spans="1:8" x14ac:dyDescent="0.55000000000000004">
      <c r="A731" s="6">
        <v>6.11687229500642E+18</v>
      </c>
      <c r="B731">
        <v>85</v>
      </c>
      <c r="C731">
        <v>3</v>
      </c>
      <c r="D731">
        <v>2323</v>
      </c>
      <c r="E731">
        <f t="shared" si="48"/>
        <v>5</v>
      </c>
      <c r="F731">
        <f t="shared" si="49"/>
        <v>3</v>
      </c>
      <c r="G731">
        <f t="shared" si="50"/>
        <v>3</v>
      </c>
      <c r="H731">
        <f t="shared" si="51"/>
        <v>533</v>
      </c>
    </row>
    <row r="732" spans="1:8" x14ac:dyDescent="0.55000000000000004">
      <c r="A732" s="6">
        <v>6.1294857726784379E+18</v>
      </c>
      <c r="B732">
        <v>698</v>
      </c>
      <c r="C732">
        <v>1</v>
      </c>
      <c r="D732">
        <v>69</v>
      </c>
      <c r="E732">
        <f t="shared" si="48"/>
        <v>3</v>
      </c>
      <c r="F732">
        <f t="shared" si="49"/>
        <v>1</v>
      </c>
      <c r="G732">
        <f t="shared" si="50"/>
        <v>1</v>
      </c>
      <c r="H732">
        <f t="shared" si="51"/>
        <v>311</v>
      </c>
    </row>
    <row r="733" spans="1:8" x14ac:dyDescent="0.55000000000000004">
      <c r="A733" s="6">
        <v>6.1368107832507228E+18</v>
      </c>
      <c r="B733">
        <v>326</v>
      </c>
      <c r="C733">
        <v>2</v>
      </c>
      <c r="D733">
        <v>2657</v>
      </c>
      <c r="E733">
        <f t="shared" si="48"/>
        <v>4</v>
      </c>
      <c r="F733">
        <f t="shared" si="49"/>
        <v>2</v>
      </c>
      <c r="G733">
        <f t="shared" si="50"/>
        <v>3</v>
      </c>
      <c r="H733">
        <f t="shared" si="51"/>
        <v>423</v>
      </c>
    </row>
    <row r="734" spans="1:8" x14ac:dyDescent="0.55000000000000004">
      <c r="A734" s="6">
        <v>6.1389040048259338E+18</v>
      </c>
      <c r="B734">
        <v>7</v>
      </c>
      <c r="C734">
        <v>3</v>
      </c>
      <c r="D734">
        <v>1824</v>
      </c>
      <c r="E734">
        <f t="shared" si="48"/>
        <v>5</v>
      </c>
      <c r="F734">
        <f t="shared" si="49"/>
        <v>3</v>
      </c>
      <c r="G734">
        <f t="shared" si="50"/>
        <v>2</v>
      </c>
      <c r="H734">
        <f t="shared" si="51"/>
        <v>532</v>
      </c>
    </row>
    <row r="735" spans="1:8" x14ac:dyDescent="0.55000000000000004">
      <c r="A735" s="6">
        <v>6.1405135759450532E+18</v>
      </c>
      <c r="B735">
        <v>89</v>
      </c>
      <c r="C735">
        <v>1</v>
      </c>
      <c r="D735">
        <v>1406</v>
      </c>
      <c r="E735">
        <f t="shared" si="48"/>
        <v>5</v>
      </c>
      <c r="F735">
        <f t="shared" si="49"/>
        <v>1</v>
      </c>
      <c r="G735">
        <f t="shared" si="50"/>
        <v>2</v>
      </c>
      <c r="H735">
        <f t="shared" si="51"/>
        <v>512</v>
      </c>
    </row>
    <row r="736" spans="1:8" x14ac:dyDescent="0.55000000000000004">
      <c r="A736" s="6">
        <v>6.1476417961953853E+18</v>
      </c>
      <c r="B736">
        <v>112</v>
      </c>
      <c r="C736">
        <v>1</v>
      </c>
      <c r="D736">
        <v>3797</v>
      </c>
      <c r="E736">
        <f t="shared" si="48"/>
        <v>5</v>
      </c>
      <c r="F736">
        <f t="shared" si="49"/>
        <v>1</v>
      </c>
      <c r="G736">
        <f t="shared" si="50"/>
        <v>3</v>
      </c>
      <c r="H736">
        <f t="shared" si="51"/>
        <v>513</v>
      </c>
    </row>
    <row r="737" spans="1:8" x14ac:dyDescent="0.55000000000000004">
      <c r="A737" s="6">
        <v>6.1484501004097894E+18</v>
      </c>
      <c r="B737">
        <v>40</v>
      </c>
      <c r="C737">
        <v>2</v>
      </c>
      <c r="D737">
        <v>601</v>
      </c>
      <c r="E737">
        <f t="shared" si="48"/>
        <v>5</v>
      </c>
      <c r="F737">
        <f t="shared" si="49"/>
        <v>2</v>
      </c>
      <c r="G737">
        <f t="shared" si="50"/>
        <v>1</v>
      </c>
      <c r="H737">
        <f t="shared" si="51"/>
        <v>521</v>
      </c>
    </row>
    <row r="738" spans="1:8" x14ac:dyDescent="0.55000000000000004">
      <c r="A738" s="6">
        <v>6.155040696454528E+18</v>
      </c>
      <c r="B738">
        <v>640</v>
      </c>
      <c r="C738">
        <v>1</v>
      </c>
      <c r="D738">
        <v>59</v>
      </c>
      <c r="E738">
        <f t="shared" si="48"/>
        <v>3</v>
      </c>
      <c r="F738">
        <f t="shared" si="49"/>
        <v>1</v>
      </c>
      <c r="G738">
        <f t="shared" si="50"/>
        <v>1</v>
      </c>
      <c r="H738">
        <f t="shared" si="51"/>
        <v>311</v>
      </c>
    </row>
    <row r="739" spans="1:8" x14ac:dyDescent="0.55000000000000004">
      <c r="A739" s="6">
        <v>6.1636865884116582E+18</v>
      </c>
      <c r="B739">
        <v>384</v>
      </c>
      <c r="C739">
        <v>1</v>
      </c>
      <c r="D739">
        <v>1956</v>
      </c>
      <c r="E739">
        <f t="shared" si="48"/>
        <v>4</v>
      </c>
      <c r="F739">
        <f t="shared" si="49"/>
        <v>1</v>
      </c>
      <c r="G739">
        <f t="shared" si="50"/>
        <v>2</v>
      </c>
      <c r="H739">
        <f t="shared" si="51"/>
        <v>412</v>
      </c>
    </row>
    <row r="740" spans="1:8" x14ac:dyDescent="0.55000000000000004">
      <c r="A740" s="6">
        <v>6.1676260676265769E+18</v>
      </c>
      <c r="B740">
        <v>1212</v>
      </c>
      <c r="C740">
        <v>1</v>
      </c>
      <c r="D740">
        <v>158</v>
      </c>
      <c r="E740">
        <f t="shared" si="48"/>
        <v>1</v>
      </c>
      <c r="F740">
        <f t="shared" si="49"/>
        <v>1</v>
      </c>
      <c r="G740">
        <f t="shared" si="50"/>
        <v>1</v>
      </c>
      <c r="H740">
        <f t="shared" si="51"/>
        <v>111</v>
      </c>
    </row>
    <row r="741" spans="1:8" x14ac:dyDescent="0.55000000000000004">
      <c r="A741" s="6">
        <v>6.1701038095527096E+18</v>
      </c>
      <c r="B741">
        <v>155</v>
      </c>
      <c r="C741">
        <v>3</v>
      </c>
      <c r="D741">
        <v>8830</v>
      </c>
      <c r="E741">
        <f t="shared" si="48"/>
        <v>5</v>
      </c>
      <c r="F741">
        <f t="shared" si="49"/>
        <v>3</v>
      </c>
      <c r="G741">
        <f t="shared" si="50"/>
        <v>3</v>
      </c>
      <c r="H741">
        <f t="shared" si="51"/>
        <v>533</v>
      </c>
    </row>
    <row r="742" spans="1:8" x14ac:dyDescent="0.55000000000000004">
      <c r="A742" s="6">
        <v>6.1839390129527962E+18</v>
      </c>
      <c r="B742">
        <v>865</v>
      </c>
      <c r="C742">
        <v>1</v>
      </c>
      <c r="D742">
        <v>16020</v>
      </c>
      <c r="E742">
        <f t="shared" si="48"/>
        <v>3</v>
      </c>
      <c r="F742">
        <f t="shared" si="49"/>
        <v>1</v>
      </c>
      <c r="G742">
        <f t="shared" si="50"/>
        <v>3</v>
      </c>
      <c r="H742">
        <f t="shared" si="51"/>
        <v>313</v>
      </c>
    </row>
    <row r="743" spans="1:8" x14ac:dyDescent="0.55000000000000004">
      <c r="A743" s="6">
        <v>6.1955041660847278E+18</v>
      </c>
      <c r="B743">
        <v>1227</v>
      </c>
      <c r="C743">
        <v>1</v>
      </c>
      <c r="D743">
        <v>138</v>
      </c>
      <c r="E743">
        <f t="shared" si="48"/>
        <v>1</v>
      </c>
      <c r="F743">
        <f t="shared" si="49"/>
        <v>1</v>
      </c>
      <c r="G743">
        <f t="shared" si="50"/>
        <v>1</v>
      </c>
      <c r="H743">
        <f t="shared" si="51"/>
        <v>111</v>
      </c>
    </row>
    <row r="744" spans="1:8" x14ac:dyDescent="0.55000000000000004">
      <c r="A744" s="6">
        <v>6.1981796903171369E+18</v>
      </c>
      <c r="B744">
        <v>642</v>
      </c>
      <c r="C744">
        <v>2</v>
      </c>
      <c r="D744">
        <v>3470</v>
      </c>
      <c r="E744">
        <f t="shared" si="48"/>
        <v>3</v>
      </c>
      <c r="F744">
        <f t="shared" si="49"/>
        <v>2</v>
      </c>
      <c r="G744">
        <f t="shared" si="50"/>
        <v>3</v>
      </c>
      <c r="H744">
        <f t="shared" si="51"/>
        <v>323</v>
      </c>
    </row>
    <row r="745" spans="1:8" x14ac:dyDescent="0.55000000000000004">
      <c r="A745" s="6">
        <v>6.1986093279012096E+18</v>
      </c>
      <c r="B745">
        <v>217</v>
      </c>
      <c r="C745">
        <v>1</v>
      </c>
      <c r="D745">
        <v>483</v>
      </c>
      <c r="E745">
        <f t="shared" si="48"/>
        <v>5</v>
      </c>
      <c r="F745">
        <f t="shared" si="49"/>
        <v>1</v>
      </c>
      <c r="G745">
        <f t="shared" si="50"/>
        <v>1</v>
      </c>
      <c r="H745">
        <f t="shared" si="51"/>
        <v>511</v>
      </c>
    </row>
    <row r="746" spans="1:8" x14ac:dyDescent="0.55000000000000004">
      <c r="A746" s="6">
        <v>6.215206063014871E+18</v>
      </c>
      <c r="B746">
        <v>1152</v>
      </c>
      <c r="C746">
        <v>1</v>
      </c>
      <c r="D746">
        <v>339</v>
      </c>
      <c r="E746">
        <f t="shared" si="48"/>
        <v>2</v>
      </c>
      <c r="F746">
        <f t="shared" si="49"/>
        <v>1</v>
      </c>
      <c r="G746">
        <f t="shared" si="50"/>
        <v>1</v>
      </c>
      <c r="H746">
        <f t="shared" si="51"/>
        <v>211</v>
      </c>
    </row>
    <row r="747" spans="1:8" x14ac:dyDescent="0.55000000000000004">
      <c r="A747" s="6">
        <v>6.2213589487169055E+18</v>
      </c>
      <c r="B747">
        <v>610</v>
      </c>
      <c r="C747">
        <v>2</v>
      </c>
      <c r="D747">
        <v>895</v>
      </c>
      <c r="E747">
        <f t="shared" si="48"/>
        <v>3</v>
      </c>
      <c r="F747">
        <f t="shared" si="49"/>
        <v>2</v>
      </c>
      <c r="G747">
        <f t="shared" si="50"/>
        <v>2</v>
      </c>
      <c r="H747">
        <f t="shared" si="51"/>
        <v>322</v>
      </c>
    </row>
    <row r="748" spans="1:8" x14ac:dyDescent="0.55000000000000004">
      <c r="A748" s="6">
        <v>6.2303015627692554E+18</v>
      </c>
      <c r="B748">
        <v>98</v>
      </c>
      <c r="C748">
        <v>2</v>
      </c>
      <c r="D748">
        <v>2008</v>
      </c>
      <c r="E748">
        <f t="shared" si="48"/>
        <v>5</v>
      </c>
      <c r="F748">
        <f t="shared" si="49"/>
        <v>2</v>
      </c>
      <c r="G748">
        <f t="shared" si="50"/>
        <v>2</v>
      </c>
      <c r="H748">
        <f t="shared" si="51"/>
        <v>522</v>
      </c>
    </row>
    <row r="749" spans="1:8" x14ac:dyDescent="0.55000000000000004">
      <c r="A749" s="6">
        <v>6.2338335694389146E+18</v>
      </c>
      <c r="B749">
        <v>608</v>
      </c>
      <c r="C749">
        <v>1</v>
      </c>
      <c r="D749">
        <v>690</v>
      </c>
      <c r="E749">
        <f t="shared" si="48"/>
        <v>3</v>
      </c>
      <c r="F749">
        <f t="shared" si="49"/>
        <v>1</v>
      </c>
      <c r="G749">
        <f t="shared" si="50"/>
        <v>2</v>
      </c>
      <c r="H749">
        <f t="shared" si="51"/>
        <v>312</v>
      </c>
    </row>
    <row r="750" spans="1:8" x14ac:dyDescent="0.55000000000000004">
      <c r="A750" s="6">
        <v>6.2343246215722609E+18</v>
      </c>
      <c r="B750">
        <v>1161</v>
      </c>
      <c r="C750">
        <v>1</v>
      </c>
      <c r="D750">
        <v>1265</v>
      </c>
      <c r="E750">
        <f t="shared" si="48"/>
        <v>1</v>
      </c>
      <c r="F750">
        <f t="shared" si="49"/>
        <v>1</v>
      </c>
      <c r="G750">
        <f t="shared" si="50"/>
        <v>2</v>
      </c>
      <c r="H750">
        <f t="shared" si="51"/>
        <v>112</v>
      </c>
    </row>
    <row r="751" spans="1:8" x14ac:dyDescent="0.55000000000000004">
      <c r="A751" s="6">
        <v>6.2355655699120046E+18</v>
      </c>
      <c r="B751">
        <v>480</v>
      </c>
      <c r="C751">
        <v>1</v>
      </c>
      <c r="D751">
        <v>17940</v>
      </c>
      <c r="E751">
        <f t="shared" si="48"/>
        <v>4</v>
      </c>
      <c r="F751">
        <f t="shared" si="49"/>
        <v>1</v>
      </c>
      <c r="G751">
        <f t="shared" si="50"/>
        <v>3</v>
      </c>
      <c r="H751">
        <f t="shared" si="51"/>
        <v>413</v>
      </c>
    </row>
    <row r="752" spans="1:8" x14ac:dyDescent="0.55000000000000004">
      <c r="A752" s="6">
        <v>6.2599499234929787E+18</v>
      </c>
      <c r="B752">
        <v>271</v>
      </c>
      <c r="C752">
        <v>3</v>
      </c>
      <c r="D752">
        <v>979</v>
      </c>
      <c r="E752">
        <f t="shared" si="48"/>
        <v>5</v>
      </c>
      <c r="F752">
        <f t="shared" si="49"/>
        <v>3</v>
      </c>
      <c r="G752">
        <f t="shared" si="50"/>
        <v>2</v>
      </c>
      <c r="H752">
        <f t="shared" si="51"/>
        <v>532</v>
      </c>
    </row>
    <row r="753" spans="1:8" x14ac:dyDescent="0.55000000000000004">
      <c r="A753" s="6">
        <v>6.2608471938323026E+18</v>
      </c>
      <c r="B753">
        <v>837</v>
      </c>
      <c r="C753">
        <v>1</v>
      </c>
      <c r="D753">
        <v>1069</v>
      </c>
      <c r="E753">
        <f t="shared" si="48"/>
        <v>3</v>
      </c>
      <c r="F753">
        <f t="shared" si="49"/>
        <v>1</v>
      </c>
      <c r="G753">
        <f t="shared" si="50"/>
        <v>2</v>
      </c>
      <c r="H753">
        <f t="shared" si="51"/>
        <v>312</v>
      </c>
    </row>
    <row r="754" spans="1:8" x14ac:dyDescent="0.55000000000000004">
      <c r="A754" s="6">
        <v>6.2701828360759163E+18</v>
      </c>
      <c r="B754">
        <v>611</v>
      </c>
      <c r="C754">
        <v>1</v>
      </c>
      <c r="D754">
        <v>451</v>
      </c>
      <c r="E754">
        <f t="shared" si="48"/>
        <v>3</v>
      </c>
      <c r="F754">
        <f t="shared" si="49"/>
        <v>1</v>
      </c>
      <c r="G754">
        <f t="shared" si="50"/>
        <v>1</v>
      </c>
      <c r="H754">
        <f t="shared" si="51"/>
        <v>311</v>
      </c>
    </row>
    <row r="755" spans="1:8" x14ac:dyDescent="0.55000000000000004">
      <c r="A755" s="6">
        <v>6.2709077484598569E+18</v>
      </c>
      <c r="B755">
        <v>709</v>
      </c>
      <c r="C755">
        <v>3</v>
      </c>
      <c r="D755">
        <v>3117</v>
      </c>
      <c r="E755">
        <f t="shared" si="48"/>
        <v>3</v>
      </c>
      <c r="F755">
        <f t="shared" si="49"/>
        <v>3</v>
      </c>
      <c r="G755">
        <f t="shared" si="50"/>
        <v>3</v>
      </c>
      <c r="H755">
        <f t="shared" si="51"/>
        <v>333</v>
      </c>
    </row>
    <row r="756" spans="1:8" x14ac:dyDescent="0.55000000000000004">
      <c r="A756" s="6">
        <v>6.2774505286284667E+18</v>
      </c>
      <c r="B756">
        <v>551</v>
      </c>
      <c r="C756">
        <v>1</v>
      </c>
      <c r="D756">
        <v>16870</v>
      </c>
      <c r="E756">
        <f t="shared" si="48"/>
        <v>4</v>
      </c>
      <c r="F756">
        <f t="shared" si="49"/>
        <v>1</v>
      </c>
      <c r="G756">
        <f t="shared" si="50"/>
        <v>3</v>
      </c>
      <c r="H756">
        <f t="shared" si="51"/>
        <v>413</v>
      </c>
    </row>
    <row r="757" spans="1:8" x14ac:dyDescent="0.55000000000000004">
      <c r="A757" s="6">
        <v>6.2799528260788367E+18</v>
      </c>
      <c r="B757">
        <v>175</v>
      </c>
      <c r="C757">
        <v>2</v>
      </c>
      <c r="D757">
        <v>3289</v>
      </c>
      <c r="E757">
        <f t="shared" si="48"/>
        <v>5</v>
      </c>
      <c r="F757">
        <f t="shared" si="49"/>
        <v>2</v>
      </c>
      <c r="G757">
        <f t="shared" si="50"/>
        <v>3</v>
      </c>
      <c r="H757">
        <f t="shared" si="51"/>
        <v>523</v>
      </c>
    </row>
    <row r="758" spans="1:8" x14ac:dyDescent="0.55000000000000004">
      <c r="A758" s="6">
        <v>6.2994961456809595E+18</v>
      </c>
      <c r="B758">
        <v>199</v>
      </c>
      <c r="C758">
        <v>3</v>
      </c>
      <c r="D758">
        <v>1554</v>
      </c>
      <c r="E758">
        <f t="shared" si="48"/>
        <v>5</v>
      </c>
      <c r="F758">
        <f t="shared" si="49"/>
        <v>3</v>
      </c>
      <c r="G758">
        <f t="shared" si="50"/>
        <v>2</v>
      </c>
      <c r="H758">
        <f t="shared" si="51"/>
        <v>532</v>
      </c>
    </row>
    <row r="759" spans="1:8" x14ac:dyDescent="0.55000000000000004">
      <c r="A759" s="6">
        <v>6.3035102497799158E+18</v>
      </c>
      <c r="B759">
        <v>112</v>
      </c>
      <c r="C759">
        <v>2</v>
      </c>
      <c r="D759">
        <v>3925</v>
      </c>
      <c r="E759">
        <f t="shared" si="48"/>
        <v>5</v>
      </c>
      <c r="F759">
        <f t="shared" si="49"/>
        <v>2</v>
      </c>
      <c r="G759">
        <f t="shared" si="50"/>
        <v>3</v>
      </c>
      <c r="H759">
        <f t="shared" si="51"/>
        <v>523</v>
      </c>
    </row>
    <row r="760" spans="1:8" x14ac:dyDescent="0.55000000000000004">
      <c r="A760" s="6">
        <v>6.3061077703786875E+18</v>
      </c>
      <c r="B760">
        <v>319</v>
      </c>
      <c r="C760">
        <v>1</v>
      </c>
      <c r="D760">
        <v>721</v>
      </c>
      <c r="E760">
        <f t="shared" si="48"/>
        <v>4</v>
      </c>
      <c r="F760">
        <f t="shared" si="49"/>
        <v>1</v>
      </c>
      <c r="G760">
        <f t="shared" si="50"/>
        <v>2</v>
      </c>
      <c r="H760">
        <f t="shared" si="51"/>
        <v>412</v>
      </c>
    </row>
    <row r="761" spans="1:8" x14ac:dyDescent="0.55000000000000004">
      <c r="A761" s="6">
        <v>6.31703434655326E+18</v>
      </c>
      <c r="B761">
        <v>911</v>
      </c>
      <c r="C761">
        <v>1</v>
      </c>
      <c r="D761">
        <v>388</v>
      </c>
      <c r="E761">
        <f t="shared" si="48"/>
        <v>2</v>
      </c>
      <c r="F761">
        <f t="shared" si="49"/>
        <v>1</v>
      </c>
      <c r="G761">
        <f t="shared" si="50"/>
        <v>1</v>
      </c>
      <c r="H761">
        <f t="shared" si="51"/>
        <v>211</v>
      </c>
    </row>
    <row r="762" spans="1:8" x14ac:dyDescent="0.55000000000000004">
      <c r="A762" s="6">
        <v>6.319029113315626E+18</v>
      </c>
      <c r="B762">
        <v>214</v>
      </c>
      <c r="C762">
        <v>1</v>
      </c>
      <c r="D762">
        <v>1203</v>
      </c>
      <c r="E762">
        <f t="shared" si="48"/>
        <v>5</v>
      </c>
      <c r="F762">
        <f t="shared" si="49"/>
        <v>1</v>
      </c>
      <c r="G762">
        <f t="shared" si="50"/>
        <v>2</v>
      </c>
      <c r="H762">
        <f t="shared" si="51"/>
        <v>512</v>
      </c>
    </row>
    <row r="763" spans="1:8" x14ac:dyDescent="0.55000000000000004">
      <c r="A763" s="6">
        <v>6.3308097158382285E+18</v>
      </c>
      <c r="B763">
        <v>151</v>
      </c>
      <c r="C763">
        <v>3</v>
      </c>
      <c r="D763">
        <v>5611</v>
      </c>
      <c r="E763">
        <f t="shared" si="48"/>
        <v>5</v>
      </c>
      <c r="F763">
        <f t="shared" si="49"/>
        <v>3</v>
      </c>
      <c r="G763">
        <f t="shared" si="50"/>
        <v>3</v>
      </c>
      <c r="H763">
        <f t="shared" si="51"/>
        <v>533</v>
      </c>
    </row>
    <row r="764" spans="1:8" x14ac:dyDescent="0.55000000000000004">
      <c r="A764" s="6">
        <v>6.3309673559597763E+18</v>
      </c>
      <c r="B764">
        <v>106</v>
      </c>
      <c r="C764">
        <v>1</v>
      </c>
      <c r="D764">
        <v>1422</v>
      </c>
      <c r="E764">
        <f t="shared" si="48"/>
        <v>5</v>
      </c>
      <c r="F764">
        <f t="shared" si="49"/>
        <v>1</v>
      </c>
      <c r="G764">
        <f t="shared" si="50"/>
        <v>2</v>
      </c>
      <c r="H764">
        <f t="shared" si="51"/>
        <v>512</v>
      </c>
    </row>
    <row r="765" spans="1:8" x14ac:dyDescent="0.55000000000000004">
      <c r="A765" s="6">
        <v>6.3366569435153132E+18</v>
      </c>
      <c r="B765">
        <v>474</v>
      </c>
      <c r="C765">
        <v>1</v>
      </c>
      <c r="D765">
        <v>104</v>
      </c>
      <c r="E765">
        <f t="shared" si="48"/>
        <v>4</v>
      </c>
      <c r="F765">
        <f t="shared" si="49"/>
        <v>1</v>
      </c>
      <c r="G765">
        <f t="shared" si="50"/>
        <v>1</v>
      </c>
      <c r="H765">
        <f t="shared" si="51"/>
        <v>411</v>
      </c>
    </row>
    <row r="766" spans="1:8" x14ac:dyDescent="0.55000000000000004">
      <c r="A766" s="6">
        <v>6.3453818904014387E+18</v>
      </c>
      <c r="B766">
        <v>850</v>
      </c>
      <c r="C766">
        <v>1</v>
      </c>
      <c r="D766">
        <v>935</v>
      </c>
      <c r="E766">
        <f t="shared" si="48"/>
        <v>3</v>
      </c>
      <c r="F766">
        <f t="shared" si="49"/>
        <v>1</v>
      </c>
      <c r="G766">
        <f t="shared" si="50"/>
        <v>2</v>
      </c>
      <c r="H766">
        <f t="shared" si="51"/>
        <v>312</v>
      </c>
    </row>
    <row r="767" spans="1:8" x14ac:dyDescent="0.55000000000000004">
      <c r="A767" s="6">
        <v>6.3481624462595748E+18</v>
      </c>
      <c r="B767">
        <v>142</v>
      </c>
      <c r="C767">
        <v>3</v>
      </c>
      <c r="D767">
        <v>1600</v>
      </c>
      <c r="E767">
        <f t="shared" si="48"/>
        <v>5</v>
      </c>
      <c r="F767">
        <f t="shared" si="49"/>
        <v>3</v>
      </c>
      <c r="G767">
        <f t="shared" si="50"/>
        <v>2</v>
      </c>
      <c r="H767">
        <f t="shared" si="51"/>
        <v>532</v>
      </c>
    </row>
    <row r="768" spans="1:8" x14ac:dyDescent="0.55000000000000004">
      <c r="A768" s="6">
        <v>6.3615895712746906E+18</v>
      </c>
      <c r="B768">
        <v>197</v>
      </c>
      <c r="C768">
        <v>1</v>
      </c>
      <c r="D768">
        <v>560</v>
      </c>
      <c r="E768">
        <f t="shared" si="48"/>
        <v>5</v>
      </c>
      <c r="F768">
        <f t="shared" si="49"/>
        <v>1</v>
      </c>
      <c r="G768">
        <f t="shared" si="50"/>
        <v>1</v>
      </c>
      <c r="H768">
        <f t="shared" si="51"/>
        <v>511</v>
      </c>
    </row>
    <row r="769" spans="1:8" x14ac:dyDescent="0.55000000000000004">
      <c r="A769" s="6">
        <v>6.3632607311316357E+18</v>
      </c>
      <c r="B769">
        <v>666</v>
      </c>
      <c r="C769">
        <v>1</v>
      </c>
      <c r="D769">
        <v>4488</v>
      </c>
      <c r="E769">
        <f t="shared" si="48"/>
        <v>3</v>
      </c>
      <c r="F769">
        <f t="shared" si="49"/>
        <v>1</v>
      </c>
      <c r="G769">
        <f t="shared" si="50"/>
        <v>3</v>
      </c>
      <c r="H769">
        <f t="shared" si="51"/>
        <v>313</v>
      </c>
    </row>
    <row r="770" spans="1:8" x14ac:dyDescent="0.55000000000000004">
      <c r="A770" s="6">
        <v>6.3662245030475868E+18</v>
      </c>
      <c r="B770">
        <v>31</v>
      </c>
      <c r="C770">
        <v>3</v>
      </c>
      <c r="D770">
        <v>5111</v>
      </c>
      <c r="E770">
        <f t="shared" si="48"/>
        <v>5</v>
      </c>
      <c r="F770">
        <f t="shared" si="49"/>
        <v>3</v>
      </c>
      <c r="G770">
        <f t="shared" si="50"/>
        <v>3</v>
      </c>
      <c r="H770">
        <f t="shared" si="51"/>
        <v>533</v>
      </c>
    </row>
    <row r="771" spans="1:8" x14ac:dyDescent="0.55000000000000004">
      <c r="A771" s="6">
        <v>6.3697051539120968E+18</v>
      </c>
      <c r="B771">
        <v>143</v>
      </c>
      <c r="C771">
        <v>1</v>
      </c>
      <c r="D771">
        <v>2197</v>
      </c>
      <c r="E771">
        <f t="shared" ref="E771:E834" si="52">VLOOKUP(B771,$K$5:$L$9,2,1)</f>
        <v>5</v>
      </c>
      <c r="F771">
        <f t="shared" ref="F771:F834" si="53">VLOOKUP(C771,$K$15:$L$17,2,1)</f>
        <v>1</v>
      </c>
      <c r="G771">
        <f t="shared" ref="G771:G834" si="54">VLOOKUP(D771,$K$24:$L$26,2,1)</f>
        <v>2</v>
      </c>
      <c r="H771">
        <f t="shared" ref="H771:H834" si="55">E771*100+F771*10+G771</f>
        <v>512</v>
      </c>
    </row>
    <row r="772" spans="1:8" x14ac:dyDescent="0.55000000000000004">
      <c r="A772" s="6">
        <v>6.3777441576841124E+18</v>
      </c>
      <c r="B772">
        <v>126</v>
      </c>
      <c r="C772">
        <v>1</v>
      </c>
      <c r="D772">
        <v>3360</v>
      </c>
      <c r="E772">
        <f t="shared" si="52"/>
        <v>5</v>
      </c>
      <c r="F772">
        <f t="shared" si="53"/>
        <v>1</v>
      </c>
      <c r="G772">
        <f t="shared" si="54"/>
        <v>3</v>
      </c>
      <c r="H772">
        <f t="shared" si="55"/>
        <v>513</v>
      </c>
    </row>
    <row r="773" spans="1:8" x14ac:dyDescent="0.55000000000000004">
      <c r="A773" s="6">
        <v>6.3787399135739679E+18</v>
      </c>
      <c r="B773">
        <v>636</v>
      </c>
      <c r="C773">
        <v>1</v>
      </c>
      <c r="D773">
        <v>300</v>
      </c>
      <c r="E773">
        <f t="shared" si="52"/>
        <v>3</v>
      </c>
      <c r="F773">
        <f t="shared" si="53"/>
        <v>1</v>
      </c>
      <c r="G773">
        <f t="shared" si="54"/>
        <v>1</v>
      </c>
      <c r="H773">
        <f t="shared" si="55"/>
        <v>311</v>
      </c>
    </row>
    <row r="774" spans="1:8" x14ac:dyDescent="0.55000000000000004">
      <c r="A774" s="6">
        <v>6.3829002099703767E+18</v>
      </c>
      <c r="B774">
        <v>98</v>
      </c>
      <c r="C774">
        <v>1</v>
      </c>
      <c r="D774">
        <v>629</v>
      </c>
      <c r="E774">
        <f t="shared" si="52"/>
        <v>5</v>
      </c>
      <c r="F774">
        <f t="shared" si="53"/>
        <v>1</v>
      </c>
      <c r="G774">
        <f t="shared" si="54"/>
        <v>1</v>
      </c>
      <c r="H774">
        <f t="shared" si="55"/>
        <v>511</v>
      </c>
    </row>
    <row r="775" spans="1:8" x14ac:dyDescent="0.55000000000000004">
      <c r="A775" s="6">
        <v>6.386093456178901E+18</v>
      </c>
      <c r="B775">
        <v>802</v>
      </c>
      <c r="C775">
        <v>1</v>
      </c>
      <c r="D775">
        <v>389</v>
      </c>
      <c r="E775">
        <f t="shared" si="52"/>
        <v>3</v>
      </c>
      <c r="F775">
        <f t="shared" si="53"/>
        <v>1</v>
      </c>
      <c r="G775">
        <f t="shared" si="54"/>
        <v>1</v>
      </c>
      <c r="H775">
        <f t="shared" si="55"/>
        <v>311</v>
      </c>
    </row>
    <row r="776" spans="1:8" x14ac:dyDescent="0.55000000000000004">
      <c r="A776" s="6">
        <v>6.3875957610149612E+18</v>
      </c>
      <c r="B776">
        <v>580</v>
      </c>
      <c r="C776">
        <v>1</v>
      </c>
      <c r="D776">
        <v>2415</v>
      </c>
      <c r="E776">
        <f t="shared" si="52"/>
        <v>3</v>
      </c>
      <c r="F776">
        <f t="shared" si="53"/>
        <v>1</v>
      </c>
      <c r="G776">
        <f t="shared" si="54"/>
        <v>3</v>
      </c>
      <c r="H776">
        <f t="shared" si="55"/>
        <v>313</v>
      </c>
    </row>
    <row r="777" spans="1:8" x14ac:dyDescent="0.55000000000000004">
      <c r="A777" s="6">
        <v>6.4055489536641393E+18</v>
      </c>
      <c r="B777">
        <v>172</v>
      </c>
      <c r="C777">
        <v>1</v>
      </c>
      <c r="D777">
        <v>2600</v>
      </c>
      <c r="E777">
        <f t="shared" si="52"/>
        <v>5</v>
      </c>
      <c r="F777">
        <f t="shared" si="53"/>
        <v>1</v>
      </c>
      <c r="G777">
        <f t="shared" si="54"/>
        <v>3</v>
      </c>
      <c r="H777">
        <f t="shared" si="55"/>
        <v>513</v>
      </c>
    </row>
    <row r="778" spans="1:8" x14ac:dyDescent="0.55000000000000004">
      <c r="A778" s="6">
        <v>6.4168281896961137E+18</v>
      </c>
      <c r="B778">
        <v>525</v>
      </c>
      <c r="C778">
        <v>1</v>
      </c>
      <c r="D778">
        <v>23</v>
      </c>
      <c r="E778">
        <f t="shared" si="52"/>
        <v>4</v>
      </c>
      <c r="F778">
        <f t="shared" si="53"/>
        <v>1</v>
      </c>
      <c r="G778">
        <f t="shared" si="54"/>
        <v>1</v>
      </c>
      <c r="H778">
        <f t="shared" si="55"/>
        <v>411</v>
      </c>
    </row>
    <row r="779" spans="1:8" x14ac:dyDescent="0.55000000000000004">
      <c r="A779" s="6">
        <v>6.4342451881816975E+18</v>
      </c>
      <c r="B779">
        <v>481</v>
      </c>
      <c r="C779">
        <v>1</v>
      </c>
      <c r="D779">
        <v>4375</v>
      </c>
      <c r="E779">
        <f t="shared" si="52"/>
        <v>4</v>
      </c>
      <c r="F779">
        <f t="shared" si="53"/>
        <v>1</v>
      </c>
      <c r="G779">
        <f t="shared" si="54"/>
        <v>3</v>
      </c>
      <c r="H779">
        <f t="shared" si="55"/>
        <v>413</v>
      </c>
    </row>
    <row r="780" spans="1:8" x14ac:dyDescent="0.55000000000000004">
      <c r="A780" s="6">
        <v>6.4675072884870011E+18</v>
      </c>
      <c r="B780">
        <v>9</v>
      </c>
      <c r="C780">
        <v>1</v>
      </c>
      <c r="D780">
        <v>2520</v>
      </c>
      <c r="E780">
        <f t="shared" si="52"/>
        <v>5</v>
      </c>
      <c r="F780">
        <f t="shared" si="53"/>
        <v>1</v>
      </c>
      <c r="G780">
        <f t="shared" si="54"/>
        <v>3</v>
      </c>
      <c r="H780">
        <f t="shared" si="55"/>
        <v>513</v>
      </c>
    </row>
    <row r="781" spans="1:8" x14ac:dyDescent="0.55000000000000004">
      <c r="A781" s="6">
        <v>6.4691629409427087E+18</v>
      </c>
      <c r="B781">
        <v>596</v>
      </c>
      <c r="C781">
        <v>2</v>
      </c>
      <c r="D781">
        <v>2252</v>
      </c>
      <c r="E781">
        <f t="shared" si="52"/>
        <v>3</v>
      </c>
      <c r="F781">
        <f t="shared" si="53"/>
        <v>2</v>
      </c>
      <c r="G781">
        <f t="shared" si="54"/>
        <v>3</v>
      </c>
      <c r="H781">
        <f t="shared" si="55"/>
        <v>323</v>
      </c>
    </row>
    <row r="782" spans="1:8" x14ac:dyDescent="0.55000000000000004">
      <c r="A782" s="6">
        <v>6.4811992783555676E+18</v>
      </c>
      <c r="B782">
        <v>64</v>
      </c>
      <c r="C782">
        <v>1</v>
      </c>
      <c r="D782">
        <v>380</v>
      </c>
      <c r="E782">
        <f t="shared" si="52"/>
        <v>5</v>
      </c>
      <c r="F782">
        <f t="shared" si="53"/>
        <v>1</v>
      </c>
      <c r="G782">
        <f t="shared" si="54"/>
        <v>1</v>
      </c>
      <c r="H782">
        <f t="shared" si="55"/>
        <v>511</v>
      </c>
    </row>
    <row r="783" spans="1:8" x14ac:dyDescent="0.55000000000000004">
      <c r="A783" s="6">
        <v>6.4922869165179116E+18</v>
      </c>
      <c r="B783">
        <v>592</v>
      </c>
      <c r="C783">
        <v>1</v>
      </c>
      <c r="D783">
        <v>219</v>
      </c>
      <c r="E783">
        <f t="shared" si="52"/>
        <v>3</v>
      </c>
      <c r="F783">
        <f t="shared" si="53"/>
        <v>1</v>
      </c>
      <c r="G783">
        <f t="shared" si="54"/>
        <v>1</v>
      </c>
      <c r="H783">
        <f t="shared" si="55"/>
        <v>311</v>
      </c>
    </row>
    <row r="784" spans="1:8" x14ac:dyDescent="0.55000000000000004">
      <c r="A784" s="6">
        <v>6.5055564192307231E+18</v>
      </c>
      <c r="B784">
        <v>94</v>
      </c>
      <c r="C784">
        <v>2</v>
      </c>
      <c r="D784">
        <v>913</v>
      </c>
      <c r="E784">
        <f t="shared" si="52"/>
        <v>5</v>
      </c>
      <c r="F784">
        <f t="shared" si="53"/>
        <v>2</v>
      </c>
      <c r="G784">
        <f t="shared" si="54"/>
        <v>2</v>
      </c>
      <c r="H784">
        <f t="shared" si="55"/>
        <v>522</v>
      </c>
    </row>
    <row r="785" spans="1:8" x14ac:dyDescent="0.55000000000000004">
      <c r="A785" s="6">
        <v>6.5114163163565875E+18</v>
      </c>
      <c r="B785">
        <v>182</v>
      </c>
      <c r="C785">
        <v>1</v>
      </c>
      <c r="D785">
        <v>2050</v>
      </c>
      <c r="E785">
        <f t="shared" si="52"/>
        <v>5</v>
      </c>
      <c r="F785">
        <f t="shared" si="53"/>
        <v>1</v>
      </c>
      <c r="G785">
        <f t="shared" si="54"/>
        <v>2</v>
      </c>
      <c r="H785">
        <f t="shared" si="55"/>
        <v>512</v>
      </c>
    </row>
    <row r="786" spans="1:8" x14ac:dyDescent="0.55000000000000004">
      <c r="A786" s="6">
        <v>6.5158383350411981E+18</v>
      </c>
      <c r="B786">
        <v>121</v>
      </c>
      <c r="C786">
        <v>2</v>
      </c>
      <c r="D786">
        <v>12320</v>
      </c>
      <c r="E786">
        <f t="shared" si="52"/>
        <v>5</v>
      </c>
      <c r="F786">
        <f t="shared" si="53"/>
        <v>2</v>
      </c>
      <c r="G786">
        <f t="shared" si="54"/>
        <v>3</v>
      </c>
      <c r="H786">
        <f t="shared" si="55"/>
        <v>523</v>
      </c>
    </row>
    <row r="787" spans="1:8" x14ac:dyDescent="0.55000000000000004">
      <c r="A787" s="6">
        <v>6.5209463129209108E+18</v>
      </c>
      <c r="B787">
        <v>990</v>
      </c>
      <c r="C787">
        <v>1</v>
      </c>
      <c r="D787">
        <v>110</v>
      </c>
      <c r="E787">
        <f t="shared" si="52"/>
        <v>2</v>
      </c>
      <c r="F787">
        <f t="shared" si="53"/>
        <v>1</v>
      </c>
      <c r="G787">
        <f t="shared" si="54"/>
        <v>1</v>
      </c>
      <c r="H787">
        <f t="shared" si="55"/>
        <v>211</v>
      </c>
    </row>
    <row r="788" spans="1:8" x14ac:dyDescent="0.55000000000000004">
      <c r="A788" s="6">
        <v>6.5261375982636462E+18</v>
      </c>
      <c r="B788">
        <v>557</v>
      </c>
      <c r="C788">
        <v>1</v>
      </c>
      <c r="D788">
        <v>19</v>
      </c>
      <c r="E788">
        <f t="shared" si="52"/>
        <v>4</v>
      </c>
      <c r="F788">
        <f t="shared" si="53"/>
        <v>1</v>
      </c>
      <c r="G788">
        <f t="shared" si="54"/>
        <v>1</v>
      </c>
      <c r="H788">
        <f t="shared" si="55"/>
        <v>411</v>
      </c>
    </row>
    <row r="789" spans="1:8" x14ac:dyDescent="0.55000000000000004">
      <c r="A789" s="6">
        <v>6.5433186383751281E+18</v>
      </c>
      <c r="B789">
        <v>580</v>
      </c>
      <c r="C789">
        <v>1</v>
      </c>
      <c r="D789">
        <v>479</v>
      </c>
      <c r="E789">
        <f t="shared" si="52"/>
        <v>3</v>
      </c>
      <c r="F789">
        <f t="shared" si="53"/>
        <v>1</v>
      </c>
      <c r="G789">
        <f t="shared" si="54"/>
        <v>1</v>
      </c>
      <c r="H789">
        <f t="shared" si="55"/>
        <v>311</v>
      </c>
    </row>
    <row r="790" spans="1:8" x14ac:dyDescent="0.55000000000000004">
      <c r="A790" s="6">
        <v>6.5643654175855411E+18</v>
      </c>
      <c r="B790">
        <v>172</v>
      </c>
      <c r="C790">
        <v>2</v>
      </c>
      <c r="D790">
        <v>639</v>
      </c>
      <c r="E790">
        <f t="shared" si="52"/>
        <v>5</v>
      </c>
      <c r="F790">
        <f t="shared" si="53"/>
        <v>2</v>
      </c>
      <c r="G790">
        <f t="shared" si="54"/>
        <v>1</v>
      </c>
      <c r="H790">
        <f t="shared" si="55"/>
        <v>521</v>
      </c>
    </row>
    <row r="791" spans="1:8" x14ac:dyDescent="0.55000000000000004">
      <c r="A791" s="6">
        <v>6.5677631329683415E+18</v>
      </c>
      <c r="B791">
        <v>85</v>
      </c>
      <c r="C791">
        <v>1</v>
      </c>
      <c r="D791">
        <v>129</v>
      </c>
      <c r="E791">
        <f t="shared" si="52"/>
        <v>5</v>
      </c>
      <c r="F791">
        <f t="shared" si="53"/>
        <v>1</v>
      </c>
      <c r="G791">
        <f t="shared" si="54"/>
        <v>1</v>
      </c>
      <c r="H791">
        <f t="shared" si="55"/>
        <v>511</v>
      </c>
    </row>
    <row r="792" spans="1:8" x14ac:dyDescent="0.55000000000000004">
      <c r="A792" s="6">
        <v>6.5695404423805542E+18</v>
      </c>
      <c r="B792">
        <v>80</v>
      </c>
      <c r="C792">
        <v>1</v>
      </c>
      <c r="D792">
        <v>1473</v>
      </c>
      <c r="E792">
        <f t="shared" si="52"/>
        <v>5</v>
      </c>
      <c r="F792">
        <f t="shared" si="53"/>
        <v>1</v>
      </c>
      <c r="G792">
        <f t="shared" si="54"/>
        <v>2</v>
      </c>
      <c r="H792">
        <f t="shared" si="55"/>
        <v>512</v>
      </c>
    </row>
    <row r="793" spans="1:8" x14ac:dyDescent="0.55000000000000004">
      <c r="A793" s="6">
        <v>6.5847090901631529E+18</v>
      </c>
      <c r="B793">
        <v>915</v>
      </c>
      <c r="C793">
        <v>1</v>
      </c>
      <c r="D793">
        <v>5697</v>
      </c>
      <c r="E793">
        <f t="shared" si="52"/>
        <v>2</v>
      </c>
      <c r="F793">
        <f t="shared" si="53"/>
        <v>1</v>
      </c>
      <c r="G793">
        <f t="shared" si="54"/>
        <v>3</v>
      </c>
      <c r="H793">
        <f t="shared" si="55"/>
        <v>213</v>
      </c>
    </row>
    <row r="794" spans="1:8" x14ac:dyDescent="0.55000000000000004">
      <c r="A794" s="6">
        <v>6.5876540869802783E+18</v>
      </c>
      <c r="B794">
        <v>412</v>
      </c>
      <c r="C794">
        <v>1</v>
      </c>
      <c r="D794">
        <v>1218</v>
      </c>
      <c r="E794">
        <f t="shared" si="52"/>
        <v>4</v>
      </c>
      <c r="F794">
        <f t="shared" si="53"/>
        <v>1</v>
      </c>
      <c r="G794">
        <f t="shared" si="54"/>
        <v>2</v>
      </c>
      <c r="H794">
        <f t="shared" si="55"/>
        <v>412</v>
      </c>
    </row>
    <row r="795" spans="1:8" x14ac:dyDescent="0.55000000000000004">
      <c r="A795" s="6">
        <v>6.6130664491283999E+18</v>
      </c>
      <c r="B795">
        <v>990</v>
      </c>
      <c r="C795">
        <v>1</v>
      </c>
      <c r="D795">
        <v>1482</v>
      </c>
      <c r="E795">
        <f t="shared" si="52"/>
        <v>2</v>
      </c>
      <c r="F795">
        <f t="shared" si="53"/>
        <v>1</v>
      </c>
      <c r="G795">
        <f t="shared" si="54"/>
        <v>2</v>
      </c>
      <c r="H795">
        <f t="shared" si="55"/>
        <v>212</v>
      </c>
    </row>
    <row r="796" spans="1:8" x14ac:dyDescent="0.55000000000000004">
      <c r="A796" s="6">
        <v>6.6230097931188941E+18</v>
      </c>
      <c r="B796">
        <v>189</v>
      </c>
      <c r="C796">
        <v>1</v>
      </c>
      <c r="D796">
        <v>5776</v>
      </c>
      <c r="E796">
        <f t="shared" si="52"/>
        <v>5</v>
      </c>
      <c r="F796">
        <f t="shared" si="53"/>
        <v>1</v>
      </c>
      <c r="G796">
        <f t="shared" si="54"/>
        <v>3</v>
      </c>
      <c r="H796">
        <f t="shared" si="55"/>
        <v>513</v>
      </c>
    </row>
    <row r="797" spans="1:8" x14ac:dyDescent="0.55000000000000004">
      <c r="A797" s="6">
        <v>6.625628621733374E+18</v>
      </c>
      <c r="B797">
        <v>400</v>
      </c>
      <c r="C797">
        <v>1</v>
      </c>
      <c r="D797">
        <v>378</v>
      </c>
      <c r="E797">
        <f t="shared" si="52"/>
        <v>4</v>
      </c>
      <c r="F797">
        <f t="shared" si="53"/>
        <v>1</v>
      </c>
      <c r="G797">
        <f t="shared" si="54"/>
        <v>1</v>
      </c>
      <c r="H797">
        <f t="shared" si="55"/>
        <v>411</v>
      </c>
    </row>
    <row r="798" spans="1:8" x14ac:dyDescent="0.55000000000000004">
      <c r="A798" s="6">
        <v>6.633261323295703E+18</v>
      </c>
      <c r="B798">
        <v>164</v>
      </c>
      <c r="C798">
        <v>1</v>
      </c>
      <c r="D798">
        <v>1001</v>
      </c>
      <c r="E798">
        <f t="shared" si="52"/>
        <v>5</v>
      </c>
      <c r="F798">
        <f t="shared" si="53"/>
        <v>1</v>
      </c>
      <c r="G798">
        <f t="shared" si="54"/>
        <v>2</v>
      </c>
      <c r="H798">
        <f t="shared" si="55"/>
        <v>512</v>
      </c>
    </row>
    <row r="799" spans="1:8" x14ac:dyDescent="0.55000000000000004">
      <c r="A799" s="6">
        <v>6.6423141965100452E+18</v>
      </c>
      <c r="B799">
        <v>1002</v>
      </c>
      <c r="C799">
        <v>1</v>
      </c>
      <c r="D799">
        <v>236</v>
      </c>
      <c r="E799">
        <f t="shared" si="52"/>
        <v>2</v>
      </c>
      <c r="F799">
        <f t="shared" si="53"/>
        <v>1</v>
      </c>
      <c r="G799">
        <f t="shared" si="54"/>
        <v>1</v>
      </c>
      <c r="H799">
        <f t="shared" si="55"/>
        <v>211</v>
      </c>
    </row>
    <row r="800" spans="1:8" x14ac:dyDescent="0.55000000000000004">
      <c r="A800" s="6">
        <v>6.6553452039854715E+18</v>
      </c>
      <c r="B800">
        <v>794</v>
      </c>
      <c r="C800">
        <v>1</v>
      </c>
      <c r="D800">
        <v>133</v>
      </c>
      <c r="E800">
        <f t="shared" si="52"/>
        <v>3</v>
      </c>
      <c r="F800">
        <f t="shared" si="53"/>
        <v>1</v>
      </c>
      <c r="G800">
        <f t="shared" si="54"/>
        <v>1</v>
      </c>
      <c r="H800">
        <f t="shared" si="55"/>
        <v>311</v>
      </c>
    </row>
    <row r="801" spans="1:8" x14ac:dyDescent="0.55000000000000004">
      <c r="A801" s="6">
        <v>6.667778297334103E+18</v>
      </c>
      <c r="B801">
        <v>646</v>
      </c>
      <c r="C801">
        <v>1</v>
      </c>
      <c r="D801">
        <v>1743</v>
      </c>
      <c r="E801">
        <f t="shared" si="52"/>
        <v>3</v>
      </c>
      <c r="F801">
        <f t="shared" si="53"/>
        <v>1</v>
      </c>
      <c r="G801">
        <f t="shared" si="54"/>
        <v>2</v>
      </c>
      <c r="H801">
        <f t="shared" si="55"/>
        <v>312</v>
      </c>
    </row>
    <row r="802" spans="1:8" x14ac:dyDescent="0.55000000000000004">
      <c r="A802" s="6">
        <v>6.679991526404095E+18</v>
      </c>
      <c r="B802">
        <v>82</v>
      </c>
      <c r="C802">
        <v>1</v>
      </c>
      <c r="D802">
        <v>397</v>
      </c>
      <c r="E802">
        <f t="shared" si="52"/>
        <v>5</v>
      </c>
      <c r="F802">
        <f t="shared" si="53"/>
        <v>1</v>
      </c>
      <c r="G802">
        <f t="shared" si="54"/>
        <v>1</v>
      </c>
      <c r="H802">
        <f t="shared" si="55"/>
        <v>511</v>
      </c>
    </row>
    <row r="803" spans="1:8" x14ac:dyDescent="0.55000000000000004">
      <c r="A803" s="6">
        <v>6.6806323183104154E+18</v>
      </c>
      <c r="B803">
        <v>516</v>
      </c>
      <c r="C803">
        <v>1</v>
      </c>
      <c r="D803">
        <v>70</v>
      </c>
      <c r="E803">
        <f t="shared" si="52"/>
        <v>4</v>
      </c>
      <c r="F803">
        <f t="shared" si="53"/>
        <v>1</v>
      </c>
      <c r="G803">
        <f t="shared" si="54"/>
        <v>1</v>
      </c>
      <c r="H803">
        <f t="shared" si="55"/>
        <v>411</v>
      </c>
    </row>
    <row r="804" spans="1:8" x14ac:dyDescent="0.55000000000000004">
      <c r="A804" s="6">
        <v>6.7083114319589734E+18</v>
      </c>
      <c r="B804">
        <v>413</v>
      </c>
      <c r="C804">
        <v>1</v>
      </c>
      <c r="D804">
        <v>190</v>
      </c>
      <c r="E804">
        <f t="shared" si="52"/>
        <v>4</v>
      </c>
      <c r="F804">
        <f t="shared" si="53"/>
        <v>1</v>
      </c>
      <c r="G804">
        <f t="shared" si="54"/>
        <v>1</v>
      </c>
      <c r="H804">
        <f t="shared" si="55"/>
        <v>411</v>
      </c>
    </row>
    <row r="805" spans="1:8" x14ac:dyDescent="0.55000000000000004">
      <c r="A805" s="6">
        <v>6.7253496507708355E+18</v>
      </c>
      <c r="B805">
        <v>79</v>
      </c>
      <c r="C805">
        <v>1</v>
      </c>
      <c r="D805">
        <v>1000</v>
      </c>
      <c r="E805">
        <f t="shared" si="52"/>
        <v>5</v>
      </c>
      <c r="F805">
        <f t="shared" si="53"/>
        <v>1</v>
      </c>
      <c r="G805">
        <f t="shared" si="54"/>
        <v>2</v>
      </c>
      <c r="H805">
        <f t="shared" si="55"/>
        <v>512</v>
      </c>
    </row>
    <row r="806" spans="1:8" x14ac:dyDescent="0.55000000000000004">
      <c r="A806" s="6">
        <v>6.7368181650913751E+18</v>
      </c>
      <c r="B806">
        <v>881</v>
      </c>
      <c r="C806">
        <v>1</v>
      </c>
      <c r="D806">
        <v>32</v>
      </c>
      <c r="E806">
        <f t="shared" si="52"/>
        <v>2</v>
      </c>
      <c r="F806">
        <f t="shared" si="53"/>
        <v>1</v>
      </c>
      <c r="G806">
        <f t="shared" si="54"/>
        <v>1</v>
      </c>
      <c r="H806">
        <f t="shared" si="55"/>
        <v>211</v>
      </c>
    </row>
    <row r="807" spans="1:8" x14ac:dyDescent="0.55000000000000004">
      <c r="A807" s="6">
        <v>6.7373578365760123E+18</v>
      </c>
      <c r="B807">
        <v>273</v>
      </c>
      <c r="C807">
        <v>1</v>
      </c>
      <c r="D807">
        <v>2540</v>
      </c>
      <c r="E807">
        <f t="shared" si="52"/>
        <v>5</v>
      </c>
      <c r="F807">
        <f t="shared" si="53"/>
        <v>1</v>
      </c>
      <c r="G807">
        <f t="shared" si="54"/>
        <v>3</v>
      </c>
      <c r="H807">
        <f t="shared" si="55"/>
        <v>513</v>
      </c>
    </row>
    <row r="808" spans="1:8" x14ac:dyDescent="0.55000000000000004">
      <c r="A808" s="6">
        <v>6.7389753197457009E+18</v>
      </c>
      <c r="B808">
        <v>93</v>
      </c>
      <c r="C808">
        <v>2</v>
      </c>
      <c r="D808">
        <v>1125</v>
      </c>
      <c r="E808">
        <f t="shared" si="52"/>
        <v>5</v>
      </c>
      <c r="F808">
        <f t="shared" si="53"/>
        <v>2</v>
      </c>
      <c r="G808">
        <f t="shared" si="54"/>
        <v>2</v>
      </c>
      <c r="H808">
        <f t="shared" si="55"/>
        <v>522</v>
      </c>
    </row>
    <row r="809" spans="1:8" x14ac:dyDescent="0.55000000000000004">
      <c r="A809" s="6">
        <v>6.749289830386561E+18</v>
      </c>
      <c r="B809">
        <v>193</v>
      </c>
      <c r="C809">
        <v>2</v>
      </c>
      <c r="D809">
        <v>13089</v>
      </c>
      <c r="E809">
        <f t="shared" si="52"/>
        <v>5</v>
      </c>
      <c r="F809">
        <f t="shared" si="53"/>
        <v>2</v>
      </c>
      <c r="G809">
        <f t="shared" si="54"/>
        <v>3</v>
      </c>
      <c r="H809">
        <f t="shared" si="55"/>
        <v>523</v>
      </c>
    </row>
    <row r="810" spans="1:8" x14ac:dyDescent="0.55000000000000004">
      <c r="A810" s="6">
        <v>6.7667673536150569E+18</v>
      </c>
      <c r="B810">
        <v>423</v>
      </c>
      <c r="C810">
        <v>2</v>
      </c>
      <c r="D810">
        <v>376</v>
      </c>
      <c r="E810">
        <f t="shared" si="52"/>
        <v>4</v>
      </c>
      <c r="F810">
        <f t="shared" si="53"/>
        <v>2</v>
      </c>
      <c r="G810">
        <f t="shared" si="54"/>
        <v>1</v>
      </c>
      <c r="H810">
        <f t="shared" si="55"/>
        <v>421</v>
      </c>
    </row>
    <row r="811" spans="1:8" x14ac:dyDescent="0.55000000000000004">
      <c r="A811" s="6">
        <v>6.7868190596382003E+18</v>
      </c>
      <c r="B811">
        <v>108</v>
      </c>
      <c r="C811">
        <v>1</v>
      </c>
      <c r="D811">
        <v>2150</v>
      </c>
      <c r="E811">
        <f t="shared" si="52"/>
        <v>5</v>
      </c>
      <c r="F811">
        <f t="shared" si="53"/>
        <v>1</v>
      </c>
      <c r="G811">
        <f t="shared" si="54"/>
        <v>2</v>
      </c>
      <c r="H811">
        <f t="shared" si="55"/>
        <v>512</v>
      </c>
    </row>
    <row r="812" spans="1:8" x14ac:dyDescent="0.55000000000000004">
      <c r="A812" s="6">
        <v>6.7894057374757151E+18</v>
      </c>
      <c r="B812">
        <v>419</v>
      </c>
      <c r="C812">
        <v>1</v>
      </c>
      <c r="D812">
        <v>760</v>
      </c>
      <c r="E812">
        <f t="shared" si="52"/>
        <v>4</v>
      </c>
      <c r="F812">
        <f t="shared" si="53"/>
        <v>1</v>
      </c>
      <c r="G812">
        <f t="shared" si="54"/>
        <v>2</v>
      </c>
      <c r="H812">
        <f t="shared" si="55"/>
        <v>412</v>
      </c>
    </row>
    <row r="813" spans="1:8" x14ac:dyDescent="0.55000000000000004">
      <c r="A813" s="6">
        <v>6.8081673511501599E+18</v>
      </c>
      <c r="B813">
        <v>705</v>
      </c>
      <c r="C813">
        <v>1</v>
      </c>
      <c r="D813">
        <v>2840</v>
      </c>
      <c r="E813">
        <f t="shared" si="52"/>
        <v>3</v>
      </c>
      <c r="F813">
        <f t="shared" si="53"/>
        <v>1</v>
      </c>
      <c r="G813">
        <f t="shared" si="54"/>
        <v>3</v>
      </c>
      <c r="H813">
        <f t="shared" si="55"/>
        <v>313</v>
      </c>
    </row>
    <row r="814" spans="1:8" x14ac:dyDescent="0.55000000000000004">
      <c r="A814" s="6">
        <v>6.8089722655245609E+18</v>
      </c>
      <c r="B814">
        <v>724</v>
      </c>
      <c r="C814">
        <v>2</v>
      </c>
      <c r="D814">
        <v>24513</v>
      </c>
      <c r="E814">
        <f t="shared" si="52"/>
        <v>3</v>
      </c>
      <c r="F814">
        <f t="shared" si="53"/>
        <v>2</v>
      </c>
      <c r="G814">
        <f t="shared" si="54"/>
        <v>3</v>
      </c>
      <c r="H814">
        <f t="shared" si="55"/>
        <v>323</v>
      </c>
    </row>
    <row r="815" spans="1:8" x14ac:dyDescent="0.55000000000000004">
      <c r="A815" s="6">
        <v>6.8227132645195633E+18</v>
      </c>
      <c r="B815">
        <v>857</v>
      </c>
      <c r="C815">
        <v>1</v>
      </c>
      <c r="D815">
        <v>400</v>
      </c>
      <c r="E815">
        <f t="shared" si="52"/>
        <v>3</v>
      </c>
      <c r="F815">
        <f t="shared" si="53"/>
        <v>1</v>
      </c>
      <c r="G815">
        <f t="shared" si="54"/>
        <v>1</v>
      </c>
      <c r="H815">
        <f t="shared" si="55"/>
        <v>311</v>
      </c>
    </row>
    <row r="816" spans="1:8" x14ac:dyDescent="0.55000000000000004">
      <c r="A816" s="6">
        <v>6.8284815311635948E+18</v>
      </c>
      <c r="B816">
        <v>678</v>
      </c>
      <c r="C816">
        <v>1</v>
      </c>
      <c r="D816">
        <v>75</v>
      </c>
      <c r="E816">
        <f t="shared" si="52"/>
        <v>3</v>
      </c>
      <c r="F816">
        <f t="shared" si="53"/>
        <v>1</v>
      </c>
      <c r="G816">
        <f t="shared" si="54"/>
        <v>1</v>
      </c>
      <c r="H816">
        <f t="shared" si="55"/>
        <v>311</v>
      </c>
    </row>
    <row r="817" spans="1:8" x14ac:dyDescent="0.55000000000000004">
      <c r="A817" s="6">
        <v>6.8320949424856115E+18</v>
      </c>
      <c r="B817">
        <v>494</v>
      </c>
      <c r="C817">
        <v>1</v>
      </c>
      <c r="D817">
        <v>299</v>
      </c>
      <c r="E817">
        <f t="shared" si="52"/>
        <v>4</v>
      </c>
      <c r="F817">
        <f t="shared" si="53"/>
        <v>1</v>
      </c>
      <c r="G817">
        <f t="shared" si="54"/>
        <v>1</v>
      </c>
      <c r="H817">
        <f t="shared" si="55"/>
        <v>411</v>
      </c>
    </row>
    <row r="818" spans="1:8" x14ac:dyDescent="0.55000000000000004">
      <c r="A818" s="6">
        <v>6.8412832984735416E+18</v>
      </c>
      <c r="B818">
        <v>771</v>
      </c>
      <c r="C818">
        <v>1</v>
      </c>
      <c r="D818">
        <v>792</v>
      </c>
      <c r="E818">
        <f t="shared" si="52"/>
        <v>3</v>
      </c>
      <c r="F818">
        <f t="shared" si="53"/>
        <v>1</v>
      </c>
      <c r="G818">
        <f t="shared" si="54"/>
        <v>2</v>
      </c>
      <c r="H818">
        <f t="shared" si="55"/>
        <v>312</v>
      </c>
    </row>
    <row r="819" spans="1:8" x14ac:dyDescent="0.55000000000000004">
      <c r="A819" s="6">
        <v>6.8623891938470922E+18</v>
      </c>
      <c r="B819">
        <v>338</v>
      </c>
      <c r="C819">
        <v>3</v>
      </c>
      <c r="D819">
        <v>6505</v>
      </c>
      <c r="E819">
        <f t="shared" si="52"/>
        <v>4</v>
      </c>
      <c r="F819">
        <f t="shared" si="53"/>
        <v>3</v>
      </c>
      <c r="G819">
        <f t="shared" si="54"/>
        <v>3</v>
      </c>
      <c r="H819">
        <f t="shared" si="55"/>
        <v>433</v>
      </c>
    </row>
    <row r="820" spans="1:8" x14ac:dyDescent="0.55000000000000004">
      <c r="A820" s="6">
        <v>6.8680169767252644E+18</v>
      </c>
      <c r="B820">
        <v>408</v>
      </c>
      <c r="C820">
        <v>1</v>
      </c>
      <c r="D820">
        <v>134</v>
      </c>
      <c r="E820">
        <f t="shared" si="52"/>
        <v>4</v>
      </c>
      <c r="F820">
        <f t="shared" si="53"/>
        <v>1</v>
      </c>
      <c r="G820">
        <f t="shared" si="54"/>
        <v>1</v>
      </c>
      <c r="H820">
        <f t="shared" si="55"/>
        <v>411</v>
      </c>
    </row>
    <row r="821" spans="1:8" x14ac:dyDescent="0.55000000000000004">
      <c r="A821" s="6">
        <v>6.8786533844441723E+18</v>
      </c>
      <c r="B821">
        <v>488</v>
      </c>
      <c r="C821">
        <v>1</v>
      </c>
      <c r="D821">
        <v>280</v>
      </c>
      <c r="E821">
        <f t="shared" si="52"/>
        <v>4</v>
      </c>
      <c r="F821">
        <f t="shared" si="53"/>
        <v>1</v>
      </c>
      <c r="G821">
        <f t="shared" si="54"/>
        <v>1</v>
      </c>
      <c r="H821">
        <f t="shared" si="55"/>
        <v>411</v>
      </c>
    </row>
    <row r="822" spans="1:8" x14ac:dyDescent="0.55000000000000004">
      <c r="A822" s="6">
        <v>6.8830756411811174E+18</v>
      </c>
      <c r="B822">
        <v>589</v>
      </c>
      <c r="C822">
        <v>1</v>
      </c>
      <c r="D822">
        <v>1365</v>
      </c>
      <c r="E822">
        <f t="shared" si="52"/>
        <v>3</v>
      </c>
      <c r="F822">
        <f t="shared" si="53"/>
        <v>1</v>
      </c>
      <c r="G822">
        <f t="shared" si="54"/>
        <v>2</v>
      </c>
      <c r="H822">
        <f t="shared" si="55"/>
        <v>312</v>
      </c>
    </row>
    <row r="823" spans="1:8" x14ac:dyDescent="0.55000000000000004">
      <c r="A823" s="6">
        <v>6.88461090437325E+18</v>
      </c>
      <c r="B823">
        <v>365</v>
      </c>
      <c r="C823">
        <v>1</v>
      </c>
      <c r="D823">
        <v>3000</v>
      </c>
      <c r="E823">
        <f t="shared" si="52"/>
        <v>4</v>
      </c>
      <c r="F823">
        <f t="shared" si="53"/>
        <v>1</v>
      </c>
      <c r="G823">
        <f t="shared" si="54"/>
        <v>3</v>
      </c>
      <c r="H823">
        <f t="shared" si="55"/>
        <v>413</v>
      </c>
    </row>
    <row r="824" spans="1:8" x14ac:dyDescent="0.55000000000000004">
      <c r="A824" s="6">
        <v>6.8994182060755128E+18</v>
      </c>
      <c r="B824">
        <v>798</v>
      </c>
      <c r="C824">
        <v>1</v>
      </c>
      <c r="D824">
        <v>29</v>
      </c>
      <c r="E824">
        <f t="shared" si="52"/>
        <v>3</v>
      </c>
      <c r="F824">
        <f t="shared" si="53"/>
        <v>1</v>
      </c>
      <c r="G824">
        <f t="shared" si="54"/>
        <v>1</v>
      </c>
      <c r="H824">
        <f t="shared" si="55"/>
        <v>311</v>
      </c>
    </row>
    <row r="825" spans="1:8" x14ac:dyDescent="0.55000000000000004">
      <c r="A825" s="6">
        <v>6.9030815266361641E+18</v>
      </c>
      <c r="B825">
        <v>416</v>
      </c>
      <c r="C825">
        <v>1</v>
      </c>
      <c r="D825">
        <v>1806</v>
      </c>
      <c r="E825">
        <f t="shared" si="52"/>
        <v>4</v>
      </c>
      <c r="F825">
        <f t="shared" si="53"/>
        <v>1</v>
      </c>
      <c r="G825">
        <f t="shared" si="54"/>
        <v>2</v>
      </c>
      <c r="H825">
        <f t="shared" si="55"/>
        <v>412</v>
      </c>
    </row>
    <row r="826" spans="1:8" x14ac:dyDescent="0.55000000000000004">
      <c r="A826" s="6">
        <v>6.908084459337769E+18</v>
      </c>
      <c r="B826">
        <v>608</v>
      </c>
      <c r="C826">
        <v>1</v>
      </c>
      <c r="D826">
        <v>597</v>
      </c>
      <c r="E826">
        <f t="shared" si="52"/>
        <v>3</v>
      </c>
      <c r="F826">
        <f t="shared" si="53"/>
        <v>1</v>
      </c>
      <c r="G826">
        <f t="shared" si="54"/>
        <v>1</v>
      </c>
      <c r="H826">
        <f t="shared" si="55"/>
        <v>311</v>
      </c>
    </row>
    <row r="827" spans="1:8" x14ac:dyDescent="0.55000000000000004">
      <c r="A827" s="6">
        <v>6.9166335837545892E+18</v>
      </c>
      <c r="B827">
        <v>442</v>
      </c>
      <c r="C827">
        <v>2</v>
      </c>
      <c r="D827">
        <v>407</v>
      </c>
      <c r="E827">
        <f t="shared" si="52"/>
        <v>4</v>
      </c>
      <c r="F827">
        <f t="shared" si="53"/>
        <v>2</v>
      </c>
      <c r="G827">
        <f t="shared" si="54"/>
        <v>1</v>
      </c>
      <c r="H827">
        <f t="shared" si="55"/>
        <v>421</v>
      </c>
    </row>
    <row r="828" spans="1:8" x14ac:dyDescent="0.55000000000000004">
      <c r="A828" s="6">
        <v>6.9191498533146655E+18</v>
      </c>
      <c r="B828">
        <v>212</v>
      </c>
      <c r="C828">
        <v>3</v>
      </c>
      <c r="D828">
        <v>2347</v>
      </c>
      <c r="E828">
        <f t="shared" si="52"/>
        <v>5</v>
      </c>
      <c r="F828">
        <f t="shared" si="53"/>
        <v>3</v>
      </c>
      <c r="G828">
        <f t="shared" si="54"/>
        <v>3</v>
      </c>
      <c r="H828">
        <f t="shared" si="55"/>
        <v>533</v>
      </c>
    </row>
    <row r="829" spans="1:8" x14ac:dyDescent="0.55000000000000004">
      <c r="A829" s="6">
        <v>6.9275631099077755E+18</v>
      </c>
      <c r="B829">
        <v>82</v>
      </c>
      <c r="C829">
        <v>2</v>
      </c>
      <c r="D829">
        <v>1056</v>
      </c>
      <c r="E829">
        <f t="shared" si="52"/>
        <v>5</v>
      </c>
      <c r="F829">
        <f t="shared" si="53"/>
        <v>2</v>
      </c>
      <c r="G829">
        <f t="shared" si="54"/>
        <v>2</v>
      </c>
      <c r="H829">
        <f t="shared" si="55"/>
        <v>522</v>
      </c>
    </row>
    <row r="830" spans="1:8" x14ac:dyDescent="0.55000000000000004">
      <c r="A830" s="6">
        <v>6.9420773313375857E+18</v>
      </c>
      <c r="B830">
        <v>565</v>
      </c>
      <c r="C830">
        <v>1</v>
      </c>
      <c r="D830">
        <v>1288</v>
      </c>
      <c r="E830">
        <f t="shared" si="52"/>
        <v>4</v>
      </c>
      <c r="F830">
        <f t="shared" si="53"/>
        <v>1</v>
      </c>
      <c r="G830">
        <f t="shared" si="54"/>
        <v>2</v>
      </c>
      <c r="H830">
        <f t="shared" si="55"/>
        <v>412</v>
      </c>
    </row>
    <row r="831" spans="1:8" x14ac:dyDescent="0.55000000000000004">
      <c r="A831" s="6">
        <v>6.952102393137282E+18</v>
      </c>
      <c r="B831">
        <v>869</v>
      </c>
      <c r="C831">
        <v>1</v>
      </c>
      <c r="D831">
        <v>5880</v>
      </c>
      <c r="E831">
        <f t="shared" si="52"/>
        <v>2</v>
      </c>
      <c r="F831">
        <f t="shared" si="53"/>
        <v>1</v>
      </c>
      <c r="G831">
        <f t="shared" si="54"/>
        <v>3</v>
      </c>
      <c r="H831">
        <f t="shared" si="55"/>
        <v>213</v>
      </c>
    </row>
    <row r="832" spans="1:8" x14ac:dyDescent="0.55000000000000004">
      <c r="A832" s="6">
        <v>6.9649657700650465E+18</v>
      </c>
      <c r="B832">
        <v>1</v>
      </c>
      <c r="C832">
        <v>1</v>
      </c>
      <c r="D832">
        <v>8810</v>
      </c>
      <c r="E832">
        <f t="shared" si="52"/>
        <v>5</v>
      </c>
      <c r="F832">
        <f t="shared" si="53"/>
        <v>1</v>
      </c>
      <c r="G832">
        <f t="shared" si="54"/>
        <v>3</v>
      </c>
      <c r="H832">
        <f t="shared" si="55"/>
        <v>513</v>
      </c>
    </row>
    <row r="833" spans="1:8" x14ac:dyDescent="0.55000000000000004">
      <c r="A833" s="6">
        <v>6.975653972301268E+18</v>
      </c>
      <c r="B833">
        <v>527</v>
      </c>
      <c r="C833">
        <v>1</v>
      </c>
      <c r="D833">
        <v>3660</v>
      </c>
      <c r="E833">
        <f t="shared" si="52"/>
        <v>4</v>
      </c>
      <c r="F833">
        <f t="shared" si="53"/>
        <v>1</v>
      </c>
      <c r="G833">
        <f t="shared" si="54"/>
        <v>3</v>
      </c>
      <c r="H833">
        <f t="shared" si="55"/>
        <v>413</v>
      </c>
    </row>
    <row r="834" spans="1:8" x14ac:dyDescent="0.55000000000000004">
      <c r="A834" s="6">
        <v>7.0152092503222774E+18</v>
      </c>
      <c r="B834">
        <v>10</v>
      </c>
      <c r="C834">
        <v>1</v>
      </c>
      <c r="D834">
        <v>1404</v>
      </c>
      <c r="E834">
        <f t="shared" si="52"/>
        <v>5</v>
      </c>
      <c r="F834">
        <f t="shared" si="53"/>
        <v>1</v>
      </c>
      <c r="G834">
        <f t="shared" si="54"/>
        <v>2</v>
      </c>
      <c r="H834">
        <f t="shared" si="55"/>
        <v>512</v>
      </c>
    </row>
    <row r="835" spans="1:8" x14ac:dyDescent="0.55000000000000004">
      <c r="A835" s="6">
        <v>7.044253150601986E+18</v>
      </c>
      <c r="B835">
        <v>1356</v>
      </c>
      <c r="C835">
        <v>1</v>
      </c>
      <c r="D835">
        <v>4840</v>
      </c>
      <c r="E835">
        <f t="shared" ref="E835:E898" si="56">VLOOKUP(B835,$K$5:$L$9,2,1)</f>
        <v>1</v>
      </c>
      <c r="F835">
        <f t="shared" ref="F835:F898" si="57">VLOOKUP(C835,$K$15:$L$17,2,1)</f>
        <v>1</v>
      </c>
      <c r="G835">
        <f t="shared" ref="G835:G898" si="58">VLOOKUP(D835,$K$24:$L$26,2,1)</f>
        <v>3</v>
      </c>
      <c r="H835">
        <f t="shared" ref="H835:H898" si="59">E835*100+F835*10+G835</f>
        <v>113</v>
      </c>
    </row>
    <row r="836" spans="1:8" x14ac:dyDescent="0.55000000000000004">
      <c r="A836" s="6">
        <v>7.078790832576682E+18</v>
      </c>
      <c r="B836">
        <v>32</v>
      </c>
      <c r="C836">
        <v>3</v>
      </c>
      <c r="D836">
        <v>1458</v>
      </c>
      <c r="E836">
        <f t="shared" si="56"/>
        <v>5</v>
      </c>
      <c r="F836">
        <f t="shared" si="57"/>
        <v>3</v>
      </c>
      <c r="G836">
        <f t="shared" si="58"/>
        <v>2</v>
      </c>
      <c r="H836">
        <f t="shared" si="59"/>
        <v>532</v>
      </c>
    </row>
    <row r="837" spans="1:8" x14ac:dyDescent="0.55000000000000004">
      <c r="A837" s="6">
        <v>7.0951104832175278E+18</v>
      </c>
      <c r="B837">
        <v>314</v>
      </c>
      <c r="C837">
        <v>1</v>
      </c>
      <c r="D837">
        <v>2720</v>
      </c>
      <c r="E837">
        <f t="shared" si="56"/>
        <v>4</v>
      </c>
      <c r="F837">
        <f t="shared" si="57"/>
        <v>1</v>
      </c>
      <c r="G837">
        <f t="shared" si="58"/>
        <v>3</v>
      </c>
      <c r="H837">
        <f t="shared" si="59"/>
        <v>413</v>
      </c>
    </row>
    <row r="838" spans="1:8" x14ac:dyDescent="0.55000000000000004">
      <c r="A838" s="6">
        <v>7.0952950250837617E+18</v>
      </c>
      <c r="B838">
        <v>702</v>
      </c>
      <c r="C838">
        <v>2</v>
      </c>
      <c r="D838">
        <v>1278</v>
      </c>
      <c r="E838">
        <f t="shared" si="56"/>
        <v>3</v>
      </c>
      <c r="F838">
        <f t="shared" si="57"/>
        <v>2</v>
      </c>
      <c r="G838">
        <f t="shared" si="58"/>
        <v>2</v>
      </c>
      <c r="H838">
        <f t="shared" si="59"/>
        <v>322</v>
      </c>
    </row>
    <row r="839" spans="1:8" x14ac:dyDescent="0.55000000000000004">
      <c r="A839" s="6">
        <v>7.0956688496924426E+18</v>
      </c>
      <c r="B839">
        <v>132</v>
      </c>
      <c r="C839">
        <v>1</v>
      </c>
      <c r="D839">
        <v>1106</v>
      </c>
      <c r="E839">
        <f t="shared" si="56"/>
        <v>5</v>
      </c>
      <c r="F839">
        <f t="shared" si="57"/>
        <v>1</v>
      </c>
      <c r="G839">
        <f t="shared" si="58"/>
        <v>2</v>
      </c>
      <c r="H839">
        <f t="shared" si="59"/>
        <v>512</v>
      </c>
    </row>
    <row r="840" spans="1:8" x14ac:dyDescent="0.55000000000000004">
      <c r="A840" s="6">
        <v>7.1070444737870602E+18</v>
      </c>
      <c r="B840">
        <v>424</v>
      </c>
      <c r="C840">
        <v>1</v>
      </c>
      <c r="D840">
        <v>4457</v>
      </c>
      <c r="E840">
        <f t="shared" si="56"/>
        <v>4</v>
      </c>
      <c r="F840">
        <f t="shared" si="57"/>
        <v>1</v>
      </c>
      <c r="G840">
        <f t="shared" si="58"/>
        <v>3</v>
      </c>
      <c r="H840">
        <f t="shared" si="59"/>
        <v>413</v>
      </c>
    </row>
    <row r="841" spans="1:8" x14ac:dyDescent="0.55000000000000004">
      <c r="A841" s="6">
        <v>7.1089337054576466E+18</v>
      </c>
      <c r="B841">
        <v>1164</v>
      </c>
      <c r="C841">
        <v>1</v>
      </c>
      <c r="D841">
        <v>914</v>
      </c>
      <c r="E841">
        <f t="shared" si="56"/>
        <v>1</v>
      </c>
      <c r="F841">
        <f t="shared" si="57"/>
        <v>1</v>
      </c>
      <c r="G841">
        <f t="shared" si="58"/>
        <v>2</v>
      </c>
      <c r="H841">
        <f t="shared" si="59"/>
        <v>112</v>
      </c>
    </row>
    <row r="842" spans="1:8" x14ac:dyDescent="0.55000000000000004">
      <c r="A842" s="6">
        <v>7.1104790862038682E+18</v>
      </c>
      <c r="B842">
        <v>120</v>
      </c>
      <c r="C842">
        <v>1</v>
      </c>
      <c r="D842">
        <v>18200</v>
      </c>
      <c r="E842">
        <f t="shared" si="56"/>
        <v>5</v>
      </c>
      <c r="F842">
        <f t="shared" si="57"/>
        <v>1</v>
      </c>
      <c r="G842">
        <f t="shared" si="58"/>
        <v>3</v>
      </c>
      <c r="H842">
        <f t="shared" si="59"/>
        <v>513</v>
      </c>
    </row>
    <row r="843" spans="1:8" x14ac:dyDescent="0.55000000000000004">
      <c r="A843" s="6">
        <v>7.136613630905943E+18</v>
      </c>
      <c r="B843">
        <v>240</v>
      </c>
      <c r="C843">
        <v>3</v>
      </c>
      <c r="D843">
        <v>2002</v>
      </c>
      <c r="E843">
        <f t="shared" si="56"/>
        <v>5</v>
      </c>
      <c r="F843">
        <f t="shared" si="57"/>
        <v>3</v>
      </c>
      <c r="G843">
        <f t="shared" si="58"/>
        <v>2</v>
      </c>
      <c r="H843">
        <f t="shared" si="59"/>
        <v>532</v>
      </c>
    </row>
    <row r="844" spans="1:8" x14ac:dyDescent="0.55000000000000004">
      <c r="A844" s="6">
        <v>7.147156795242794E+18</v>
      </c>
      <c r="B844">
        <v>136</v>
      </c>
      <c r="C844">
        <v>2</v>
      </c>
      <c r="D844">
        <v>586</v>
      </c>
      <c r="E844">
        <f t="shared" si="56"/>
        <v>5</v>
      </c>
      <c r="F844">
        <f t="shared" si="57"/>
        <v>2</v>
      </c>
      <c r="G844">
        <f t="shared" si="58"/>
        <v>1</v>
      </c>
      <c r="H844">
        <f t="shared" si="59"/>
        <v>521</v>
      </c>
    </row>
    <row r="845" spans="1:8" x14ac:dyDescent="0.55000000000000004">
      <c r="A845" s="6">
        <v>7.1585107620074312E+18</v>
      </c>
      <c r="B845">
        <v>564</v>
      </c>
      <c r="C845">
        <v>3</v>
      </c>
      <c r="D845">
        <v>2857</v>
      </c>
      <c r="E845">
        <f t="shared" si="56"/>
        <v>4</v>
      </c>
      <c r="F845">
        <f t="shared" si="57"/>
        <v>3</v>
      </c>
      <c r="G845">
        <f t="shared" si="58"/>
        <v>3</v>
      </c>
      <c r="H845">
        <f t="shared" si="59"/>
        <v>433</v>
      </c>
    </row>
    <row r="846" spans="1:8" x14ac:dyDescent="0.55000000000000004">
      <c r="A846" s="6">
        <v>7.1727134401660109E+18</v>
      </c>
      <c r="B846">
        <v>1115</v>
      </c>
      <c r="C846">
        <v>2</v>
      </c>
      <c r="D846">
        <v>722</v>
      </c>
      <c r="E846">
        <f t="shared" si="56"/>
        <v>2</v>
      </c>
      <c r="F846">
        <f t="shared" si="57"/>
        <v>2</v>
      </c>
      <c r="G846">
        <f t="shared" si="58"/>
        <v>2</v>
      </c>
      <c r="H846">
        <f t="shared" si="59"/>
        <v>222</v>
      </c>
    </row>
    <row r="847" spans="1:8" x14ac:dyDescent="0.55000000000000004">
      <c r="A847" s="6">
        <v>7.1766019372537836E+18</v>
      </c>
      <c r="B847">
        <v>110</v>
      </c>
      <c r="C847">
        <v>1</v>
      </c>
      <c r="D847">
        <v>115</v>
      </c>
      <c r="E847">
        <f t="shared" si="56"/>
        <v>5</v>
      </c>
      <c r="F847">
        <f t="shared" si="57"/>
        <v>1</v>
      </c>
      <c r="G847">
        <f t="shared" si="58"/>
        <v>1</v>
      </c>
      <c r="H847">
        <f t="shared" si="59"/>
        <v>511</v>
      </c>
    </row>
    <row r="848" spans="1:8" x14ac:dyDescent="0.55000000000000004">
      <c r="A848" s="6">
        <v>7.1772537848913644E+18</v>
      </c>
      <c r="B848">
        <v>472</v>
      </c>
      <c r="C848">
        <v>1</v>
      </c>
      <c r="D848">
        <v>5820</v>
      </c>
      <c r="E848">
        <f t="shared" si="56"/>
        <v>4</v>
      </c>
      <c r="F848">
        <f t="shared" si="57"/>
        <v>1</v>
      </c>
      <c r="G848">
        <f t="shared" si="58"/>
        <v>3</v>
      </c>
      <c r="H848">
        <f t="shared" si="59"/>
        <v>413</v>
      </c>
    </row>
    <row r="849" spans="1:8" x14ac:dyDescent="0.55000000000000004">
      <c r="A849" s="6">
        <v>7.1818682123350518E+18</v>
      </c>
      <c r="B849">
        <v>168</v>
      </c>
      <c r="C849">
        <v>3</v>
      </c>
      <c r="D849">
        <v>2662</v>
      </c>
      <c r="E849">
        <f t="shared" si="56"/>
        <v>5</v>
      </c>
      <c r="F849">
        <f t="shared" si="57"/>
        <v>3</v>
      </c>
      <c r="G849">
        <f t="shared" si="58"/>
        <v>3</v>
      </c>
      <c r="H849">
        <f t="shared" si="59"/>
        <v>533</v>
      </c>
    </row>
    <row r="850" spans="1:8" x14ac:dyDescent="0.55000000000000004">
      <c r="A850" s="6">
        <v>7.1895242910988739E+18</v>
      </c>
      <c r="B850">
        <v>438</v>
      </c>
      <c r="C850">
        <v>1</v>
      </c>
      <c r="D850">
        <v>690</v>
      </c>
      <c r="E850">
        <f t="shared" si="56"/>
        <v>4</v>
      </c>
      <c r="F850">
        <f t="shared" si="57"/>
        <v>1</v>
      </c>
      <c r="G850">
        <f t="shared" si="58"/>
        <v>2</v>
      </c>
      <c r="H850">
        <f t="shared" si="59"/>
        <v>412</v>
      </c>
    </row>
    <row r="851" spans="1:8" x14ac:dyDescent="0.55000000000000004">
      <c r="A851" s="6">
        <v>7.2000367338064968E+18</v>
      </c>
      <c r="B851">
        <v>1125</v>
      </c>
      <c r="C851">
        <v>1</v>
      </c>
      <c r="D851">
        <v>495</v>
      </c>
      <c r="E851">
        <f t="shared" si="56"/>
        <v>2</v>
      </c>
      <c r="F851">
        <f t="shared" si="57"/>
        <v>1</v>
      </c>
      <c r="G851">
        <f t="shared" si="58"/>
        <v>1</v>
      </c>
      <c r="H851">
        <f t="shared" si="59"/>
        <v>211</v>
      </c>
    </row>
    <row r="852" spans="1:8" x14ac:dyDescent="0.55000000000000004">
      <c r="A852" s="6">
        <v>7.2076794550135798E+18</v>
      </c>
      <c r="B852">
        <v>1008</v>
      </c>
      <c r="C852">
        <v>1</v>
      </c>
      <c r="D852">
        <v>156</v>
      </c>
      <c r="E852">
        <f t="shared" si="56"/>
        <v>2</v>
      </c>
      <c r="F852">
        <f t="shared" si="57"/>
        <v>1</v>
      </c>
      <c r="G852">
        <f t="shared" si="58"/>
        <v>1</v>
      </c>
      <c r="H852">
        <f t="shared" si="59"/>
        <v>211</v>
      </c>
    </row>
    <row r="853" spans="1:8" x14ac:dyDescent="0.55000000000000004">
      <c r="A853" s="6">
        <v>7.2164494924781394E+18</v>
      </c>
      <c r="B853">
        <v>616</v>
      </c>
      <c r="C853">
        <v>1</v>
      </c>
      <c r="D853">
        <v>1250</v>
      </c>
      <c r="E853">
        <f t="shared" si="56"/>
        <v>3</v>
      </c>
      <c r="F853">
        <f t="shared" si="57"/>
        <v>1</v>
      </c>
      <c r="G853">
        <f t="shared" si="58"/>
        <v>2</v>
      </c>
      <c r="H853">
        <f t="shared" si="59"/>
        <v>312</v>
      </c>
    </row>
    <row r="854" spans="1:8" x14ac:dyDescent="0.55000000000000004">
      <c r="A854" s="6">
        <v>7.2351100005471386E+18</v>
      </c>
      <c r="B854">
        <v>1148</v>
      </c>
      <c r="C854">
        <v>1</v>
      </c>
      <c r="D854">
        <v>309</v>
      </c>
      <c r="E854">
        <f t="shared" si="56"/>
        <v>2</v>
      </c>
      <c r="F854">
        <f t="shared" si="57"/>
        <v>1</v>
      </c>
      <c r="G854">
        <f t="shared" si="58"/>
        <v>1</v>
      </c>
      <c r="H854">
        <f t="shared" si="59"/>
        <v>211</v>
      </c>
    </row>
    <row r="855" spans="1:8" x14ac:dyDescent="0.55000000000000004">
      <c r="A855" s="6">
        <v>7.2450631337090017E+18</v>
      </c>
      <c r="B855">
        <v>254</v>
      </c>
      <c r="C855">
        <v>2</v>
      </c>
      <c r="D855">
        <v>3631</v>
      </c>
      <c r="E855">
        <f t="shared" si="56"/>
        <v>5</v>
      </c>
      <c r="F855">
        <f t="shared" si="57"/>
        <v>2</v>
      </c>
      <c r="G855">
        <f t="shared" si="58"/>
        <v>3</v>
      </c>
      <c r="H855">
        <f t="shared" si="59"/>
        <v>523</v>
      </c>
    </row>
    <row r="856" spans="1:8" x14ac:dyDescent="0.55000000000000004">
      <c r="A856" s="6">
        <v>7.2497447867208612E+18</v>
      </c>
      <c r="B856">
        <v>91</v>
      </c>
      <c r="C856">
        <v>2</v>
      </c>
      <c r="D856">
        <v>1071</v>
      </c>
      <c r="E856">
        <f t="shared" si="56"/>
        <v>5</v>
      </c>
      <c r="F856">
        <f t="shared" si="57"/>
        <v>2</v>
      </c>
      <c r="G856">
        <f t="shared" si="58"/>
        <v>2</v>
      </c>
      <c r="H856">
        <f t="shared" si="59"/>
        <v>522</v>
      </c>
    </row>
    <row r="857" spans="1:8" x14ac:dyDescent="0.55000000000000004">
      <c r="A857" s="6">
        <v>7.2637407886487521E+18</v>
      </c>
      <c r="B857">
        <v>844</v>
      </c>
      <c r="C857">
        <v>1</v>
      </c>
      <c r="D857">
        <v>597</v>
      </c>
      <c r="E857">
        <f t="shared" si="56"/>
        <v>3</v>
      </c>
      <c r="F857">
        <f t="shared" si="57"/>
        <v>1</v>
      </c>
      <c r="G857">
        <f t="shared" si="58"/>
        <v>1</v>
      </c>
      <c r="H857">
        <f t="shared" si="59"/>
        <v>311</v>
      </c>
    </row>
    <row r="858" spans="1:8" x14ac:dyDescent="0.55000000000000004">
      <c r="A858" s="6">
        <v>7.2685606215086868E+18</v>
      </c>
      <c r="B858">
        <v>298</v>
      </c>
      <c r="C858">
        <v>5</v>
      </c>
      <c r="D858">
        <v>7692</v>
      </c>
      <c r="E858">
        <f t="shared" si="56"/>
        <v>4</v>
      </c>
      <c r="F858">
        <f t="shared" si="57"/>
        <v>3</v>
      </c>
      <c r="G858">
        <f t="shared" si="58"/>
        <v>3</v>
      </c>
      <c r="H858">
        <f t="shared" si="59"/>
        <v>433</v>
      </c>
    </row>
    <row r="859" spans="1:8" x14ac:dyDescent="0.55000000000000004">
      <c r="A859" s="6">
        <v>7.2717939104775229E+18</v>
      </c>
      <c r="B859">
        <v>475</v>
      </c>
      <c r="C859">
        <v>1</v>
      </c>
      <c r="D859">
        <v>2708</v>
      </c>
      <c r="E859">
        <f t="shared" si="56"/>
        <v>4</v>
      </c>
      <c r="F859">
        <f t="shared" si="57"/>
        <v>1</v>
      </c>
      <c r="G859">
        <f t="shared" si="58"/>
        <v>3</v>
      </c>
      <c r="H859">
        <f t="shared" si="59"/>
        <v>413</v>
      </c>
    </row>
    <row r="860" spans="1:8" x14ac:dyDescent="0.55000000000000004">
      <c r="A860" s="6">
        <v>7.2752396177443717E+18</v>
      </c>
      <c r="B860">
        <v>504</v>
      </c>
      <c r="C860">
        <v>1</v>
      </c>
      <c r="D860">
        <v>239</v>
      </c>
      <c r="E860">
        <f t="shared" si="56"/>
        <v>4</v>
      </c>
      <c r="F860">
        <f t="shared" si="57"/>
        <v>1</v>
      </c>
      <c r="G860">
        <f t="shared" si="58"/>
        <v>1</v>
      </c>
      <c r="H860">
        <f t="shared" si="59"/>
        <v>411</v>
      </c>
    </row>
    <row r="861" spans="1:8" x14ac:dyDescent="0.55000000000000004">
      <c r="A861" s="6">
        <v>7.2754115897695867E+18</v>
      </c>
      <c r="B861">
        <v>1201</v>
      </c>
      <c r="C861">
        <v>1</v>
      </c>
      <c r="D861">
        <v>316</v>
      </c>
      <c r="E861">
        <f t="shared" si="56"/>
        <v>1</v>
      </c>
      <c r="F861">
        <f t="shared" si="57"/>
        <v>1</v>
      </c>
      <c r="G861">
        <f t="shared" si="58"/>
        <v>1</v>
      </c>
      <c r="H861">
        <f t="shared" si="59"/>
        <v>111</v>
      </c>
    </row>
    <row r="862" spans="1:8" x14ac:dyDescent="0.55000000000000004">
      <c r="A862" s="6">
        <v>7.2768294671938744E+18</v>
      </c>
      <c r="B862">
        <v>23</v>
      </c>
      <c r="C862">
        <v>1</v>
      </c>
      <c r="D862">
        <v>1260</v>
      </c>
      <c r="E862">
        <f t="shared" si="56"/>
        <v>5</v>
      </c>
      <c r="F862">
        <f t="shared" si="57"/>
        <v>1</v>
      </c>
      <c r="G862">
        <f t="shared" si="58"/>
        <v>2</v>
      </c>
      <c r="H862">
        <f t="shared" si="59"/>
        <v>512</v>
      </c>
    </row>
    <row r="863" spans="1:8" x14ac:dyDescent="0.55000000000000004">
      <c r="A863" s="6">
        <v>7.3044169029944924E+18</v>
      </c>
      <c r="B863">
        <v>1257</v>
      </c>
      <c r="C863">
        <v>1</v>
      </c>
      <c r="D863">
        <v>178</v>
      </c>
      <c r="E863">
        <f t="shared" si="56"/>
        <v>1</v>
      </c>
      <c r="F863">
        <f t="shared" si="57"/>
        <v>1</v>
      </c>
      <c r="G863">
        <f t="shared" si="58"/>
        <v>1</v>
      </c>
      <c r="H863">
        <f t="shared" si="59"/>
        <v>111</v>
      </c>
    </row>
    <row r="864" spans="1:8" x14ac:dyDescent="0.55000000000000004">
      <c r="A864" s="6">
        <v>7.3046268671747768E+18</v>
      </c>
      <c r="B864">
        <v>763</v>
      </c>
      <c r="C864">
        <v>1</v>
      </c>
      <c r="D864">
        <v>1140</v>
      </c>
      <c r="E864">
        <f t="shared" si="56"/>
        <v>3</v>
      </c>
      <c r="F864">
        <f t="shared" si="57"/>
        <v>1</v>
      </c>
      <c r="G864">
        <f t="shared" si="58"/>
        <v>2</v>
      </c>
      <c r="H864">
        <f t="shared" si="59"/>
        <v>312</v>
      </c>
    </row>
    <row r="865" spans="1:8" x14ac:dyDescent="0.55000000000000004">
      <c r="A865" s="6">
        <v>7.30518996156783E+18</v>
      </c>
      <c r="B865">
        <v>627</v>
      </c>
      <c r="C865">
        <v>2</v>
      </c>
      <c r="D865">
        <v>4091</v>
      </c>
      <c r="E865">
        <f t="shared" si="56"/>
        <v>3</v>
      </c>
      <c r="F865">
        <f t="shared" si="57"/>
        <v>2</v>
      </c>
      <c r="G865">
        <f t="shared" si="58"/>
        <v>3</v>
      </c>
      <c r="H865">
        <f t="shared" si="59"/>
        <v>323</v>
      </c>
    </row>
    <row r="866" spans="1:8" x14ac:dyDescent="0.55000000000000004">
      <c r="A866" s="6">
        <v>7.3300644431566162E+18</v>
      </c>
      <c r="B866">
        <v>577</v>
      </c>
      <c r="C866">
        <v>1</v>
      </c>
      <c r="D866">
        <v>379</v>
      </c>
      <c r="E866">
        <f t="shared" si="56"/>
        <v>4</v>
      </c>
      <c r="F866">
        <f t="shared" si="57"/>
        <v>1</v>
      </c>
      <c r="G866">
        <f t="shared" si="58"/>
        <v>1</v>
      </c>
      <c r="H866">
        <f t="shared" si="59"/>
        <v>411</v>
      </c>
    </row>
    <row r="867" spans="1:8" x14ac:dyDescent="0.55000000000000004">
      <c r="A867" s="6">
        <v>7.3495204148405125E+18</v>
      </c>
      <c r="B867">
        <v>572</v>
      </c>
      <c r="C867">
        <v>2</v>
      </c>
      <c r="D867">
        <v>476</v>
      </c>
      <c r="E867">
        <f t="shared" si="56"/>
        <v>4</v>
      </c>
      <c r="F867">
        <f t="shared" si="57"/>
        <v>2</v>
      </c>
      <c r="G867">
        <f t="shared" si="58"/>
        <v>1</v>
      </c>
      <c r="H867">
        <f t="shared" si="59"/>
        <v>421</v>
      </c>
    </row>
    <row r="868" spans="1:8" x14ac:dyDescent="0.55000000000000004">
      <c r="A868" s="6">
        <v>7.3761653183158497E+18</v>
      </c>
      <c r="B868">
        <v>201</v>
      </c>
      <c r="C868">
        <v>1</v>
      </c>
      <c r="D868">
        <v>363</v>
      </c>
      <c r="E868">
        <f t="shared" si="56"/>
        <v>5</v>
      </c>
      <c r="F868">
        <f t="shared" si="57"/>
        <v>1</v>
      </c>
      <c r="G868">
        <f t="shared" si="58"/>
        <v>1</v>
      </c>
      <c r="H868">
        <f t="shared" si="59"/>
        <v>511</v>
      </c>
    </row>
    <row r="869" spans="1:8" x14ac:dyDescent="0.55000000000000004">
      <c r="A869" s="6">
        <v>7.3827463218525409E+18</v>
      </c>
      <c r="B869">
        <v>202</v>
      </c>
      <c r="C869">
        <v>1</v>
      </c>
      <c r="D869">
        <v>4300</v>
      </c>
      <c r="E869">
        <f t="shared" si="56"/>
        <v>5</v>
      </c>
      <c r="F869">
        <f t="shared" si="57"/>
        <v>1</v>
      </c>
      <c r="G869">
        <f t="shared" si="58"/>
        <v>3</v>
      </c>
      <c r="H869">
        <f t="shared" si="59"/>
        <v>513</v>
      </c>
    </row>
    <row r="870" spans="1:8" x14ac:dyDescent="0.55000000000000004">
      <c r="A870" s="6">
        <v>7.3910230911994184E+18</v>
      </c>
      <c r="B870">
        <v>231</v>
      </c>
      <c r="C870">
        <v>2</v>
      </c>
      <c r="D870">
        <v>1111</v>
      </c>
      <c r="E870">
        <f t="shared" si="56"/>
        <v>5</v>
      </c>
      <c r="F870">
        <f t="shared" si="57"/>
        <v>2</v>
      </c>
      <c r="G870">
        <f t="shared" si="58"/>
        <v>2</v>
      </c>
      <c r="H870">
        <f t="shared" si="59"/>
        <v>522</v>
      </c>
    </row>
    <row r="871" spans="1:8" x14ac:dyDescent="0.55000000000000004">
      <c r="A871" s="6">
        <v>7.4140334679101583E+18</v>
      </c>
      <c r="B871">
        <v>301</v>
      </c>
      <c r="C871">
        <v>2</v>
      </c>
      <c r="D871">
        <v>1948</v>
      </c>
      <c r="E871">
        <f t="shared" si="56"/>
        <v>4</v>
      </c>
      <c r="F871">
        <f t="shared" si="57"/>
        <v>2</v>
      </c>
      <c r="G871">
        <f t="shared" si="58"/>
        <v>2</v>
      </c>
      <c r="H871">
        <f t="shared" si="59"/>
        <v>422</v>
      </c>
    </row>
    <row r="872" spans="1:8" x14ac:dyDescent="0.55000000000000004">
      <c r="A872" s="6">
        <v>7.4412097813958564E+18</v>
      </c>
      <c r="B872">
        <v>88</v>
      </c>
      <c r="C872">
        <v>1</v>
      </c>
      <c r="D872">
        <v>177</v>
      </c>
      <c r="E872">
        <f t="shared" si="56"/>
        <v>5</v>
      </c>
      <c r="F872">
        <f t="shared" si="57"/>
        <v>1</v>
      </c>
      <c r="G872">
        <f t="shared" si="58"/>
        <v>1</v>
      </c>
      <c r="H872">
        <f t="shared" si="59"/>
        <v>511</v>
      </c>
    </row>
    <row r="873" spans="1:8" x14ac:dyDescent="0.55000000000000004">
      <c r="A873" s="6">
        <v>7.4503376825986447E+18</v>
      </c>
      <c r="B873">
        <v>981</v>
      </c>
      <c r="C873">
        <v>2</v>
      </c>
      <c r="D873">
        <v>1125</v>
      </c>
      <c r="E873">
        <f t="shared" si="56"/>
        <v>2</v>
      </c>
      <c r="F873">
        <f t="shared" si="57"/>
        <v>2</v>
      </c>
      <c r="G873">
        <f t="shared" si="58"/>
        <v>2</v>
      </c>
      <c r="H873">
        <f t="shared" si="59"/>
        <v>222</v>
      </c>
    </row>
    <row r="874" spans="1:8" x14ac:dyDescent="0.55000000000000004">
      <c r="A874" s="6">
        <v>7.4657880540474552E+18</v>
      </c>
      <c r="B874">
        <v>106</v>
      </c>
      <c r="C874">
        <v>1</v>
      </c>
      <c r="D874">
        <v>1114</v>
      </c>
      <c r="E874">
        <f t="shared" si="56"/>
        <v>5</v>
      </c>
      <c r="F874">
        <f t="shared" si="57"/>
        <v>1</v>
      </c>
      <c r="G874">
        <f t="shared" si="58"/>
        <v>2</v>
      </c>
      <c r="H874">
        <f t="shared" si="59"/>
        <v>512</v>
      </c>
    </row>
    <row r="875" spans="1:8" x14ac:dyDescent="0.55000000000000004">
      <c r="A875" s="6">
        <v>7.4798904250766193E+18</v>
      </c>
      <c r="B875">
        <v>46</v>
      </c>
      <c r="C875">
        <v>1</v>
      </c>
      <c r="D875">
        <v>360</v>
      </c>
      <c r="E875">
        <f t="shared" si="56"/>
        <v>5</v>
      </c>
      <c r="F875">
        <f t="shared" si="57"/>
        <v>1</v>
      </c>
      <c r="G875">
        <f t="shared" si="58"/>
        <v>1</v>
      </c>
      <c r="H875">
        <f t="shared" si="59"/>
        <v>511</v>
      </c>
    </row>
    <row r="876" spans="1:8" x14ac:dyDescent="0.55000000000000004">
      <c r="A876" s="6">
        <v>7.4929015261092721E+18</v>
      </c>
      <c r="B876">
        <v>119</v>
      </c>
      <c r="C876">
        <v>1</v>
      </c>
      <c r="D876">
        <v>255</v>
      </c>
      <c r="E876">
        <f t="shared" si="56"/>
        <v>5</v>
      </c>
      <c r="F876">
        <f t="shared" si="57"/>
        <v>1</v>
      </c>
      <c r="G876">
        <f t="shared" si="58"/>
        <v>1</v>
      </c>
      <c r="H876">
        <f t="shared" si="59"/>
        <v>511</v>
      </c>
    </row>
    <row r="877" spans="1:8" x14ac:dyDescent="0.55000000000000004">
      <c r="A877" s="6">
        <v>7.5173770377600195E+18</v>
      </c>
      <c r="B877">
        <v>1262</v>
      </c>
      <c r="C877">
        <v>1</v>
      </c>
      <c r="D877">
        <v>1022</v>
      </c>
      <c r="E877">
        <f t="shared" si="56"/>
        <v>1</v>
      </c>
      <c r="F877">
        <f t="shared" si="57"/>
        <v>1</v>
      </c>
      <c r="G877">
        <f t="shared" si="58"/>
        <v>2</v>
      </c>
      <c r="H877">
        <f t="shared" si="59"/>
        <v>112</v>
      </c>
    </row>
    <row r="878" spans="1:8" x14ac:dyDescent="0.55000000000000004">
      <c r="A878" s="6">
        <v>7.5196572512331551E+18</v>
      </c>
      <c r="B878">
        <v>812</v>
      </c>
      <c r="C878">
        <v>1</v>
      </c>
      <c r="D878">
        <v>701</v>
      </c>
      <c r="E878">
        <f t="shared" si="56"/>
        <v>3</v>
      </c>
      <c r="F878">
        <f t="shared" si="57"/>
        <v>1</v>
      </c>
      <c r="G878">
        <f t="shared" si="58"/>
        <v>2</v>
      </c>
      <c r="H878">
        <f t="shared" si="59"/>
        <v>312</v>
      </c>
    </row>
    <row r="879" spans="1:8" x14ac:dyDescent="0.55000000000000004">
      <c r="A879" s="6">
        <v>7.5205544625974272E+18</v>
      </c>
      <c r="B879">
        <v>332</v>
      </c>
      <c r="C879">
        <v>1</v>
      </c>
      <c r="D879">
        <v>597</v>
      </c>
      <c r="E879">
        <f t="shared" si="56"/>
        <v>4</v>
      </c>
      <c r="F879">
        <f t="shared" si="57"/>
        <v>1</v>
      </c>
      <c r="G879">
        <f t="shared" si="58"/>
        <v>1</v>
      </c>
      <c r="H879">
        <f t="shared" si="59"/>
        <v>411</v>
      </c>
    </row>
    <row r="880" spans="1:8" x14ac:dyDescent="0.55000000000000004">
      <c r="A880" s="6">
        <v>7.5261506837205473E+18</v>
      </c>
      <c r="B880">
        <v>508</v>
      </c>
      <c r="C880">
        <v>1</v>
      </c>
      <c r="D880">
        <v>4470</v>
      </c>
      <c r="E880">
        <f t="shared" si="56"/>
        <v>4</v>
      </c>
      <c r="F880">
        <f t="shared" si="57"/>
        <v>1</v>
      </c>
      <c r="G880">
        <f t="shared" si="58"/>
        <v>3</v>
      </c>
      <c r="H880">
        <f t="shared" si="59"/>
        <v>413</v>
      </c>
    </row>
    <row r="881" spans="1:8" x14ac:dyDescent="0.55000000000000004">
      <c r="A881" s="6">
        <v>7.5299440716685742E+18</v>
      </c>
      <c r="B881">
        <v>817</v>
      </c>
      <c r="C881">
        <v>1</v>
      </c>
      <c r="D881">
        <v>2450</v>
      </c>
      <c r="E881">
        <f t="shared" si="56"/>
        <v>3</v>
      </c>
      <c r="F881">
        <f t="shared" si="57"/>
        <v>1</v>
      </c>
      <c r="G881">
        <f t="shared" si="58"/>
        <v>3</v>
      </c>
      <c r="H881">
        <f t="shared" si="59"/>
        <v>313</v>
      </c>
    </row>
    <row r="882" spans="1:8" x14ac:dyDescent="0.55000000000000004">
      <c r="A882" s="6">
        <v>7.530252964857858E+18</v>
      </c>
      <c r="B882">
        <v>128</v>
      </c>
      <c r="C882">
        <v>2</v>
      </c>
      <c r="D882">
        <v>4505</v>
      </c>
      <c r="E882">
        <f t="shared" si="56"/>
        <v>5</v>
      </c>
      <c r="F882">
        <f t="shared" si="57"/>
        <v>2</v>
      </c>
      <c r="G882">
        <f t="shared" si="58"/>
        <v>3</v>
      </c>
      <c r="H882">
        <f t="shared" si="59"/>
        <v>523</v>
      </c>
    </row>
    <row r="883" spans="1:8" x14ac:dyDescent="0.55000000000000004">
      <c r="A883" s="6">
        <v>7.5308154489521398E+18</v>
      </c>
      <c r="B883">
        <v>335</v>
      </c>
      <c r="C883">
        <v>1</v>
      </c>
      <c r="D883">
        <v>487</v>
      </c>
      <c r="E883">
        <f t="shared" si="56"/>
        <v>4</v>
      </c>
      <c r="F883">
        <f t="shared" si="57"/>
        <v>1</v>
      </c>
      <c r="G883">
        <f t="shared" si="58"/>
        <v>1</v>
      </c>
      <c r="H883">
        <f t="shared" si="59"/>
        <v>411</v>
      </c>
    </row>
    <row r="884" spans="1:8" x14ac:dyDescent="0.55000000000000004">
      <c r="A884" s="6">
        <v>7.5454109960868352E+18</v>
      </c>
      <c r="B884">
        <v>2</v>
      </c>
      <c r="C884">
        <v>1</v>
      </c>
      <c r="D884">
        <v>1590</v>
      </c>
      <c r="E884">
        <f t="shared" si="56"/>
        <v>5</v>
      </c>
      <c r="F884">
        <f t="shared" si="57"/>
        <v>1</v>
      </c>
      <c r="G884">
        <f t="shared" si="58"/>
        <v>2</v>
      </c>
      <c r="H884">
        <f t="shared" si="59"/>
        <v>512</v>
      </c>
    </row>
    <row r="885" spans="1:8" x14ac:dyDescent="0.55000000000000004">
      <c r="A885" s="6">
        <v>7.5613128868329021E+18</v>
      </c>
      <c r="B885">
        <v>91</v>
      </c>
      <c r="C885">
        <v>1</v>
      </c>
      <c r="D885">
        <v>1214</v>
      </c>
      <c r="E885">
        <f t="shared" si="56"/>
        <v>5</v>
      </c>
      <c r="F885">
        <f t="shared" si="57"/>
        <v>1</v>
      </c>
      <c r="G885">
        <f t="shared" si="58"/>
        <v>2</v>
      </c>
      <c r="H885">
        <f t="shared" si="59"/>
        <v>512</v>
      </c>
    </row>
    <row r="886" spans="1:8" x14ac:dyDescent="0.55000000000000004">
      <c r="A886" s="6">
        <v>7.5659730072132506E+18</v>
      </c>
      <c r="B886">
        <v>86</v>
      </c>
      <c r="C886">
        <v>1</v>
      </c>
      <c r="D886">
        <v>897</v>
      </c>
      <c r="E886">
        <f t="shared" si="56"/>
        <v>5</v>
      </c>
      <c r="F886">
        <f t="shared" si="57"/>
        <v>1</v>
      </c>
      <c r="G886">
        <f t="shared" si="58"/>
        <v>2</v>
      </c>
      <c r="H886">
        <f t="shared" si="59"/>
        <v>512</v>
      </c>
    </row>
    <row r="887" spans="1:8" x14ac:dyDescent="0.55000000000000004">
      <c r="A887" s="6">
        <v>7.5811886889476536E+18</v>
      </c>
      <c r="B887">
        <v>390</v>
      </c>
      <c r="C887">
        <v>1</v>
      </c>
      <c r="D887">
        <v>473</v>
      </c>
      <c r="E887">
        <f t="shared" si="56"/>
        <v>4</v>
      </c>
      <c r="F887">
        <f t="shared" si="57"/>
        <v>1</v>
      </c>
      <c r="G887">
        <f t="shared" si="58"/>
        <v>1</v>
      </c>
      <c r="H887">
        <f t="shared" si="59"/>
        <v>411</v>
      </c>
    </row>
    <row r="888" spans="1:8" x14ac:dyDescent="0.55000000000000004">
      <c r="A888" s="6">
        <v>7.5917125380343245E+18</v>
      </c>
      <c r="B888">
        <v>229</v>
      </c>
      <c r="C888">
        <v>2</v>
      </c>
      <c r="D888">
        <v>12667</v>
      </c>
      <c r="E888">
        <f t="shared" si="56"/>
        <v>5</v>
      </c>
      <c r="F888">
        <f t="shared" si="57"/>
        <v>2</v>
      </c>
      <c r="G888">
        <f t="shared" si="58"/>
        <v>3</v>
      </c>
      <c r="H888">
        <f t="shared" si="59"/>
        <v>523</v>
      </c>
    </row>
    <row r="889" spans="1:8" x14ac:dyDescent="0.55000000000000004">
      <c r="A889" s="6">
        <v>7.5940743852725688E+18</v>
      </c>
      <c r="B889">
        <v>244</v>
      </c>
      <c r="C889">
        <v>1</v>
      </c>
      <c r="D889">
        <v>299</v>
      </c>
      <c r="E889">
        <f t="shared" si="56"/>
        <v>5</v>
      </c>
      <c r="F889">
        <f t="shared" si="57"/>
        <v>1</v>
      </c>
      <c r="G889">
        <f t="shared" si="58"/>
        <v>1</v>
      </c>
      <c r="H889">
        <f t="shared" si="59"/>
        <v>511</v>
      </c>
    </row>
    <row r="890" spans="1:8" x14ac:dyDescent="0.55000000000000004">
      <c r="A890" s="6">
        <v>7.6012316943242404E+18</v>
      </c>
      <c r="B890">
        <v>479</v>
      </c>
      <c r="C890">
        <v>1</v>
      </c>
      <c r="D890">
        <v>289</v>
      </c>
      <c r="E890">
        <f t="shared" si="56"/>
        <v>4</v>
      </c>
      <c r="F890">
        <f t="shared" si="57"/>
        <v>1</v>
      </c>
      <c r="G890">
        <f t="shared" si="58"/>
        <v>1</v>
      </c>
      <c r="H890">
        <f t="shared" si="59"/>
        <v>411</v>
      </c>
    </row>
    <row r="891" spans="1:8" x14ac:dyDescent="0.55000000000000004">
      <c r="A891" s="6">
        <v>7.6017591493459118E+18</v>
      </c>
      <c r="B891">
        <v>62</v>
      </c>
      <c r="C891">
        <v>2</v>
      </c>
      <c r="D891">
        <v>767</v>
      </c>
      <c r="E891">
        <f t="shared" si="56"/>
        <v>5</v>
      </c>
      <c r="F891">
        <f t="shared" si="57"/>
        <v>2</v>
      </c>
      <c r="G891">
        <f t="shared" si="58"/>
        <v>2</v>
      </c>
      <c r="H891">
        <f t="shared" si="59"/>
        <v>522</v>
      </c>
    </row>
    <row r="892" spans="1:8" x14ac:dyDescent="0.55000000000000004">
      <c r="A892" s="6">
        <v>7.6031945168167496E+18</v>
      </c>
      <c r="B892">
        <v>29</v>
      </c>
      <c r="C892">
        <v>1</v>
      </c>
      <c r="D892">
        <v>519</v>
      </c>
      <c r="E892">
        <f t="shared" si="56"/>
        <v>5</v>
      </c>
      <c r="F892">
        <f t="shared" si="57"/>
        <v>1</v>
      </c>
      <c r="G892">
        <f t="shared" si="58"/>
        <v>1</v>
      </c>
      <c r="H892">
        <f t="shared" si="59"/>
        <v>511</v>
      </c>
    </row>
    <row r="893" spans="1:8" x14ac:dyDescent="0.55000000000000004">
      <c r="A893" s="6">
        <v>7.6043741143239148E+18</v>
      </c>
      <c r="B893">
        <v>773</v>
      </c>
      <c r="C893">
        <v>1</v>
      </c>
      <c r="D893">
        <v>711</v>
      </c>
      <c r="E893">
        <f t="shared" si="56"/>
        <v>3</v>
      </c>
      <c r="F893">
        <f t="shared" si="57"/>
        <v>1</v>
      </c>
      <c r="G893">
        <f t="shared" si="58"/>
        <v>2</v>
      </c>
      <c r="H893">
        <f t="shared" si="59"/>
        <v>312</v>
      </c>
    </row>
    <row r="894" spans="1:8" x14ac:dyDescent="0.55000000000000004">
      <c r="A894" s="6">
        <v>7.6067031389727324E+18</v>
      </c>
      <c r="B894">
        <v>47</v>
      </c>
      <c r="C894">
        <v>2</v>
      </c>
      <c r="D894">
        <v>4266</v>
      </c>
      <c r="E894">
        <f t="shared" si="56"/>
        <v>5</v>
      </c>
      <c r="F894">
        <f t="shared" si="57"/>
        <v>2</v>
      </c>
      <c r="G894">
        <f t="shared" si="58"/>
        <v>3</v>
      </c>
      <c r="H894">
        <f t="shared" si="59"/>
        <v>523</v>
      </c>
    </row>
    <row r="895" spans="1:8" x14ac:dyDescent="0.55000000000000004">
      <c r="A895" s="6">
        <v>7.6079480927465441E+18</v>
      </c>
      <c r="B895">
        <v>948</v>
      </c>
      <c r="C895">
        <v>3</v>
      </c>
      <c r="D895">
        <v>857</v>
      </c>
      <c r="E895">
        <f t="shared" si="56"/>
        <v>2</v>
      </c>
      <c r="F895">
        <f t="shared" si="57"/>
        <v>3</v>
      </c>
      <c r="G895">
        <f t="shared" si="58"/>
        <v>2</v>
      </c>
      <c r="H895">
        <f t="shared" si="59"/>
        <v>232</v>
      </c>
    </row>
    <row r="896" spans="1:8" x14ac:dyDescent="0.55000000000000004">
      <c r="A896" s="6">
        <v>7.623556224936533E+18</v>
      </c>
      <c r="B896">
        <v>543</v>
      </c>
      <c r="C896">
        <v>1</v>
      </c>
      <c r="D896">
        <v>242</v>
      </c>
      <c r="E896">
        <f t="shared" si="56"/>
        <v>4</v>
      </c>
      <c r="F896">
        <f t="shared" si="57"/>
        <v>1</v>
      </c>
      <c r="G896">
        <f t="shared" si="58"/>
        <v>1</v>
      </c>
      <c r="H896">
        <f t="shared" si="59"/>
        <v>411</v>
      </c>
    </row>
    <row r="897" spans="1:8" x14ac:dyDescent="0.55000000000000004">
      <c r="A897" s="6">
        <v>7.6447940778799524E+18</v>
      </c>
      <c r="B897">
        <v>553</v>
      </c>
      <c r="C897">
        <v>1</v>
      </c>
      <c r="D897">
        <v>0</v>
      </c>
      <c r="E897">
        <f t="shared" si="56"/>
        <v>4</v>
      </c>
      <c r="F897">
        <f t="shared" si="57"/>
        <v>1</v>
      </c>
      <c r="G897">
        <f t="shared" si="58"/>
        <v>1</v>
      </c>
      <c r="H897">
        <f t="shared" si="59"/>
        <v>411</v>
      </c>
    </row>
    <row r="898" spans="1:8" x14ac:dyDescent="0.55000000000000004">
      <c r="A898" s="6">
        <v>7.6501057150357299E+18</v>
      </c>
      <c r="B898">
        <v>110</v>
      </c>
      <c r="C898">
        <v>3</v>
      </c>
      <c r="D898">
        <v>3999</v>
      </c>
      <c r="E898">
        <f t="shared" si="56"/>
        <v>5</v>
      </c>
      <c r="F898">
        <f t="shared" si="57"/>
        <v>3</v>
      </c>
      <c r="G898">
        <f t="shared" si="58"/>
        <v>3</v>
      </c>
      <c r="H898">
        <f t="shared" si="59"/>
        <v>533</v>
      </c>
    </row>
    <row r="899" spans="1:8" x14ac:dyDescent="0.55000000000000004">
      <c r="A899" s="6">
        <v>7.6836926941930506E+18</v>
      </c>
      <c r="B899">
        <v>533</v>
      </c>
      <c r="C899">
        <v>1</v>
      </c>
      <c r="D899">
        <v>1625</v>
      </c>
      <c r="E899">
        <f t="shared" ref="E899:E962" si="60">VLOOKUP(B899,$K$5:$L$9,2,1)</f>
        <v>4</v>
      </c>
      <c r="F899">
        <f t="shared" ref="F899:F962" si="61">VLOOKUP(C899,$K$15:$L$17,2,1)</f>
        <v>1</v>
      </c>
      <c r="G899">
        <f t="shared" ref="G899:G962" si="62">VLOOKUP(D899,$K$24:$L$26,2,1)</f>
        <v>2</v>
      </c>
      <c r="H899">
        <f t="shared" ref="H899:H962" si="63">E899*100+F899*10+G899</f>
        <v>412</v>
      </c>
    </row>
    <row r="900" spans="1:8" x14ac:dyDescent="0.55000000000000004">
      <c r="A900" s="6">
        <v>7.7073247974372588E+18</v>
      </c>
      <c r="B900">
        <v>1391</v>
      </c>
      <c r="C900">
        <v>1</v>
      </c>
      <c r="D900">
        <v>4686</v>
      </c>
      <c r="E900">
        <f t="shared" si="60"/>
        <v>1</v>
      </c>
      <c r="F900">
        <f t="shared" si="61"/>
        <v>1</v>
      </c>
      <c r="G900">
        <f t="shared" si="62"/>
        <v>3</v>
      </c>
      <c r="H900">
        <f t="shared" si="63"/>
        <v>113</v>
      </c>
    </row>
    <row r="901" spans="1:8" x14ac:dyDescent="0.55000000000000004">
      <c r="A901" s="6">
        <v>7.7153040180102728E+18</v>
      </c>
      <c r="B901">
        <v>352</v>
      </c>
      <c r="C901">
        <v>1</v>
      </c>
      <c r="D901">
        <v>290</v>
      </c>
      <c r="E901">
        <f t="shared" si="60"/>
        <v>4</v>
      </c>
      <c r="F901">
        <f t="shared" si="61"/>
        <v>1</v>
      </c>
      <c r="G901">
        <f t="shared" si="62"/>
        <v>1</v>
      </c>
      <c r="H901">
        <f t="shared" si="63"/>
        <v>411</v>
      </c>
    </row>
    <row r="902" spans="1:8" x14ac:dyDescent="0.55000000000000004">
      <c r="A902" s="6">
        <v>7.7337721717866086E+18</v>
      </c>
      <c r="B902">
        <v>34</v>
      </c>
      <c r="C902">
        <v>2</v>
      </c>
      <c r="D902">
        <v>2580</v>
      </c>
      <c r="E902">
        <f t="shared" si="60"/>
        <v>5</v>
      </c>
      <c r="F902">
        <f t="shared" si="61"/>
        <v>2</v>
      </c>
      <c r="G902">
        <f t="shared" si="62"/>
        <v>3</v>
      </c>
      <c r="H902">
        <f t="shared" si="63"/>
        <v>523</v>
      </c>
    </row>
    <row r="903" spans="1:8" x14ac:dyDescent="0.55000000000000004">
      <c r="A903" s="6">
        <v>7.75064530770462E+18</v>
      </c>
      <c r="B903">
        <v>222</v>
      </c>
      <c r="C903">
        <v>1</v>
      </c>
      <c r="D903">
        <v>349</v>
      </c>
      <c r="E903">
        <f t="shared" si="60"/>
        <v>5</v>
      </c>
      <c r="F903">
        <f t="shared" si="61"/>
        <v>1</v>
      </c>
      <c r="G903">
        <f t="shared" si="62"/>
        <v>1</v>
      </c>
      <c r="H903">
        <f t="shared" si="63"/>
        <v>511</v>
      </c>
    </row>
    <row r="904" spans="1:8" x14ac:dyDescent="0.55000000000000004">
      <c r="A904" s="6">
        <v>7.7537419316894781E+18</v>
      </c>
      <c r="B904">
        <v>16</v>
      </c>
      <c r="C904">
        <v>1</v>
      </c>
      <c r="D904">
        <v>796</v>
      </c>
      <c r="E904">
        <f t="shared" si="60"/>
        <v>5</v>
      </c>
      <c r="F904">
        <f t="shared" si="61"/>
        <v>1</v>
      </c>
      <c r="G904">
        <f t="shared" si="62"/>
        <v>2</v>
      </c>
      <c r="H904">
        <f t="shared" si="63"/>
        <v>512</v>
      </c>
    </row>
    <row r="905" spans="1:8" x14ac:dyDescent="0.55000000000000004">
      <c r="A905" s="6">
        <v>7.7611629578833347E+18</v>
      </c>
      <c r="B905">
        <v>3</v>
      </c>
      <c r="C905">
        <v>1</v>
      </c>
      <c r="D905">
        <v>563</v>
      </c>
      <c r="E905">
        <f t="shared" si="60"/>
        <v>5</v>
      </c>
      <c r="F905">
        <f t="shared" si="61"/>
        <v>1</v>
      </c>
      <c r="G905">
        <f t="shared" si="62"/>
        <v>1</v>
      </c>
      <c r="H905">
        <f t="shared" si="63"/>
        <v>511</v>
      </c>
    </row>
    <row r="906" spans="1:8" x14ac:dyDescent="0.55000000000000004">
      <c r="A906" s="6">
        <v>7.7811236904721183E+18</v>
      </c>
      <c r="B906">
        <v>776</v>
      </c>
      <c r="C906">
        <v>1</v>
      </c>
      <c r="D906">
        <v>1847</v>
      </c>
      <c r="E906">
        <f t="shared" si="60"/>
        <v>3</v>
      </c>
      <c r="F906">
        <f t="shared" si="61"/>
        <v>1</v>
      </c>
      <c r="G906">
        <f t="shared" si="62"/>
        <v>2</v>
      </c>
      <c r="H906">
        <f t="shared" si="63"/>
        <v>312</v>
      </c>
    </row>
    <row r="907" spans="1:8" x14ac:dyDescent="0.55000000000000004">
      <c r="A907" s="6">
        <v>7.7811365990850867E+18</v>
      </c>
      <c r="B907">
        <v>263</v>
      </c>
      <c r="C907">
        <v>2</v>
      </c>
      <c r="D907">
        <v>787</v>
      </c>
      <c r="E907">
        <f t="shared" si="60"/>
        <v>5</v>
      </c>
      <c r="F907">
        <f t="shared" si="61"/>
        <v>2</v>
      </c>
      <c r="G907">
        <f t="shared" si="62"/>
        <v>2</v>
      </c>
      <c r="H907">
        <f t="shared" si="63"/>
        <v>522</v>
      </c>
    </row>
    <row r="908" spans="1:8" x14ac:dyDescent="0.55000000000000004">
      <c r="A908" s="6">
        <v>7.7831631543123999E+18</v>
      </c>
      <c r="B908">
        <v>1401</v>
      </c>
      <c r="C908">
        <v>1</v>
      </c>
      <c r="D908">
        <v>362</v>
      </c>
      <c r="E908">
        <f t="shared" si="60"/>
        <v>1</v>
      </c>
      <c r="F908">
        <f t="shared" si="61"/>
        <v>1</v>
      </c>
      <c r="G908">
        <f t="shared" si="62"/>
        <v>1</v>
      </c>
      <c r="H908">
        <f t="shared" si="63"/>
        <v>111</v>
      </c>
    </row>
    <row r="909" spans="1:8" x14ac:dyDescent="0.55000000000000004">
      <c r="A909" s="6">
        <v>7.7927665970016543E+18</v>
      </c>
      <c r="B909">
        <v>545</v>
      </c>
      <c r="C909">
        <v>1</v>
      </c>
      <c r="D909">
        <v>597</v>
      </c>
      <c r="E909">
        <f t="shared" si="60"/>
        <v>4</v>
      </c>
      <c r="F909">
        <f t="shared" si="61"/>
        <v>1</v>
      </c>
      <c r="G909">
        <f t="shared" si="62"/>
        <v>1</v>
      </c>
      <c r="H909">
        <f t="shared" si="63"/>
        <v>411</v>
      </c>
    </row>
    <row r="910" spans="1:8" x14ac:dyDescent="0.55000000000000004">
      <c r="A910" s="6">
        <v>7.8378446372614328E+18</v>
      </c>
      <c r="B910">
        <v>1196</v>
      </c>
      <c r="C910">
        <v>1</v>
      </c>
      <c r="D910">
        <v>53</v>
      </c>
      <c r="E910">
        <f t="shared" si="60"/>
        <v>1</v>
      </c>
      <c r="F910">
        <f t="shared" si="61"/>
        <v>1</v>
      </c>
      <c r="G910">
        <f t="shared" si="62"/>
        <v>1</v>
      </c>
      <c r="H910">
        <f t="shared" si="63"/>
        <v>111</v>
      </c>
    </row>
    <row r="911" spans="1:8" x14ac:dyDescent="0.55000000000000004">
      <c r="A911" s="6">
        <v>7.8456795297527828E+18</v>
      </c>
      <c r="B911">
        <v>726</v>
      </c>
      <c r="C911">
        <v>1</v>
      </c>
      <c r="D911">
        <v>276</v>
      </c>
      <c r="E911">
        <f t="shared" si="60"/>
        <v>3</v>
      </c>
      <c r="F911">
        <f t="shared" si="61"/>
        <v>1</v>
      </c>
      <c r="G911">
        <f t="shared" si="62"/>
        <v>1</v>
      </c>
      <c r="H911">
        <f t="shared" si="63"/>
        <v>311</v>
      </c>
    </row>
    <row r="912" spans="1:8" x14ac:dyDescent="0.55000000000000004">
      <c r="A912" s="6">
        <v>7.8543839468531302E+18</v>
      </c>
      <c r="B912">
        <v>1091</v>
      </c>
      <c r="C912">
        <v>1</v>
      </c>
      <c r="D912">
        <v>3596</v>
      </c>
      <c r="E912">
        <f t="shared" si="60"/>
        <v>2</v>
      </c>
      <c r="F912">
        <f t="shared" si="61"/>
        <v>1</v>
      </c>
      <c r="G912">
        <f t="shared" si="62"/>
        <v>3</v>
      </c>
      <c r="H912">
        <f t="shared" si="63"/>
        <v>213</v>
      </c>
    </row>
    <row r="913" spans="1:8" x14ac:dyDescent="0.55000000000000004">
      <c r="A913" s="6">
        <v>7.8606803589434409E+18</v>
      </c>
      <c r="B913">
        <v>346</v>
      </c>
      <c r="C913">
        <v>1</v>
      </c>
      <c r="D913">
        <v>1660</v>
      </c>
      <c r="E913">
        <f t="shared" si="60"/>
        <v>4</v>
      </c>
      <c r="F913">
        <f t="shared" si="61"/>
        <v>1</v>
      </c>
      <c r="G913">
        <f t="shared" si="62"/>
        <v>2</v>
      </c>
      <c r="H913">
        <f t="shared" si="63"/>
        <v>412</v>
      </c>
    </row>
    <row r="914" spans="1:8" x14ac:dyDescent="0.55000000000000004">
      <c r="A914" s="6">
        <v>7.8708096775665695E+18</v>
      </c>
      <c r="B914">
        <v>655</v>
      </c>
      <c r="C914">
        <v>1</v>
      </c>
      <c r="D914">
        <v>965</v>
      </c>
      <c r="E914">
        <f t="shared" si="60"/>
        <v>3</v>
      </c>
      <c r="F914">
        <f t="shared" si="61"/>
        <v>1</v>
      </c>
      <c r="G914">
        <f t="shared" si="62"/>
        <v>2</v>
      </c>
      <c r="H914">
        <f t="shared" si="63"/>
        <v>312</v>
      </c>
    </row>
    <row r="915" spans="1:8" x14ac:dyDescent="0.55000000000000004">
      <c r="A915" s="6">
        <v>7.8829897884774124E+18</v>
      </c>
      <c r="B915">
        <v>508</v>
      </c>
      <c r="C915">
        <v>1</v>
      </c>
      <c r="D915">
        <v>1543</v>
      </c>
      <c r="E915">
        <f t="shared" si="60"/>
        <v>4</v>
      </c>
      <c r="F915">
        <f t="shared" si="61"/>
        <v>1</v>
      </c>
      <c r="G915">
        <f t="shared" si="62"/>
        <v>2</v>
      </c>
      <c r="H915">
        <f t="shared" si="63"/>
        <v>412</v>
      </c>
    </row>
    <row r="916" spans="1:8" x14ac:dyDescent="0.55000000000000004">
      <c r="A916" s="6">
        <v>7.8934903852824699E+18</v>
      </c>
      <c r="B916">
        <v>653</v>
      </c>
      <c r="C916">
        <v>1</v>
      </c>
      <c r="D916">
        <v>85</v>
      </c>
      <c r="E916">
        <f t="shared" si="60"/>
        <v>3</v>
      </c>
      <c r="F916">
        <f t="shared" si="61"/>
        <v>1</v>
      </c>
      <c r="G916">
        <f t="shared" si="62"/>
        <v>1</v>
      </c>
      <c r="H916">
        <f t="shared" si="63"/>
        <v>311</v>
      </c>
    </row>
    <row r="917" spans="1:8" x14ac:dyDescent="0.55000000000000004">
      <c r="A917" s="6">
        <v>7.9106735790695045E+18</v>
      </c>
      <c r="B917">
        <v>1185</v>
      </c>
      <c r="C917">
        <v>1</v>
      </c>
      <c r="D917">
        <v>199</v>
      </c>
      <c r="E917">
        <f t="shared" si="60"/>
        <v>1</v>
      </c>
      <c r="F917">
        <f t="shared" si="61"/>
        <v>1</v>
      </c>
      <c r="G917">
        <f t="shared" si="62"/>
        <v>1</v>
      </c>
      <c r="H917">
        <f t="shared" si="63"/>
        <v>111</v>
      </c>
    </row>
    <row r="918" spans="1:8" x14ac:dyDescent="0.55000000000000004">
      <c r="A918" s="6">
        <v>7.9157190197164687E+18</v>
      </c>
      <c r="B918">
        <v>1141</v>
      </c>
      <c r="C918">
        <v>1</v>
      </c>
      <c r="D918">
        <v>126</v>
      </c>
      <c r="E918">
        <f t="shared" si="60"/>
        <v>2</v>
      </c>
      <c r="F918">
        <f t="shared" si="61"/>
        <v>1</v>
      </c>
      <c r="G918">
        <f t="shared" si="62"/>
        <v>1</v>
      </c>
      <c r="H918">
        <f t="shared" si="63"/>
        <v>211</v>
      </c>
    </row>
    <row r="919" spans="1:8" x14ac:dyDescent="0.55000000000000004">
      <c r="A919" s="6">
        <v>7.9294584105126963E+18</v>
      </c>
      <c r="B919">
        <v>409</v>
      </c>
      <c r="C919">
        <v>2</v>
      </c>
      <c r="D919">
        <v>2839</v>
      </c>
      <c r="E919">
        <f t="shared" si="60"/>
        <v>4</v>
      </c>
      <c r="F919">
        <f t="shared" si="61"/>
        <v>2</v>
      </c>
      <c r="G919">
        <f t="shared" si="62"/>
        <v>3</v>
      </c>
      <c r="H919">
        <f t="shared" si="63"/>
        <v>423</v>
      </c>
    </row>
    <row r="920" spans="1:8" x14ac:dyDescent="0.55000000000000004">
      <c r="A920" s="6">
        <v>7.9305751184416246E+18</v>
      </c>
      <c r="B920">
        <v>996</v>
      </c>
      <c r="C920">
        <v>1</v>
      </c>
      <c r="D920">
        <v>7791</v>
      </c>
      <c r="E920">
        <f t="shared" si="60"/>
        <v>2</v>
      </c>
      <c r="F920">
        <f t="shared" si="61"/>
        <v>1</v>
      </c>
      <c r="G920">
        <f t="shared" si="62"/>
        <v>3</v>
      </c>
      <c r="H920">
        <f t="shared" si="63"/>
        <v>213</v>
      </c>
    </row>
    <row r="921" spans="1:8" x14ac:dyDescent="0.55000000000000004">
      <c r="A921" s="6">
        <v>7.9385571810270147E+18</v>
      </c>
      <c r="B921">
        <v>102</v>
      </c>
      <c r="C921">
        <v>1</v>
      </c>
      <c r="D921">
        <v>1482</v>
      </c>
      <c r="E921">
        <f t="shared" si="60"/>
        <v>5</v>
      </c>
      <c r="F921">
        <f t="shared" si="61"/>
        <v>1</v>
      </c>
      <c r="G921">
        <f t="shared" si="62"/>
        <v>2</v>
      </c>
      <c r="H921">
        <f t="shared" si="63"/>
        <v>512</v>
      </c>
    </row>
    <row r="922" spans="1:8" x14ac:dyDescent="0.55000000000000004">
      <c r="A922" s="6">
        <v>7.9386051659455212E+18</v>
      </c>
      <c r="B922">
        <v>21</v>
      </c>
      <c r="C922">
        <v>3</v>
      </c>
      <c r="D922">
        <v>3680</v>
      </c>
      <c r="E922">
        <f t="shared" si="60"/>
        <v>5</v>
      </c>
      <c r="F922">
        <f t="shared" si="61"/>
        <v>3</v>
      </c>
      <c r="G922">
        <f t="shared" si="62"/>
        <v>3</v>
      </c>
      <c r="H922">
        <f t="shared" si="63"/>
        <v>533</v>
      </c>
    </row>
    <row r="923" spans="1:8" x14ac:dyDescent="0.55000000000000004">
      <c r="A923" s="6">
        <v>7.9496410067358515E+18</v>
      </c>
      <c r="B923">
        <v>178</v>
      </c>
      <c r="C923">
        <v>1</v>
      </c>
      <c r="D923">
        <v>1743</v>
      </c>
      <c r="E923">
        <f t="shared" si="60"/>
        <v>5</v>
      </c>
      <c r="F923">
        <f t="shared" si="61"/>
        <v>1</v>
      </c>
      <c r="G923">
        <f t="shared" si="62"/>
        <v>2</v>
      </c>
      <c r="H923">
        <f t="shared" si="63"/>
        <v>512</v>
      </c>
    </row>
    <row r="924" spans="1:8" x14ac:dyDescent="0.55000000000000004">
      <c r="A924" s="6">
        <v>7.9604283635286159E+18</v>
      </c>
      <c r="B924">
        <v>104</v>
      </c>
      <c r="C924">
        <v>3</v>
      </c>
      <c r="D924">
        <v>1202</v>
      </c>
      <c r="E924">
        <f t="shared" si="60"/>
        <v>5</v>
      </c>
      <c r="F924">
        <f t="shared" si="61"/>
        <v>3</v>
      </c>
      <c r="G924">
        <f t="shared" si="62"/>
        <v>2</v>
      </c>
      <c r="H924">
        <f t="shared" si="63"/>
        <v>532</v>
      </c>
    </row>
    <row r="925" spans="1:8" x14ac:dyDescent="0.55000000000000004">
      <c r="A925" s="6">
        <v>7.9630113413524603E+18</v>
      </c>
      <c r="B925">
        <v>741</v>
      </c>
      <c r="C925">
        <v>2</v>
      </c>
      <c r="D925">
        <v>4782</v>
      </c>
      <c r="E925">
        <f t="shared" si="60"/>
        <v>3</v>
      </c>
      <c r="F925">
        <f t="shared" si="61"/>
        <v>2</v>
      </c>
      <c r="G925">
        <f t="shared" si="62"/>
        <v>3</v>
      </c>
      <c r="H925">
        <f t="shared" si="63"/>
        <v>323</v>
      </c>
    </row>
    <row r="926" spans="1:8" x14ac:dyDescent="0.55000000000000004">
      <c r="A926" s="6">
        <v>7.9655924195363287E+18</v>
      </c>
      <c r="B926">
        <v>140</v>
      </c>
      <c r="C926">
        <v>2</v>
      </c>
      <c r="D926">
        <v>4580</v>
      </c>
      <c r="E926">
        <f t="shared" si="60"/>
        <v>5</v>
      </c>
      <c r="F926">
        <f t="shared" si="61"/>
        <v>2</v>
      </c>
      <c r="G926">
        <f t="shared" si="62"/>
        <v>3</v>
      </c>
      <c r="H926">
        <f t="shared" si="63"/>
        <v>523</v>
      </c>
    </row>
    <row r="927" spans="1:8" x14ac:dyDescent="0.55000000000000004">
      <c r="A927" s="6">
        <v>7.9836248139405363E+18</v>
      </c>
      <c r="B927">
        <v>6</v>
      </c>
      <c r="C927">
        <v>2</v>
      </c>
      <c r="D927">
        <v>1852</v>
      </c>
      <c r="E927">
        <f t="shared" si="60"/>
        <v>5</v>
      </c>
      <c r="F927">
        <f t="shared" si="61"/>
        <v>2</v>
      </c>
      <c r="G927">
        <f t="shared" si="62"/>
        <v>2</v>
      </c>
      <c r="H927">
        <f t="shared" si="63"/>
        <v>522</v>
      </c>
    </row>
    <row r="928" spans="1:8" x14ac:dyDescent="0.55000000000000004">
      <c r="A928" s="6">
        <v>7.9924859963053251E+18</v>
      </c>
      <c r="B928">
        <v>52</v>
      </c>
      <c r="C928">
        <v>1</v>
      </c>
      <c r="D928">
        <v>109</v>
      </c>
      <c r="E928">
        <f t="shared" si="60"/>
        <v>5</v>
      </c>
      <c r="F928">
        <f t="shared" si="61"/>
        <v>1</v>
      </c>
      <c r="G928">
        <f t="shared" si="62"/>
        <v>1</v>
      </c>
      <c r="H928">
        <f t="shared" si="63"/>
        <v>511</v>
      </c>
    </row>
    <row r="929" spans="1:8" x14ac:dyDescent="0.55000000000000004">
      <c r="A929" s="6">
        <v>8.001179516476544E+18</v>
      </c>
      <c r="B929">
        <v>1268</v>
      </c>
      <c r="C929">
        <v>1</v>
      </c>
      <c r="D929">
        <v>269</v>
      </c>
      <c r="E929">
        <f t="shared" si="60"/>
        <v>1</v>
      </c>
      <c r="F929">
        <f t="shared" si="61"/>
        <v>1</v>
      </c>
      <c r="G929">
        <f t="shared" si="62"/>
        <v>1</v>
      </c>
      <c r="H929">
        <f t="shared" si="63"/>
        <v>111</v>
      </c>
    </row>
    <row r="930" spans="1:8" x14ac:dyDescent="0.55000000000000004">
      <c r="A930" s="6">
        <v>8.0070065705883238E+18</v>
      </c>
      <c r="B930">
        <v>1078</v>
      </c>
      <c r="C930">
        <v>1</v>
      </c>
      <c r="D930">
        <v>288</v>
      </c>
      <c r="E930">
        <f t="shared" si="60"/>
        <v>2</v>
      </c>
      <c r="F930">
        <f t="shared" si="61"/>
        <v>1</v>
      </c>
      <c r="G930">
        <f t="shared" si="62"/>
        <v>1</v>
      </c>
      <c r="H930">
        <f t="shared" si="63"/>
        <v>211</v>
      </c>
    </row>
    <row r="931" spans="1:8" x14ac:dyDescent="0.55000000000000004">
      <c r="A931" s="6">
        <v>8.012821087019391E+18</v>
      </c>
      <c r="B931">
        <v>350</v>
      </c>
      <c r="C931">
        <v>2</v>
      </c>
      <c r="D931">
        <v>1726</v>
      </c>
      <c r="E931">
        <f t="shared" si="60"/>
        <v>4</v>
      </c>
      <c r="F931">
        <f t="shared" si="61"/>
        <v>2</v>
      </c>
      <c r="G931">
        <f t="shared" si="62"/>
        <v>2</v>
      </c>
      <c r="H931">
        <f t="shared" si="63"/>
        <v>422</v>
      </c>
    </row>
    <row r="932" spans="1:8" x14ac:dyDescent="0.55000000000000004">
      <c r="A932" s="6">
        <v>8.0129491002368553E+18</v>
      </c>
      <c r="B932">
        <v>1167</v>
      </c>
      <c r="C932">
        <v>1</v>
      </c>
      <c r="D932">
        <v>999</v>
      </c>
      <c r="E932">
        <f t="shared" si="60"/>
        <v>1</v>
      </c>
      <c r="F932">
        <f t="shared" si="61"/>
        <v>1</v>
      </c>
      <c r="G932">
        <f t="shared" si="62"/>
        <v>2</v>
      </c>
      <c r="H932">
        <f t="shared" si="63"/>
        <v>112</v>
      </c>
    </row>
    <row r="933" spans="1:8" x14ac:dyDescent="0.55000000000000004">
      <c r="A933" s="6">
        <v>8.0188609024188938E+18</v>
      </c>
      <c r="B933">
        <v>382</v>
      </c>
      <c r="C933">
        <v>1</v>
      </c>
      <c r="D933">
        <v>9165</v>
      </c>
      <c r="E933">
        <f t="shared" si="60"/>
        <v>4</v>
      </c>
      <c r="F933">
        <f t="shared" si="61"/>
        <v>1</v>
      </c>
      <c r="G933">
        <f t="shared" si="62"/>
        <v>3</v>
      </c>
      <c r="H933">
        <f t="shared" si="63"/>
        <v>413</v>
      </c>
    </row>
    <row r="934" spans="1:8" x14ac:dyDescent="0.55000000000000004">
      <c r="A934" s="6">
        <v>8.0284079268959212E+18</v>
      </c>
      <c r="B934">
        <v>1041</v>
      </c>
      <c r="C934">
        <v>1</v>
      </c>
      <c r="D934">
        <v>148</v>
      </c>
      <c r="E934">
        <f t="shared" si="60"/>
        <v>2</v>
      </c>
      <c r="F934">
        <f t="shared" si="61"/>
        <v>1</v>
      </c>
      <c r="G934">
        <f t="shared" si="62"/>
        <v>1</v>
      </c>
      <c r="H934">
        <f t="shared" si="63"/>
        <v>211</v>
      </c>
    </row>
    <row r="935" spans="1:8" x14ac:dyDescent="0.55000000000000004">
      <c r="A935" s="6">
        <v>8.0305918599695565E+18</v>
      </c>
      <c r="B935">
        <v>132</v>
      </c>
      <c r="C935">
        <v>2</v>
      </c>
      <c r="D935">
        <v>1708</v>
      </c>
      <c r="E935">
        <f t="shared" si="60"/>
        <v>5</v>
      </c>
      <c r="F935">
        <f t="shared" si="61"/>
        <v>2</v>
      </c>
      <c r="G935">
        <f t="shared" si="62"/>
        <v>2</v>
      </c>
      <c r="H935">
        <f t="shared" si="63"/>
        <v>522</v>
      </c>
    </row>
    <row r="936" spans="1:8" x14ac:dyDescent="0.55000000000000004">
      <c r="A936" s="6">
        <v>8.0382032923282616E+18</v>
      </c>
      <c r="B936">
        <v>855</v>
      </c>
      <c r="C936">
        <v>1</v>
      </c>
      <c r="D936">
        <v>1990</v>
      </c>
      <c r="E936">
        <f t="shared" si="60"/>
        <v>3</v>
      </c>
      <c r="F936">
        <f t="shared" si="61"/>
        <v>1</v>
      </c>
      <c r="G936">
        <f t="shared" si="62"/>
        <v>2</v>
      </c>
      <c r="H936">
        <f t="shared" si="63"/>
        <v>312</v>
      </c>
    </row>
    <row r="937" spans="1:8" x14ac:dyDescent="0.55000000000000004">
      <c r="A937" s="6">
        <v>8.0393233094696724E+18</v>
      </c>
      <c r="B937">
        <v>291</v>
      </c>
      <c r="C937">
        <v>1</v>
      </c>
      <c r="D937">
        <v>1793</v>
      </c>
      <c r="E937">
        <f t="shared" si="60"/>
        <v>4</v>
      </c>
      <c r="F937">
        <f t="shared" si="61"/>
        <v>1</v>
      </c>
      <c r="G937">
        <f t="shared" si="62"/>
        <v>2</v>
      </c>
      <c r="H937">
        <f t="shared" si="63"/>
        <v>412</v>
      </c>
    </row>
    <row r="938" spans="1:8" x14ac:dyDescent="0.55000000000000004">
      <c r="A938" s="6">
        <v>8.0400317019907297E+18</v>
      </c>
      <c r="B938">
        <v>55</v>
      </c>
      <c r="C938">
        <v>2</v>
      </c>
      <c r="D938">
        <v>4346</v>
      </c>
      <c r="E938">
        <f t="shared" si="60"/>
        <v>5</v>
      </c>
      <c r="F938">
        <f t="shared" si="61"/>
        <v>2</v>
      </c>
      <c r="G938">
        <f t="shared" si="62"/>
        <v>3</v>
      </c>
      <c r="H938">
        <f t="shared" si="63"/>
        <v>523</v>
      </c>
    </row>
    <row r="939" spans="1:8" x14ac:dyDescent="0.55000000000000004">
      <c r="A939" s="6">
        <v>8.0737938358047109E+18</v>
      </c>
      <c r="B939">
        <v>543</v>
      </c>
      <c r="C939">
        <v>2</v>
      </c>
      <c r="D939">
        <v>2940</v>
      </c>
      <c r="E939">
        <f t="shared" si="60"/>
        <v>4</v>
      </c>
      <c r="F939">
        <f t="shared" si="61"/>
        <v>2</v>
      </c>
      <c r="G939">
        <f t="shared" si="62"/>
        <v>3</v>
      </c>
      <c r="H939">
        <f t="shared" si="63"/>
        <v>423</v>
      </c>
    </row>
    <row r="940" spans="1:8" x14ac:dyDescent="0.55000000000000004">
      <c r="A940" s="6">
        <v>8.076829276577236E+18</v>
      </c>
      <c r="B940">
        <v>423</v>
      </c>
      <c r="C940">
        <v>1</v>
      </c>
      <c r="D940">
        <v>11060</v>
      </c>
      <c r="E940">
        <f t="shared" si="60"/>
        <v>4</v>
      </c>
      <c r="F940">
        <f t="shared" si="61"/>
        <v>1</v>
      </c>
      <c r="G940">
        <f t="shared" si="62"/>
        <v>3</v>
      </c>
      <c r="H940">
        <f t="shared" si="63"/>
        <v>413</v>
      </c>
    </row>
    <row r="941" spans="1:8" x14ac:dyDescent="0.55000000000000004">
      <c r="A941" s="6">
        <v>8.084749895325399E+18</v>
      </c>
      <c r="B941">
        <v>1258</v>
      </c>
      <c r="C941">
        <v>1</v>
      </c>
      <c r="D941">
        <v>1347</v>
      </c>
      <c r="E941">
        <f t="shared" si="60"/>
        <v>1</v>
      </c>
      <c r="F941">
        <f t="shared" si="61"/>
        <v>1</v>
      </c>
      <c r="G941">
        <f t="shared" si="62"/>
        <v>2</v>
      </c>
      <c r="H941">
        <f t="shared" si="63"/>
        <v>112</v>
      </c>
    </row>
    <row r="942" spans="1:8" x14ac:dyDescent="0.55000000000000004">
      <c r="A942" s="6">
        <v>8.1026168591445023E+18</v>
      </c>
      <c r="B942">
        <v>58</v>
      </c>
      <c r="C942">
        <v>3</v>
      </c>
      <c r="D942">
        <v>7306</v>
      </c>
      <c r="E942">
        <f t="shared" si="60"/>
        <v>5</v>
      </c>
      <c r="F942">
        <f t="shared" si="61"/>
        <v>3</v>
      </c>
      <c r="G942">
        <f t="shared" si="62"/>
        <v>3</v>
      </c>
      <c r="H942">
        <f t="shared" si="63"/>
        <v>533</v>
      </c>
    </row>
    <row r="943" spans="1:8" x14ac:dyDescent="0.55000000000000004">
      <c r="A943" s="6">
        <v>8.1358042860853842E+18</v>
      </c>
      <c r="B943">
        <v>511</v>
      </c>
      <c r="C943">
        <v>1</v>
      </c>
      <c r="D943">
        <v>1169</v>
      </c>
      <c r="E943">
        <f t="shared" si="60"/>
        <v>4</v>
      </c>
      <c r="F943">
        <f t="shared" si="61"/>
        <v>1</v>
      </c>
      <c r="G943">
        <f t="shared" si="62"/>
        <v>2</v>
      </c>
      <c r="H943">
        <f t="shared" si="63"/>
        <v>412</v>
      </c>
    </row>
    <row r="944" spans="1:8" x14ac:dyDescent="0.55000000000000004">
      <c r="A944" s="6">
        <v>8.1566095224349348E+18</v>
      </c>
      <c r="B944">
        <v>113</v>
      </c>
      <c r="C944">
        <v>2</v>
      </c>
      <c r="D944">
        <v>4709</v>
      </c>
      <c r="E944">
        <f t="shared" si="60"/>
        <v>5</v>
      </c>
      <c r="F944">
        <f t="shared" si="61"/>
        <v>2</v>
      </c>
      <c r="G944">
        <f t="shared" si="62"/>
        <v>3</v>
      </c>
      <c r="H944">
        <f t="shared" si="63"/>
        <v>523</v>
      </c>
    </row>
    <row r="945" spans="1:8" x14ac:dyDescent="0.55000000000000004">
      <c r="A945" s="6">
        <v>8.1668287347197952E+18</v>
      </c>
      <c r="B945">
        <v>449</v>
      </c>
      <c r="C945">
        <v>1</v>
      </c>
      <c r="D945">
        <v>199</v>
      </c>
      <c r="E945">
        <f t="shared" si="60"/>
        <v>4</v>
      </c>
      <c r="F945">
        <f t="shared" si="61"/>
        <v>1</v>
      </c>
      <c r="G945">
        <f t="shared" si="62"/>
        <v>1</v>
      </c>
      <c r="H945">
        <f t="shared" si="63"/>
        <v>411</v>
      </c>
    </row>
    <row r="946" spans="1:8" x14ac:dyDescent="0.55000000000000004">
      <c r="A946" s="6">
        <v>8.1715804350956923E+18</v>
      </c>
      <c r="B946">
        <v>407</v>
      </c>
      <c r="C946">
        <v>1</v>
      </c>
      <c r="D946">
        <v>2970</v>
      </c>
      <c r="E946">
        <f t="shared" si="60"/>
        <v>4</v>
      </c>
      <c r="F946">
        <f t="shared" si="61"/>
        <v>1</v>
      </c>
      <c r="G946">
        <f t="shared" si="62"/>
        <v>3</v>
      </c>
      <c r="H946">
        <f t="shared" si="63"/>
        <v>413</v>
      </c>
    </row>
    <row r="947" spans="1:8" x14ac:dyDescent="0.55000000000000004">
      <c r="A947" s="6">
        <v>8.1829330409292186E+18</v>
      </c>
      <c r="B947">
        <v>55</v>
      </c>
      <c r="C947">
        <v>1</v>
      </c>
      <c r="D947">
        <v>299</v>
      </c>
      <c r="E947">
        <f t="shared" si="60"/>
        <v>5</v>
      </c>
      <c r="F947">
        <f t="shared" si="61"/>
        <v>1</v>
      </c>
      <c r="G947">
        <f t="shared" si="62"/>
        <v>1</v>
      </c>
      <c r="H947">
        <f t="shared" si="63"/>
        <v>511</v>
      </c>
    </row>
    <row r="948" spans="1:8" x14ac:dyDescent="0.55000000000000004">
      <c r="A948" s="6">
        <v>8.1866868172181187E+18</v>
      </c>
      <c r="B948">
        <v>992</v>
      </c>
      <c r="C948">
        <v>2</v>
      </c>
      <c r="D948">
        <v>2543</v>
      </c>
      <c r="E948">
        <f t="shared" si="60"/>
        <v>2</v>
      </c>
      <c r="F948">
        <f t="shared" si="61"/>
        <v>2</v>
      </c>
      <c r="G948">
        <f t="shared" si="62"/>
        <v>3</v>
      </c>
      <c r="H948">
        <f t="shared" si="63"/>
        <v>223</v>
      </c>
    </row>
    <row r="949" spans="1:8" x14ac:dyDescent="0.55000000000000004">
      <c r="A949" s="6">
        <v>8.196912481423874E+18</v>
      </c>
      <c r="B949">
        <v>408</v>
      </c>
      <c r="C949">
        <v>2</v>
      </c>
      <c r="D949">
        <v>4820</v>
      </c>
      <c r="E949">
        <f t="shared" si="60"/>
        <v>4</v>
      </c>
      <c r="F949">
        <f t="shared" si="61"/>
        <v>2</v>
      </c>
      <c r="G949">
        <f t="shared" si="62"/>
        <v>3</v>
      </c>
      <c r="H949">
        <f t="shared" si="63"/>
        <v>423</v>
      </c>
    </row>
    <row r="950" spans="1:8" x14ac:dyDescent="0.55000000000000004">
      <c r="A950" s="6">
        <v>8.2150272856721132E+18</v>
      </c>
      <c r="B950">
        <v>470</v>
      </c>
      <c r="C950">
        <v>1</v>
      </c>
      <c r="D950">
        <v>1380</v>
      </c>
      <c r="E950">
        <f t="shared" si="60"/>
        <v>4</v>
      </c>
      <c r="F950">
        <f t="shared" si="61"/>
        <v>1</v>
      </c>
      <c r="G950">
        <f t="shared" si="62"/>
        <v>2</v>
      </c>
      <c r="H950">
        <f t="shared" si="63"/>
        <v>412</v>
      </c>
    </row>
    <row r="951" spans="1:8" x14ac:dyDescent="0.55000000000000004">
      <c r="A951" s="6">
        <v>8.2387452162546698E+18</v>
      </c>
      <c r="B951">
        <v>608</v>
      </c>
      <c r="C951">
        <v>1</v>
      </c>
      <c r="D951">
        <v>477</v>
      </c>
      <c r="E951">
        <f t="shared" si="60"/>
        <v>3</v>
      </c>
      <c r="F951">
        <f t="shared" si="61"/>
        <v>1</v>
      </c>
      <c r="G951">
        <f t="shared" si="62"/>
        <v>1</v>
      </c>
      <c r="H951">
        <f t="shared" si="63"/>
        <v>311</v>
      </c>
    </row>
    <row r="952" spans="1:8" x14ac:dyDescent="0.55000000000000004">
      <c r="A952" s="6">
        <v>8.2526436168957706E+18</v>
      </c>
      <c r="B952">
        <v>326</v>
      </c>
      <c r="C952">
        <v>1</v>
      </c>
      <c r="D952">
        <v>4183</v>
      </c>
      <c r="E952">
        <f t="shared" si="60"/>
        <v>4</v>
      </c>
      <c r="F952">
        <f t="shared" si="61"/>
        <v>1</v>
      </c>
      <c r="G952">
        <f t="shared" si="62"/>
        <v>3</v>
      </c>
      <c r="H952">
        <f t="shared" si="63"/>
        <v>413</v>
      </c>
    </row>
    <row r="953" spans="1:8" x14ac:dyDescent="0.55000000000000004">
      <c r="A953" s="6">
        <v>8.2552264909253601E+18</v>
      </c>
      <c r="B953">
        <v>182</v>
      </c>
      <c r="C953">
        <v>1</v>
      </c>
      <c r="D953">
        <v>624</v>
      </c>
      <c r="E953">
        <f t="shared" si="60"/>
        <v>5</v>
      </c>
      <c r="F953">
        <f t="shared" si="61"/>
        <v>1</v>
      </c>
      <c r="G953">
        <f t="shared" si="62"/>
        <v>1</v>
      </c>
      <c r="H953">
        <f t="shared" si="63"/>
        <v>511</v>
      </c>
    </row>
    <row r="954" spans="1:8" x14ac:dyDescent="0.55000000000000004">
      <c r="A954" s="6">
        <v>8.2607926074224865E+18</v>
      </c>
      <c r="B954">
        <v>16</v>
      </c>
      <c r="C954">
        <v>1</v>
      </c>
      <c r="D954">
        <v>1610</v>
      </c>
      <c r="E954">
        <f t="shared" si="60"/>
        <v>5</v>
      </c>
      <c r="F954">
        <f t="shared" si="61"/>
        <v>1</v>
      </c>
      <c r="G954">
        <f t="shared" si="62"/>
        <v>2</v>
      </c>
      <c r="H954">
        <f t="shared" si="63"/>
        <v>512</v>
      </c>
    </row>
    <row r="955" spans="1:8" x14ac:dyDescent="0.55000000000000004">
      <c r="A955" s="6">
        <v>8.2788082138379418E+18</v>
      </c>
      <c r="B955">
        <v>65</v>
      </c>
      <c r="C955">
        <v>4</v>
      </c>
      <c r="D955">
        <v>4464</v>
      </c>
      <c r="E955">
        <f t="shared" si="60"/>
        <v>5</v>
      </c>
      <c r="F955">
        <f t="shared" si="61"/>
        <v>3</v>
      </c>
      <c r="G955">
        <f t="shared" si="62"/>
        <v>3</v>
      </c>
      <c r="H955">
        <f t="shared" si="63"/>
        <v>533</v>
      </c>
    </row>
    <row r="956" spans="1:8" x14ac:dyDescent="0.55000000000000004">
      <c r="A956" s="6">
        <v>8.2940122123659622E+18</v>
      </c>
      <c r="B956">
        <v>569</v>
      </c>
      <c r="C956">
        <v>2</v>
      </c>
      <c r="D956">
        <v>9859</v>
      </c>
      <c r="E956">
        <f t="shared" si="60"/>
        <v>4</v>
      </c>
      <c r="F956">
        <f t="shared" si="61"/>
        <v>2</v>
      </c>
      <c r="G956">
        <f t="shared" si="62"/>
        <v>3</v>
      </c>
      <c r="H956">
        <f t="shared" si="63"/>
        <v>423</v>
      </c>
    </row>
    <row r="957" spans="1:8" x14ac:dyDescent="0.55000000000000004">
      <c r="A957" s="6">
        <v>8.2988321104194744E+18</v>
      </c>
      <c r="B957">
        <v>356</v>
      </c>
      <c r="C957">
        <v>2</v>
      </c>
      <c r="D957">
        <v>8693</v>
      </c>
      <c r="E957">
        <f t="shared" si="60"/>
        <v>4</v>
      </c>
      <c r="F957">
        <f t="shared" si="61"/>
        <v>2</v>
      </c>
      <c r="G957">
        <f t="shared" si="62"/>
        <v>3</v>
      </c>
      <c r="H957">
        <f t="shared" si="63"/>
        <v>423</v>
      </c>
    </row>
    <row r="958" spans="1:8" x14ac:dyDescent="0.55000000000000004">
      <c r="A958" s="6">
        <v>8.3047703636024269E+18</v>
      </c>
      <c r="B958">
        <v>79</v>
      </c>
      <c r="C958">
        <v>2</v>
      </c>
      <c r="D958">
        <v>724</v>
      </c>
      <c r="E958">
        <f t="shared" si="60"/>
        <v>5</v>
      </c>
      <c r="F958">
        <f t="shared" si="61"/>
        <v>2</v>
      </c>
      <c r="G958">
        <f t="shared" si="62"/>
        <v>2</v>
      </c>
      <c r="H958">
        <f t="shared" si="63"/>
        <v>522</v>
      </c>
    </row>
    <row r="959" spans="1:8" x14ac:dyDescent="0.55000000000000004">
      <c r="A959" s="6">
        <v>8.3220998613881928E+18</v>
      </c>
      <c r="B959">
        <v>402</v>
      </c>
      <c r="C959">
        <v>1</v>
      </c>
      <c r="D959">
        <v>5747</v>
      </c>
      <c r="E959">
        <f t="shared" si="60"/>
        <v>4</v>
      </c>
      <c r="F959">
        <f t="shared" si="61"/>
        <v>1</v>
      </c>
      <c r="G959">
        <f t="shared" si="62"/>
        <v>3</v>
      </c>
      <c r="H959">
        <f t="shared" si="63"/>
        <v>413</v>
      </c>
    </row>
    <row r="960" spans="1:8" x14ac:dyDescent="0.55000000000000004">
      <c r="A960" s="6">
        <v>8.3318844834548122E+18</v>
      </c>
      <c r="B960">
        <v>302</v>
      </c>
      <c r="C960">
        <v>1</v>
      </c>
      <c r="D960">
        <v>3540</v>
      </c>
      <c r="E960">
        <f t="shared" si="60"/>
        <v>4</v>
      </c>
      <c r="F960">
        <f t="shared" si="61"/>
        <v>1</v>
      </c>
      <c r="G960">
        <f t="shared" si="62"/>
        <v>3</v>
      </c>
      <c r="H960">
        <f t="shared" si="63"/>
        <v>413</v>
      </c>
    </row>
    <row r="961" spans="1:8" x14ac:dyDescent="0.55000000000000004">
      <c r="A961" s="6">
        <v>8.3416183814785341E+18</v>
      </c>
      <c r="B961">
        <v>269</v>
      </c>
      <c r="C961">
        <v>1</v>
      </c>
      <c r="D961">
        <v>4713</v>
      </c>
      <c r="E961">
        <f t="shared" si="60"/>
        <v>5</v>
      </c>
      <c r="F961">
        <f t="shared" si="61"/>
        <v>1</v>
      </c>
      <c r="G961">
        <f t="shared" si="62"/>
        <v>3</v>
      </c>
      <c r="H961">
        <f t="shared" si="63"/>
        <v>513</v>
      </c>
    </row>
    <row r="962" spans="1:8" x14ac:dyDescent="0.55000000000000004">
      <c r="A962" s="6">
        <v>8.3484161509307187E+18</v>
      </c>
      <c r="B962">
        <v>693</v>
      </c>
      <c r="C962">
        <v>1</v>
      </c>
      <c r="D962">
        <v>2556</v>
      </c>
      <c r="E962">
        <f t="shared" si="60"/>
        <v>3</v>
      </c>
      <c r="F962">
        <f t="shared" si="61"/>
        <v>1</v>
      </c>
      <c r="G962">
        <f t="shared" si="62"/>
        <v>3</v>
      </c>
      <c r="H962">
        <f t="shared" si="63"/>
        <v>313</v>
      </c>
    </row>
    <row r="963" spans="1:8" x14ac:dyDescent="0.55000000000000004">
      <c r="A963" s="6">
        <v>8.3570881292050012E+18</v>
      </c>
      <c r="B963">
        <v>536</v>
      </c>
      <c r="C963">
        <v>1</v>
      </c>
      <c r="D963">
        <v>3030</v>
      </c>
      <c r="E963">
        <f t="shared" ref="E963:E1026" si="64">VLOOKUP(B963,$K$5:$L$9,2,1)</f>
        <v>4</v>
      </c>
      <c r="F963">
        <f t="shared" ref="F963:F1026" si="65">VLOOKUP(C963,$K$15:$L$17,2,1)</f>
        <v>1</v>
      </c>
      <c r="G963">
        <f t="shared" ref="G963:G1026" si="66">VLOOKUP(D963,$K$24:$L$26,2,1)</f>
        <v>3</v>
      </c>
      <c r="H963">
        <f t="shared" ref="H963:H1026" si="67">E963*100+F963*10+G963</f>
        <v>413</v>
      </c>
    </row>
    <row r="964" spans="1:8" x14ac:dyDescent="0.55000000000000004">
      <c r="A964" s="6">
        <v>8.3705728870820383E+18</v>
      </c>
      <c r="B964">
        <v>54</v>
      </c>
      <c r="C964">
        <v>2</v>
      </c>
      <c r="D964">
        <v>1638</v>
      </c>
      <c r="E964">
        <f t="shared" si="64"/>
        <v>5</v>
      </c>
      <c r="F964">
        <f t="shared" si="65"/>
        <v>2</v>
      </c>
      <c r="G964">
        <f t="shared" si="66"/>
        <v>2</v>
      </c>
      <c r="H964">
        <f t="shared" si="67"/>
        <v>522</v>
      </c>
    </row>
    <row r="965" spans="1:8" x14ac:dyDescent="0.55000000000000004">
      <c r="A965" s="6">
        <v>8.3708087912053862E+18</v>
      </c>
      <c r="B965">
        <v>10</v>
      </c>
      <c r="C965">
        <v>4</v>
      </c>
      <c r="D965">
        <v>2727</v>
      </c>
      <c r="E965">
        <f t="shared" si="64"/>
        <v>5</v>
      </c>
      <c r="F965">
        <f t="shared" si="65"/>
        <v>3</v>
      </c>
      <c r="G965">
        <f t="shared" si="66"/>
        <v>3</v>
      </c>
      <c r="H965">
        <f t="shared" si="67"/>
        <v>533</v>
      </c>
    </row>
    <row r="966" spans="1:8" x14ac:dyDescent="0.55000000000000004">
      <c r="A966" s="6">
        <v>8.3761788875651021E+18</v>
      </c>
      <c r="B966">
        <v>703</v>
      </c>
      <c r="C966">
        <v>1</v>
      </c>
      <c r="D966">
        <v>1244</v>
      </c>
      <c r="E966">
        <f t="shared" si="64"/>
        <v>3</v>
      </c>
      <c r="F966">
        <f t="shared" si="65"/>
        <v>1</v>
      </c>
      <c r="G966">
        <f t="shared" si="66"/>
        <v>2</v>
      </c>
      <c r="H966">
        <f t="shared" si="67"/>
        <v>312</v>
      </c>
    </row>
    <row r="967" spans="1:8" x14ac:dyDescent="0.55000000000000004">
      <c r="A967" s="6">
        <v>8.3774731282470246E+18</v>
      </c>
      <c r="B967">
        <v>283</v>
      </c>
      <c r="C967">
        <v>2</v>
      </c>
      <c r="D967">
        <v>7669</v>
      </c>
      <c r="E967">
        <f t="shared" si="64"/>
        <v>5</v>
      </c>
      <c r="F967">
        <f t="shared" si="65"/>
        <v>2</v>
      </c>
      <c r="G967">
        <f t="shared" si="66"/>
        <v>3</v>
      </c>
      <c r="H967">
        <f t="shared" si="67"/>
        <v>523</v>
      </c>
    </row>
    <row r="968" spans="1:8" x14ac:dyDescent="0.55000000000000004">
      <c r="A968" s="6">
        <v>8.4018263479148943E+18</v>
      </c>
      <c r="B968">
        <v>654</v>
      </c>
      <c r="C968">
        <v>2</v>
      </c>
      <c r="D968">
        <v>6733</v>
      </c>
      <c r="E968">
        <f t="shared" si="64"/>
        <v>3</v>
      </c>
      <c r="F968">
        <f t="shared" si="65"/>
        <v>2</v>
      </c>
      <c r="G968">
        <f t="shared" si="66"/>
        <v>3</v>
      </c>
      <c r="H968">
        <f t="shared" si="67"/>
        <v>323</v>
      </c>
    </row>
    <row r="969" spans="1:8" x14ac:dyDescent="0.55000000000000004">
      <c r="A969" s="6">
        <v>8.4138462489579254E+18</v>
      </c>
      <c r="B969">
        <v>448</v>
      </c>
      <c r="C969">
        <v>1</v>
      </c>
      <c r="D969">
        <v>660</v>
      </c>
      <c r="E969">
        <f t="shared" si="64"/>
        <v>4</v>
      </c>
      <c r="F969">
        <f t="shared" si="65"/>
        <v>1</v>
      </c>
      <c r="G969">
        <f t="shared" si="66"/>
        <v>2</v>
      </c>
      <c r="H969">
        <f t="shared" si="67"/>
        <v>412</v>
      </c>
    </row>
    <row r="970" spans="1:8" x14ac:dyDescent="0.55000000000000004">
      <c r="A970" s="6">
        <v>8.4172921343653243E+18</v>
      </c>
      <c r="B970">
        <v>301</v>
      </c>
      <c r="C970">
        <v>1</v>
      </c>
      <c r="D970">
        <v>119</v>
      </c>
      <c r="E970">
        <f t="shared" si="64"/>
        <v>4</v>
      </c>
      <c r="F970">
        <f t="shared" si="65"/>
        <v>1</v>
      </c>
      <c r="G970">
        <f t="shared" si="66"/>
        <v>1</v>
      </c>
      <c r="H970">
        <f t="shared" si="67"/>
        <v>411</v>
      </c>
    </row>
    <row r="971" spans="1:8" x14ac:dyDescent="0.55000000000000004">
      <c r="A971" s="6">
        <v>8.4191455298429901E+18</v>
      </c>
      <c r="B971">
        <v>1090</v>
      </c>
      <c r="C971">
        <v>1</v>
      </c>
      <c r="D971">
        <v>186</v>
      </c>
      <c r="E971">
        <f t="shared" si="64"/>
        <v>2</v>
      </c>
      <c r="F971">
        <f t="shared" si="65"/>
        <v>1</v>
      </c>
      <c r="G971">
        <f t="shared" si="66"/>
        <v>1</v>
      </c>
      <c r="H971">
        <f t="shared" si="67"/>
        <v>211</v>
      </c>
    </row>
    <row r="972" spans="1:8" x14ac:dyDescent="0.55000000000000004">
      <c r="A972" s="6">
        <v>8.4364873104592026E+18</v>
      </c>
      <c r="B972">
        <v>73</v>
      </c>
      <c r="C972">
        <v>1</v>
      </c>
      <c r="D972">
        <v>1090</v>
      </c>
      <c r="E972">
        <f t="shared" si="64"/>
        <v>5</v>
      </c>
      <c r="F972">
        <f t="shared" si="65"/>
        <v>1</v>
      </c>
      <c r="G972">
        <f t="shared" si="66"/>
        <v>2</v>
      </c>
      <c r="H972">
        <f t="shared" si="67"/>
        <v>512</v>
      </c>
    </row>
    <row r="973" spans="1:8" x14ac:dyDescent="0.55000000000000004">
      <c r="A973" s="6">
        <v>8.4465724405097103E+18</v>
      </c>
      <c r="B973">
        <v>296</v>
      </c>
      <c r="C973">
        <v>2</v>
      </c>
      <c r="D973">
        <v>6070</v>
      </c>
      <c r="E973">
        <f t="shared" si="64"/>
        <v>4</v>
      </c>
      <c r="F973">
        <f t="shared" si="65"/>
        <v>2</v>
      </c>
      <c r="G973">
        <f t="shared" si="66"/>
        <v>3</v>
      </c>
      <c r="H973">
        <f t="shared" si="67"/>
        <v>423</v>
      </c>
    </row>
    <row r="974" spans="1:8" x14ac:dyDescent="0.55000000000000004">
      <c r="A974" s="6">
        <v>8.4499611551842959E+18</v>
      </c>
      <c r="B974">
        <v>767</v>
      </c>
      <c r="C974">
        <v>1</v>
      </c>
      <c r="D974">
        <v>3627</v>
      </c>
      <c r="E974">
        <f t="shared" si="64"/>
        <v>3</v>
      </c>
      <c r="F974">
        <f t="shared" si="65"/>
        <v>1</v>
      </c>
      <c r="G974">
        <f t="shared" si="66"/>
        <v>3</v>
      </c>
      <c r="H974">
        <f t="shared" si="67"/>
        <v>313</v>
      </c>
    </row>
    <row r="975" spans="1:8" x14ac:dyDescent="0.55000000000000004">
      <c r="A975" s="6">
        <v>8.4525285881887816E+18</v>
      </c>
      <c r="B975">
        <v>302</v>
      </c>
      <c r="C975">
        <v>1</v>
      </c>
      <c r="D975">
        <v>289</v>
      </c>
      <c r="E975">
        <f t="shared" si="64"/>
        <v>4</v>
      </c>
      <c r="F975">
        <f t="shared" si="65"/>
        <v>1</v>
      </c>
      <c r="G975">
        <f t="shared" si="66"/>
        <v>1</v>
      </c>
      <c r="H975">
        <f t="shared" si="67"/>
        <v>411</v>
      </c>
    </row>
    <row r="976" spans="1:8" x14ac:dyDescent="0.55000000000000004">
      <c r="A976" s="6">
        <v>8.4543682969037445E+18</v>
      </c>
      <c r="B976">
        <v>361</v>
      </c>
      <c r="C976">
        <v>1</v>
      </c>
      <c r="D976">
        <v>207</v>
      </c>
      <c r="E976">
        <f t="shared" si="64"/>
        <v>4</v>
      </c>
      <c r="F976">
        <f t="shared" si="65"/>
        <v>1</v>
      </c>
      <c r="G976">
        <f t="shared" si="66"/>
        <v>1</v>
      </c>
      <c r="H976">
        <f t="shared" si="67"/>
        <v>411</v>
      </c>
    </row>
    <row r="977" spans="1:8" x14ac:dyDescent="0.55000000000000004">
      <c r="A977" s="6">
        <v>8.4571055573795328E+18</v>
      </c>
      <c r="B977">
        <v>794</v>
      </c>
      <c r="C977">
        <v>1</v>
      </c>
      <c r="D977">
        <v>3696</v>
      </c>
      <c r="E977">
        <f t="shared" si="64"/>
        <v>3</v>
      </c>
      <c r="F977">
        <f t="shared" si="65"/>
        <v>1</v>
      </c>
      <c r="G977">
        <f t="shared" si="66"/>
        <v>3</v>
      </c>
      <c r="H977">
        <f t="shared" si="67"/>
        <v>313</v>
      </c>
    </row>
    <row r="978" spans="1:8" x14ac:dyDescent="0.55000000000000004">
      <c r="A978" s="6">
        <v>8.4680920074105743E+18</v>
      </c>
      <c r="B978">
        <v>348</v>
      </c>
      <c r="C978">
        <v>1</v>
      </c>
      <c r="D978">
        <v>2040</v>
      </c>
      <c r="E978">
        <f t="shared" si="64"/>
        <v>4</v>
      </c>
      <c r="F978">
        <f t="shared" si="65"/>
        <v>1</v>
      </c>
      <c r="G978">
        <f t="shared" si="66"/>
        <v>2</v>
      </c>
      <c r="H978">
        <f t="shared" si="67"/>
        <v>412</v>
      </c>
    </row>
    <row r="979" spans="1:8" x14ac:dyDescent="0.55000000000000004">
      <c r="A979" s="6">
        <v>8.471699444273963E+18</v>
      </c>
      <c r="B979">
        <v>45</v>
      </c>
      <c r="C979">
        <v>1</v>
      </c>
      <c r="D979">
        <v>3781</v>
      </c>
      <c r="E979">
        <f t="shared" si="64"/>
        <v>5</v>
      </c>
      <c r="F979">
        <f t="shared" si="65"/>
        <v>1</v>
      </c>
      <c r="G979">
        <f t="shared" si="66"/>
        <v>3</v>
      </c>
      <c r="H979">
        <f t="shared" si="67"/>
        <v>513</v>
      </c>
    </row>
    <row r="980" spans="1:8" x14ac:dyDescent="0.55000000000000004">
      <c r="A980" s="6">
        <v>8.4806805688854006E+18</v>
      </c>
      <c r="B980">
        <v>915</v>
      </c>
      <c r="C980">
        <v>1</v>
      </c>
      <c r="D980">
        <v>299</v>
      </c>
      <c r="E980">
        <f t="shared" si="64"/>
        <v>2</v>
      </c>
      <c r="F980">
        <f t="shared" si="65"/>
        <v>1</v>
      </c>
      <c r="G980">
        <f t="shared" si="66"/>
        <v>1</v>
      </c>
      <c r="H980">
        <f t="shared" si="67"/>
        <v>211</v>
      </c>
    </row>
    <row r="981" spans="1:8" x14ac:dyDescent="0.55000000000000004">
      <c r="A981" s="6">
        <v>8.4862918808198564E+18</v>
      </c>
      <c r="B981">
        <v>1134</v>
      </c>
      <c r="C981">
        <v>1</v>
      </c>
      <c r="D981">
        <v>67</v>
      </c>
      <c r="E981">
        <f t="shared" si="64"/>
        <v>2</v>
      </c>
      <c r="F981">
        <f t="shared" si="65"/>
        <v>1</v>
      </c>
      <c r="G981">
        <f t="shared" si="66"/>
        <v>1</v>
      </c>
      <c r="H981">
        <f t="shared" si="67"/>
        <v>211</v>
      </c>
    </row>
    <row r="982" spans="1:8" x14ac:dyDescent="0.55000000000000004">
      <c r="A982" s="6">
        <v>8.4895610788208896E+18</v>
      </c>
      <c r="B982">
        <v>578</v>
      </c>
      <c r="C982">
        <v>1</v>
      </c>
      <c r="D982">
        <v>6990</v>
      </c>
      <c r="E982">
        <f t="shared" si="64"/>
        <v>4</v>
      </c>
      <c r="F982">
        <f t="shared" si="65"/>
        <v>1</v>
      </c>
      <c r="G982">
        <f t="shared" si="66"/>
        <v>3</v>
      </c>
      <c r="H982">
        <f t="shared" si="67"/>
        <v>413</v>
      </c>
    </row>
    <row r="983" spans="1:8" x14ac:dyDescent="0.55000000000000004">
      <c r="A983" s="6">
        <v>8.4915234036773478E+18</v>
      </c>
      <c r="B983">
        <v>77</v>
      </c>
      <c r="C983">
        <v>2</v>
      </c>
      <c r="D983">
        <v>1419</v>
      </c>
      <c r="E983">
        <f t="shared" si="64"/>
        <v>5</v>
      </c>
      <c r="F983">
        <f t="shared" si="65"/>
        <v>2</v>
      </c>
      <c r="G983">
        <f t="shared" si="66"/>
        <v>2</v>
      </c>
      <c r="H983">
        <f t="shared" si="67"/>
        <v>522</v>
      </c>
    </row>
    <row r="984" spans="1:8" x14ac:dyDescent="0.55000000000000004">
      <c r="A984" s="6">
        <v>8.4999954768623831E+18</v>
      </c>
      <c r="B984">
        <v>128</v>
      </c>
      <c r="C984">
        <v>1</v>
      </c>
      <c r="D984">
        <v>435</v>
      </c>
      <c r="E984">
        <f t="shared" si="64"/>
        <v>5</v>
      </c>
      <c r="F984">
        <f t="shared" si="65"/>
        <v>1</v>
      </c>
      <c r="G984">
        <f t="shared" si="66"/>
        <v>1</v>
      </c>
      <c r="H984">
        <f t="shared" si="67"/>
        <v>511</v>
      </c>
    </row>
    <row r="985" spans="1:8" x14ac:dyDescent="0.55000000000000004">
      <c r="A985" s="6">
        <v>8.5477181507552604E+18</v>
      </c>
      <c r="B985">
        <v>88</v>
      </c>
      <c r="C985">
        <v>1</v>
      </c>
      <c r="D985">
        <v>3276</v>
      </c>
      <c r="E985">
        <f t="shared" si="64"/>
        <v>5</v>
      </c>
      <c r="F985">
        <f t="shared" si="65"/>
        <v>1</v>
      </c>
      <c r="G985">
        <f t="shared" si="66"/>
        <v>3</v>
      </c>
      <c r="H985">
        <f t="shared" si="67"/>
        <v>513</v>
      </c>
    </row>
    <row r="986" spans="1:8" x14ac:dyDescent="0.55000000000000004">
      <c r="A986" s="6">
        <v>8.5679421323235338E+18</v>
      </c>
      <c r="B986">
        <v>29</v>
      </c>
      <c r="C986">
        <v>1</v>
      </c>
      <c r="D986">
        <v>329</v>
      </c>
      <c r="E986">
        <f t="shared" si="64"/>
        <v>5</v>
      </c>
      <c r="F986">
        <f t="shared" si="65"/>
        <v>1</v>
      </c>
      <c r="G986">
        <f t="shared" si="66"/>
        <v>1</v>
      </c>
      <c r="H986">
        <f t="shared" si="67"/>
        <v>511</v>
      </c>
    </row>
    <row r="987" spans="1:8" x14ac:dyDescent="0.55000000000000004">
      <c r="A987" s="6">
        <v>8.5831141854623764E+18</v>
      </c>
      <c r="B987">
        <v>667</v>
      </c>
      <c r="C987">
        <v>2</v>
      </c>
      <c r="D987">
        <v>1391</v>
      </c>
      <c r="E987">
        <f t="shared" si="64"/>
        <v>3</v>
      </c>
      <c r="F987">
        <f t="shared" si="65"/>
        <v>2</v>
      </c>
      <c r="G987">
        <f t="shared" si="66"/>
        <v>2</v>
      </c>
      <c r="H987">
        <f t="shared" si="67"/>
        <v>322</v>
      </c>
    </row>
    <row r="988" spans="1:8" x14ac:dyDescent="0.55000000000000004">
      <c r="A988" s="6">
        <v>8.5845141960176026E+18</v>
      </c>
      <c r="B988">
        <v>44</v>
      </c>
      <c r="C988">
        <v>1</v>
      </c>
      <c r="D988">
        <v>2700</v>
      </c>
      <c r="E988">
        <f t="shared" si="64"/>
        <v>5</v>
      </c>
      <c r="F988">
        <f t="shared" si="65"/>
        <v>1</v>
      </c>
      <c r="G988">
        <f t="shared" si="66"/>
        <v>3</v>
      </c>
      <c r="H988">
        <f t="shared" si="67"/>
        <v>513</v>
      </c>
    </row>
    <row r="989" spans="1:8" x14ac:dyDescent="0.55000000000000004">
      <c r="A989" s="6">
        <v>8.5868986495551754E+18</v>
      </c>
      <c r="B989">
        <v>68</v>
      </c>
      <c r="C989">
        <v>2</v>
      </c>
      <c r="D989">
        <v>5452</v>
      </c>
      <c r="E989">
        <f t="shared" si="64"/>
        <v>5</v>
      </c>
      <c r="F989">
        <f t="shared" si="65"/>
        <v>2</v>
      </c>
      <c r="G989">
        <f t="shared" si="66"/>
        <v>3</v>
      </c>
      <c r="H989">
        <f t="shared" si="67"/>
        <v>523</v>
      </c>
    </row>
    <row r="990" spans="1:8" x14ac:dyDescent="0.55000000000000004">
      <c r="A990" s="6">
        <v>8.5938988973577247E+18</v>
      </c>
      <c r="B990">
        <v>1156</v>
      </c>
      <c r="C990">
        <v>1</v>
      </c>
      <c r="D990">
        <v>1354</v>
      </c>
      <c r="E990">
        <f t="shared" si="64"/>
        <v>2</v>
      </c>
      <c r="F990">
        <f t="shared" si="65"/>
        <v>1</v>
      </c>
      <c r="G990">
        <f t="shared" si="66"/>
        <v>2</v>
      </c>
      <c r="H990">
        <f t="shared" si="67"/>
        <v>212</v>
      </c>
    </row>
    <row r="991" spans="1:8" x14ac:dyDescent="0.55000000000000004">
      <c r="A991" s="6">
        <v>8.6023041983098921E+18</v>
      </c>
      <c r="B991">
        <v>316</v>
      </c>
      <c r="C991">
        <v>1</v>
      </c>
      <c r="D991">
        <v>775</v>
      </c>
      <c r="E991">
        <f t="shared" si="64"/>
        <v>4</v>
      </c>
      <c r="F991">
        <f t="shared" si="65"/>
        <v>1</v>
      </c>
      <c r="G991">
        <f t="shared" si="66"/>
        <v>2</v>
      </c>
      <c r="H991">
        <f t="shared" si="67"/>
        <v>412</v>
      </c>
    </row>
    <row r="992" spans="1:8" x14ac:dyDescent="0.55000000000000004">
      <c r="A992" s="6">
        <v>8.6074183131094415E+18</v>
      </c>
      <c r="B992">
        <v>466</v>
      </c>
      <c r="C992">
        <v>1</v>
      </c>
      <c r="D992">
        <v>3310</v>
      </c>
      <c r="E992">
        <f t="shared" si="64"/>
        <v>4</v>
      </c>
      <c r="F992">
        <f t="shared" si="65"/>
        <v>1</v>
      </c>
      <c r="G992">
        <f t="shared" si="66"/>
        <v>3</v>
      </c>
      <c r="H992">
        <f t="shared" si="67"/>
        <v>413</v>
      </c>
    </row>
    <row r="993" spans="1:8" x14ac:dyDescent="0.55000000000000004">
      <c r="A993" s="6">
        <v>8.607613251301118E+18</v>
      </c>
      <c r="B993">
        <v>516</v>
      </c>
      <c r="C993">
        <v>2</v>
      </c>
      <c r="D993">
        <v>5063</v>
      </c>
      <c r="E993">
        <f t="shared" si="64"/>
        <v>4</v>
      </c>
      <c r="F993">
        <f t="shared" si="65"/>
        <v>2</v>
      </c>
      <c r="G993">
        <f t="shared" si="66"/>
        <v>3</v>
      </c>
      <c r="H993">
        <f t="shared" si="67"/>
        <v>423</v>
      </c>
    </row>
    <row r="994" spans="1:8" x14ac:dyDescent="0.55000000000000004">
      <c r="A994" s="6">
        <v>8.6127016178122445E+18</v>
      </c>
      <c r="B994">
        <v>1162</v>
      </c>
      <c r="C994">
        <v>1</v>
      </c>
      <c r="D994">
        <v>652</v>
      </c>
      <c r="E994">
        <f t="shared" si="64"/>
        <v>1</v>
      </c>
      <c r="F994">
        <f t="shared" si="65"/>
        <v>1</v>
      </c>
      <c r="G994">
        <f t="shared" si="66"/>
        <v>1</v>
      </c>
      <c r="H994">
        <f t="shared" si="67"/>
        <v>111</v>
      </c>
    </row>
    <row r="995" spans="1:8" x14ac:dyDescent="0.55000000000000004">
      <c r="A995" s="6">
        <v>8.615932288906793E+18</v>
      </c>
      <c r="B995">
        <v>1272</v>
      </c>
      <c r="C995">
        <v>1</v>
      </c>
      <c r="D995">
        <v>3981</v>
      </c>
      <c r="E995">
        <f t="shared" si="64"/>
        <v>1</v>
      </c>
      <c r="F995">
        <f t="shared" si="65"/>
        <v>1</v>
      </c>
      <c r="G995">
        <f t="shared" si="66"/>
        <v>3</v>
      </c>
      <c r="H995">
        <f t="shared" si="67"/>
        <v>113</v>
      </c>
    </row>
    <row r="996" spans="1:8" x14ac:dyDescent="0.55000000000000004">
      <c r="A996" s="6">
        <v>8.6532902772659466E+18</v>
      </c>
      <c r="B996">
        <v>994</v>
      </c>
      <c r="C996">
        <v>1</v>
      </c>
      <c r="D996">
        <v>388</v>
      </c>
      <c r="E996">
        <f t="shared" si="64"/>
        <v>2</v>
      </c>
      <c r="F996">
        <f t="shared" si="65"/>
        <v>1</v>
      </c>
      <c r="G996">
        <f t="shared" si="66"/>
        <v>1</v>
      </c>
      <c r="H996">
        <f t="shared" si="67"/>
        <v>211</v>
      </c>
    </row>
    <row r="997" spans="1:8" x14ac:dyDescent="0.55000000000000004">
      <c r="A997" s="6">
        <v>8.658126767473409E+18</v>
      </c>
      <c r="B997">
        <v>124</v>
      </c>
      <c r="C997">
        <v>1</v>
      </c>
      <c r="D997">
        <v>2465.0500000000002</v>
      </c>
      <c r="E997">
        <f t="shared" si="64"/>
        <v>5</v>
      </c>
      <c r="F997">
        <f t="shared" si="65"/>
        <v>1</v>
      </c>
      <c r="G997">
        <f t="shared" si="66"/>
        <v>3</v>
      </c>
      <c r="H997">
        <f t="shared" si="67"/>
        <v>513</v>
      </c>
    </row>
    <row r="998" spans="1:8" x14ac:dyDescent="0.55000000000000004">
      <c r="A998" s="6">
        <v>8.6609747857146327E+18</v>
      </c>
      <c r="B998">
        <v>196</v>
      </c>
      <c r="C998">
        <v>1</v>
      </c>
      <c r="D998">
        <v>5091</v>
      </c>
      <c r="E998">
        <f t="shared" si="64"/>
        <v>5</v>
      </c>
      <c r="F998">
        <f t="shared" si="65"/>
        <v>1</v>
      </c>
      <c r="G998">
        <f t="shared" si="66"/>
        <v>3</v>
      </c>
      <c r="H998">
        <f t="shared" si="67"/>
        <v>513</v>
      </c>
    </row>
    <row r="999" spans="1:8" x14ac:dyDescent="0.55000000000000004">
      <c r="A999" s="6">
        <v>8.6671934304505836E+18</v>
      </c>
      <c r="B999">
        <v>551</v>
      </c>
      <c r="C999">
        <v>1</v>
      </c>
      <c r="D999">
        <v>327</v>
      </c>
      <c r="E999">
        <f t="shared" si="64"/>
        <v>4</v>
      </c>
      <c r="F999">
        <f t="shared" si="65"/>
        <v>1</v>
      </c>
      <c r="G999">
        <f t="shared" si="66"/>
        <v>1</v>
      </c>
      <c r="H999">
        <f t="shared" si="67"/>
        <v>411</v>
      </c>
    </row>
    <row r="1000" spans="1:8" x14ac:dyDescent="0.55000000000000004">
      <c r="A1000" s="6">
        <v>8.6679631661829878E+18</v>
      </c>
      <c r="B1000">
        <v>598</v>
      </c>
      <c r="C1000">
        <v>1</v>
      </c>
      <c r="D1000">
        <v>355</v>
      </c>
      <c r="E1000">
        <f t="shared" si="64"/>
        <v>3</v>
      </c>
      <c r="F1000">
        <f t="shared" si="65"/>
        <v>1</v>
      </c>
      <c r="G1000">
        <f t="shared" si="66"/>
        <v>1</v>
      </c>
      <c r="H1000">
        <f t="shared" si="67"/>
        <v>311</v>
      </c>
    </row>
    <row r="1001" spans="1:8" x14ac:dyDescent="0.55000000000000004">
      <c r="A1001" s="6">
        <v>8.6727379281980047E+18</v>
      </c>
      <c r="B1001">
        <v>443</v>
      </c>
      <c r="C1001">
        <v>1</v>
      </c>
      <c r="D1001">
        <v>422</v>
      </c>
      <c r="E1001">
        <f t="shared" si="64"/>
        <v>4</v>
      </c>
      <c r="F1001">
        <f t="shared" si="65"/>
        <v>1</v>
      </c>
      <c r="G1001">
        <f t="shared" si="66"/>
        <v>1</v>
      </c>
      <c r="H1001">
        <f t="shared" si="67"/>
        <v>411</v>
      </c>
    </row>
    <row r="1002" spans="1:8" x14ac:dyDescent="0.55000000000000004">
      <c r="A1002" s="6">
        <v>8.6886831850354483E+18</v>
      </c>
      <c r="B1002">
        <v>10</v>
      </c>
      <c r="C1002">
        <v>2</v>
      </c>
      <c r="D1002">
        <v>1859</v>
      </c>
      <c r="E1002">
        <f t="shared" si="64"/>
        <v>5</v>
      </c>
      <c r="F1002">
        <f t="shared" si="65"/>
        <v>2</v>
      </c>
      <c r="G1002">
        <f t="shared" si="66"/>
        <v>2</v>
      </c>
      <c r="H1002">
        <f t="shared" si="67"/>
        <v>522</v>
      </c>
    </row>
    <row r="1003" spans="1:8" x14ac:dyDescent="0.55000000000000004">
      <c r="A1003" s="6">
        <v>8.6908928397613404E+18</v>
      </c>
      <c r="B1003">
        <v>1125</v>
      </c>
      <c r="C1003">
        <v>1</v>
      </c>
      <c r="D1003">
        <v>602</v>
      </c>
      <c r="E1003">
        <f t="shared" si="64"/>
        <v>2</v>
      </c>
      <c r="F1003">
        <f t="shared" si="65"/>
        <v>1</v>
      </c>
      <c r="G1003">
        <f t="shared" si="66"/>
        <v>1</v>
      </c>
      <c r="H1003">
        <f t="shared" si="67"/>
        <v>211</v>
      </c>
    </row>
    <row r="1004" spans="1:8" x14ac:dyDescent="0.55000000000000004">
      <c r="A1004" s="6">
        <v>8.7029438128184371E+18</v>
      </c>
      <c r="B1004">
        <v>477</v>
      </c>
      <c r="C1004">
        <v>1</v>
      </c>
      <c r="D1004">
        <v>134</v>
      </c>
      <c r="E1004">
        <f t="shared" si="64"/>
        <v>4</v>
      </c>
      <c r="F1004">
        <f t="shared" si="65"/>
        <v>1</v>
      </c>
      <c r="G1004">
        <f t="shared" si="66"/>
        <v>1</v>
      </c>
      <c r="H1004">
        <f t="shared" si="67"/>
        <v>411</v>
      </c>
    </row>
    <row r="1005" spans="1:8" x14ac:dyDescent="0.55000000000000004">
      <c r="A1005" s="6">
        <v>8.7283328542971044E+18</v>
      </c>
      <c r="B1005">
        <v>51</v>
      </c>
      <c r="C1005">
        <v>2</v>
      </c>
      <c r="D1005">
        <v>4996</v>
      </c>
      <c r="E1005">
        <f t="shared" si="64"/>
        <v>5</v>
      </c>
      <c r="F1005">
        <f t="shared" si="65"/>
        <v>2</v>
      </c>
      <c r="G1005">
        <f t="shared" si="66"/>
        <v>3</v>
      </c>
      <c r="H1005">
        <f t="shared" si="67"/>
        <v>523</v>
      </c>
    </row>
    <row r="1006" spans="1:8" x14ac:dyDescent="0.55000000000000004">
      <c r="A1006" s="6">
        <v>8.7509659763436114E+18</v>
      </c>
      <c r="B1006">
        <v>426</v>
      </c>
      <c r="C1006">
        <v>1</v>
      </c>
      <c r="D1006">
        <v>3056</v>
      </c>
      <c r="E1006">
        <f t="shared" si="64"/>
        <v>4</v>
      </c>
      <c r="F1006">
        <f t="shared" si="65"/>
        <v>1</v>
      </c>
      <c r="G1006">
        <f t="shared" si="66"/>
        <v>3</v>
      </c>
      <c r="H1006">
        <f t="shared" si="67"/>
        <v>413</v>
      </c>
    </row>
    <row r="1007" spans="1:8" x14ac:dyDescent="0.55000000000000004">
      <c r="A1007" s="6">
        <v>8.7531651469895475E+18</v>
      </c>
      <c r="B1007">
        <v>785</v>
      </c>
      <c r="C1007">
        <v>2</v>
      </c>
      <c r="D1007">
        <v>2273</v>
      </c>
      <c r="E1007">
        <f t="shared" si="64"/>
        <v>3</v>
      </c>
      <c r="F1007">
        <f t="shared" si="65"/>
        <v>2</v>
      </c>
      <c r="G1007">
        <f t="shared" si="66"/>
        <v>3</v>
      </c>
      <c r="H1007">
        <f t="shared" si="67"/>
        <v>323</v>
      </c>
    </row>
    <row r="1008" spans="1:8" x14ac:dyDescent="0.55000000000000004">
      <c r="A1008" s="6">
        <v>8.7554948243829422E+18</v>
      </c>
      <c r="B1008">
        <v>10</v>
      </c>
      <c r="C1008">
        <v>1</v>
      </c>
      <c r="D1008">
        <v>28</v>
      </c>
      <c r="E1008">
        <f t="shared" si="64"/>
        <v>5</v>
      </c>
      <c r="F1008">
        <f t="shared" si="65"/>
        <v>1</v>
      </c>
      <c r="G1008">
        <f t="shared" si="66"/>
        <v>1</v>
      </c>
      <c r="H1008">
        <f t="shared" si="67"/>
        <v>511</v>
      </c>
    </row>
    <row r="1009" spans="1:8" x14ac:dyDescent="0.55000000000000004">
      <c r="A1009" s="6">
        <v>8.7568087296080701E+18</v>
      </c>
      <c r="B1009">
        <v>496</v>
      </c>
      <c r="C1009">
        <v>1</v>
      </c>
      <c r="D1009">
        <v>2719</v>
      </c>
      <c r="E1009">
        <f t="shared" si="64"/>
        <v>4</v>
      </c>
      <c r="F1009">
        <f t="shared" si="65"/>
        <v>1</v>
      </c>
      <c r="G1009">
        <f t="shared" si="66"/>
        <v>3</v>
      </c>
      <c r="H1009">
        <f t="shared" si="67"/>
        <v>413</v>
      </c>
    </row>
    <row r="1010" spans="1:8" x14ac:dyDescent="0.55000000000000004">
      <c r="A1010" s="6">
        <v>8.7623730887348511E+18</v>
      </c>
      <c r="B1010">
        <v>530</v>
      </c>
      <c r="C1010">
        <v>1</v>
      </c>
      <c r="D1010">
        <v>144</v>
      </c>
      <c r="E1010">
        <f t="shared" si="64"/>
        <v>4</v>
      </c>
      <c r="F1010">
        <f t="shared" si="65"/>
        <v>1</v>
      </c>
      <c r="G1010">
        <f t="shared" si="66"/>
        <v>1</v>
      </c>
      <c r="H1010">
        <f t="shared" si="67"/>
        <v>411</v>
      </c>
    </row>
    <row r="1011" spans="1:8" x14ac:dyDescent="0.55000000000000004">
      <c r="A1011" s="6">
        <v>8.765305006201388E+18</v>
      </c>
      <c r="B1011">
        <v>748</v>
      </c>
      <c r="C1011">
        <v>1</v>
      </c>
      <c r="D1011">
        <v>2899</v>
      </c>
      <c r="E1011">
        <f t="shared" si="64"/>
        <v>3</v>
      </c>
      <c r="F1011">
        <f t="shared" si="65"/>
        <v>1</v>
      </c>
      <c r="G1011">
        <f t="shared" si="66"/>
        <v>3</v>
      </c>
      <c r="H1011">
        <f t="shared" si="67"/>
        <v>313</v>
      </c>
    </row>
    <row r="1012" spans="1:8" x14ac:dyDescent="0.55000000000000004">
      <c r="A1012" s="6">
        <v>8.7716318777703711E+18</v>
      </c>
      <c r="B1012">
        <v>131</v>
      </c>
      <c r="C1012">
        <v>2</v>
      </c>
      <c r="D1012">
        <v>842</v>
      </c>
      <c r="E1012">
        <f t="shared" si="64"/>
        <v>5</v>
      </c>
      <c r="F1012">
        <f t="shared" si="65"/>
        <v>2</v>
      </c>
      <c r="G1012">
        <f t="shared" si="66"/>
        <v>2</v>
      </c>
      <c r="H1012">
        <f t="shared" si="67"/>
        <v>522</v>
      </c>
    </row>
    <row r="1013" spans="1:8" x14ac:dyDescent="0.55000000000000004">
      <c r="A1013" s="6">
        <v>8.7935106791523226E+18</v>
      </c>
      <c r="B1013">
        <v>920</v>
      </c>
      <c r="C1013">
        <v>2</v>
      </c>
      <c r="D1013">
        <v>1417</v>
      </c>
      <c r="E1013">
        <f t="shared" si="64"/>
        <v>2</v>
      </c>
      <c r="F1013">
        <f t="shared" si="65"/>
        <v>2</v>
      </c>
      <c r="G1013">
        <f t="shared" si="66"/>
        <v>2</v>
      </c>
      <c r="H1013">
        <f t="shared" si="67"/>
        <v>222</v>
      </c>
    </row>
    <row r="1014" spans="1:8" x14ac:dyDescent="0.55000000000000004">
      <c r="A1014" s="6">
        <v>8.7981424033497037E+18</v>
      </c>
      <c r="B1014">
        <v>1058</v>
      </c>
      <c r="C1014">
        <v>1</v>
      </c>
      <c r="D1014">
        <v>245</v>
      </c>
      <c r="E1014">
        <f t="shared" si="64"/>
        <v>2</v>
      </c>
      <c r="F1014">
        <f t="shared" si="65"/>
        <v>1</v>
      </c>
      <c r="G1014">
        <f t="shared" si="66"/>
        <v>1</v>
      </c>
      <c r="H1014">
        <f t="shared" si="67"/>
        <v>211</v>
      </c>
    </row>
    <row r="1015" spans="1:8" x14ac:dyDescent="0.55000000000000004">
      <c r="A1015" s="6">
        <v>8.8021057141217864E+18</v>
      </c>
      <c r="B1015">
        <v>286</v>
      </c>
      <c r="C1015">
        <v>2</v>
      </c>
      <c r="D1015">
        <v>1164</v>
      </c>
      <c r="E1015">
        <f t="shared" si="64"/>
        <v>5</v>
      </c>
      <c r="F1015">
        <f t="shared" si="65"/>
        <v>2</v>
      </c>
      <c r="G1015">
        <f t="shared" si="66"/>
        <v>2</v>
      </c>
      <c r="H1015">
        <f t="shared" si="67"/>
        <v>522</v>
      </c>
    </row>
    <row r="1016" spans="1:8" x14ac:dyDescent="0.55000000000000004">
      <c r="A1016" s="6">
        <v>8.8209216732971704E+18</v>
      </c>
      <c r="B1016">
        <v>931</v>
      </c>
      <c r="C1016">
        <v>1</v>
      </c>
      <c r="D1016">
        <v>605</v>
      </c>
      <c r="E1016">
        <f t="shared" si="64"/>
        <v>2</v>
      </c>
      <c r="F1016">
        <f t="shared" si="65"/>
        <v>1</v>
      </c>
      <c r="G1016">
        <f t="shared" si="66"/>
        <v>1</v>
      </c>
      <c r="H1016">
        <f t="shared" si="67"/>
        <v>211</v>
      </c>
    </row>
    <row r="1017" spans="1:8" x14ac:dyDescent="0.55000000000000004">
      <c r="A1017" s="6">
        <v>8.8409319117374515E+18</v>
      </c>
      <c r="B1017">
        <v>274</v>
      </c>
      <c r="C1017">
        <v>2</v>
      </c>
      <c r="D1017">
        <v>9931</v>
      </c>
      <c r="E1017">
        <f t="shared" si="64"/>
        <v>5</v>
      </c>
      <c r="F1017">
        <f t="shared" si="65"/>
        <v>2</v>
      </c>
      <c r="G1017">
        <f t="shared" si="66"/>
        <v>3</v>
      </c>
      <c r="H1017">
        <f t="shared" si="67"/>
        <v>523</v>
      </c>
    </row>
    <row r="1018" spans="1:8" x14ac:dyDescent="0.55000000000000004">
      <c r="A1018" s="6">
        <v>8.8435373430543657E+18</v>
      </c>
      <c r="B1018">
        <v>618</v>
      </c>
      <c r="C1018">
        <v>3</v>
      </c>
      <c r="D1018">
        <v>1106</v>
      </c>
      <c r="E1018">
        <f t="shared" si="64"/>
        <v>3</v>
      </c>
      <c r="F1018">
        <f t="shared" si="65"/>
        <v>3</v>
      </c>
      <c r="G1018">
        <f t="shared" si="66"/>
        <v>2</v>
      </c>
      <c r="H1018">
        <f t="shared" si="67"/>
        <v>332</v>
      </c>
    </row>
    <row r="1019" spans="1:8" x14ac:dyDescent="0.55000000000000004">
      <c r="A1019" s="6">
        <v>8.8564151863028941E+18</v>
      </c>
      <c r="B1019">
        <v>907</v>
      </c>
      <c r="C1019">
        <v>1</v>
      </c>
      <c r="D1019">
        <v>1225</v>
      </c>
      <c r="E1019">
        <f t="shared" si="64"/>
        <v>2</v>
      </c>
      <c r="F1019">
        <f t="shared" si="65"/>
        <v>1</v>
      </c>
      <c r="G1019">
        <f t="shared" si="66"/>
        <v>2</v>
      </c>
      <c r="H1019">
        <f t="shared" si="67"/>
        <v>212</v>
      </c>
    </row>
    <row r="1020" spans="1:8" x14ac:dyDescent="0.55000000000000004">
      <c r="A1020" s="6">
        <v>8.8636156987287337E+18</v>
      </c>
      <c r="B1020">
        <v>287</v>
      </c>
      <c r="C1020">
        <v>2</v>
      </c>
      <c r="D1020">
        <v>3037</v>
      </c>
      <c r="E1020">
        <f t="shared" si="64"/>
        <v>5</v>
      </c>
      <c r="F1020">
        <f t="shared" si="65"/>
        <v>2</v>
      </c>
      <c r="G1020">
        <f t="shared" si="66"/>
        <v>3</v>
      </c>
      <c r="H1020">
        <f t="shared" si="67"/>
        <v>523</v>
      </c>
    </row>
    <row r="1021" spans="1:8" x14ac:dyDescent="0.55000000000000004">
      <c r="A1021" s="6">
        <v>8.864182973289599E+18</v>
      </c>
      <c r="B1021">
        <v>489</v>
      </c>
      <c r="C1021">
        <v>1</v>
      </c>
      <c r="D1021">
        <v>151</v>
      </c>
      <c r="E1021">
        <f t="shared" si="64"/>
        <v>4</v>
      </c>
      <c r="F1021">
        <f t="shared" si="65"/>
        <v>1</v>
      </c>
      <c r="G1021">
        <f t="shared" si="66"/>
        <v>1</v>
      </c>
      <c r="H1021">
        <f t="shared" si="67"/>
        <v>411</v>
      </c>
    </row>
    <row r="1022" spans="1:8" x14ac:dyDescent="0.55000000000000004">
      <c r="A1022" s="6">
        <v>8.8657964298209526E+18</v>
      </c>
      <c r="B1022">
        <v>790</v>
      </c>
      <c r="C1022">
        <v>1</v>
      </c>
      <c r="D1022">
        <v>497</v>
      </c>
      <c r="E1022">
        <f t="shared" si="64"/>
        <v>3</v>
      </c>
      <c r="F1022">
        <f t="shared" si="65"/>
        <v>1</v>
      </c>
      <c r="G1022">
        <f t="shared" si="66"/>
        <v>1</v>
      </c>
      <c r="H1022">
        <f t="shared" si="67"/>
        <v>311</v>
      </c>
    </row>
    <row r="1023" spans="1:8" x14ac:dyDescent="0.55000000000000004">
      <c r="A1023" s="6">
        <v>8.8673048398511145E+18</v>
      </c>
      <c r="B1023">
        <v>267</v>
      </c>
      <c r="C1023">
        <v>1</v>
      </c>
      <c r="D1023">
        <v>134</v>
      </c>
      <c r="E1023">
        <f t="shared" si="64"/>
        <v>5</v>
      </c>
      <c r="F1023">
        <f t="shared" si="65"/>
        <v>1</v>
      </c>
      <c r="G1023">
        <f t="shared" si="66"/>
        <v>1</v>
      </c>
      <c r="H1023">
        <f t="shared" si="67"/>
        <v>511</v>
      </c>
    </row>
    <row r="1024" spans="1:8" x14ac:dyDescent="0.55000000000000004">
      <c r="A1024" s="6">
        <v>8.8687396167415603E+18</v>
      </c>
      <c r="B1024">
        <v>675</v>
      </c>
      <c r="C1024">
        <v>1</v>
      </c>
      <c r="D1024">
        <v>3636</v>
      </c>
      <c r="E1024">
        <f t="shared" si="64"/>
        <v>3</v>
      </c>
      <c r="F1024">
        <f t="shared" si="65"/>
        <v>1</v>
      </c>
      <c r="G1024">
        <f t="shared" si="66"/>
        <v>3</v>
      </c>
      <c r="H1024">
        <f t="shared" si="67"/>
        <v>313</v>
      </c>
    </row>
    <row r="1025" spans="1:8" x14ac:dyDescent="0.55000000000000004">
      <c r="A1025" s="6">
        <v>8.8705274734315756E+18</v>
      </c>
      <c r="B1025">
        <v>226</v>
      </c>
      <c r="C1025">
        <v>3</v>
      </c>
      <c r="D1025">
        <v>6045</v>
      </c>
      <c r="E1025">
        <f t="shared" si="64"/>
        <v>5</v>
      </c>
      <c r="F1025">
        <f t="shared" si="65"/>
        <v>3</v>
      </c>
      <c r="G1025">
        <f t="shared" si="66"/>
        <v>3</v>
      </c>
      <c r="H1025">
        <f t="shared" si="67"/>
        <v>533</v>
      </c>
    </row>
    <row r="1026" spans="1:8" x14ac:dyDescent="0.55000000000000004">
      <c r="A1026" s="6">
        <v>8.8710352568516239E+18</v>
      </c>
      <c r="B1026">
        <v>5</v>
      </c>
      <c r="C1026">
        <v>1</v>
      </c>
      <c r="D1026">
        <v>3958</v>
      </c>
      <c r="E1026">
        <f t="shared" si="64"/>
        <v>5</v>
      </c>
      <c r="F1026">
        <f t="shared" si="65"/>
        <v>1</v>
      </c>
      <c r="G1026">
        <f t="shared" si="66"/>
        <v>3</v>
      </c>
      <c r="H1026">
        <f t="shared" si="67"/>
        <v>513</v>
      </c>
    </row>
    <row r="1027" spans="1:8" x14ac:dyDescent="0.55000000000000004">
      <c r="A1027" s="6">
        <v>8.8744046359264768E+18</v>
      </c>
      <c r="B1027">
        <v>667</v>
      </c>
      <c r="C1027">
        <v>1</v>
      </c>
      <c r="D1027">
        <v>354</v>
      </c>
      <c r="E1027">
        <f t="shared" ref="E1027:E1090" si="68">VLOOKUP(B1027,$K$5:$L$9,2,1)</f>
        <v>3</v>
      </c>
      <c r="F1027">
        <f t="shared" ref="F1027:F1090" si="69">VLOOKUP(C1027,$K$15:$L$17,2,1)</f>
        <v>1</v>
      </c>
      <c r="G1027">
        <f t="shared" ref="G1027:G1090" si="70">VLOOKUP(D1027,$K$24:$L$26,2,1)</f>
        <v>1</v>
      </c>
      <c r="H1027">
        <f t="shared" ref="H1027:H1090" si="71">E1027*100+F1027*10+G1027</f>
        <v>311</v>
      </c>
    </row>
    <row r="1028" spans="1:8" x14ac:dyDescent="0.55000000000000004">
      <c r="A1028" s="6">
        <v>8.8800362200444713E+18</v>
      </c>
      <c r="B1028">
        <v>117</v>
      </c>
      <c r="C1028">
        <v>1</v>
      </c>
      <c r="D1028">
        <v>1190</v>
      </c>
      <c r="E1028">
        <f t="shared" si="68"/>
        <v>5</v>
      </c>
      <c r="F1028">
        <f t="shared" si="69"/>
        <v>1</v>
      </c>
      <c r="G1028">
        <f t="shared" si="70"/>
        <v>2</v>
      </c>
      <c r="H1028">
        <f t="shared" si="71"/>
        <v>512</v>
      </c>
    </row>
    <row r="1029" spans="1:8" x14ac:dyDescent="0.55000000000000004">
      <c r="A1029" s="6">
        <v>8.8812564427983503E+18</v>
      </c>
      <c r="B1029">
        <v>988</v>
      </c>
      <c r="C1029">
        <v>1</v>
      </c>
      <c r="D1029">
        <v>611</v>
      </c>
      <c r="E1029">
        <f t="shared" si="68"/>
        <v>2</v>
      </c>
      <c r="F1029">
        <f t="shared" si="69"/>
        <v>1</v>
      </c>
      <c r="G1029">
        <f t="shared" si="70"/>
        <v>1</v>
      </c>
      <c r="H1029">
        <f t="shared" si="71"/>
        <v>211</v>
      </c>
    </row>
    <row r="1030" spans="1:8" x14ac:dyDescent="0.55000000000000004">
      <c r="A1030" s="6">
        <v>8.8946240980239555E+18</v>
      </c>
      <c r="B1030">
        <v>189</v>
      </c>
      <c r="C1030">
        <v>1</v>
      </c>
      <c r="D1030">
        <v>139</v>
      </c>
      <c r="E1030">
        <f t="shared" si="68"/>
        <v>5</v>
      </c>
      <c r="F1030">
        <f t="shared" si="69"/>
        <v>1</v>
      </c>
      <c r="G1030">
        <f t="shared" si="70"/>
        <v>1</v>
      </c>
      <c r="H1030">
        <f t="shared" si="71"/>
        <v>511</v>
      </c>
    </row>
    <row r="1031" spans="1:8" x14ac:dyDescent="0.55000000000000004">
      <c r="A1031" s="6">
        <v>8.9006622298564833E+18</v>
      </c>
      <c r="B1031">
        <v>208</v>
      </c>
      <c r="C1031">
        <v>2</v>
      </c>
      <c r="D1031">
        <v>1239</v>
      </c>
      <c r="E1031">
        <f t="shared" si="68"/>
        <v>5</v>
      </c>
      <c r="F1031">
        <f t="shared" si="69"/>
        <v>2</v>
      </c>
      <c r="G1031">
        <f t="shared" si="70"/>
        <v>2</v>
      </c>
      <c r="H1031">
        <f t="shared" si="71"/>
        <v>522</v>
      </c>
    </row>
    <row r="1032" spans="1:8" x14ac:dyDescent="0.55000000000000004">
      <c r="A1032" s="6">
        <v>8.9186426008950723E+18</v>
      </c>
      <c r="B1032">
        <v>642</v>
      </c>
      <c r="C1032">
        <v>1</v>
      </c>
      <c r="D1032">
        <v>8989</v>
      </c>
      <c r="E1032">
        <f t="shared" si="68"/>
        <v>3</v>
      </c>
      <c r="F1032">
        <f t="shared" si="69"/>
        <v>1</v>
      </c>
      <c r="G1032">
        <f t="shared" si="70"/>
        <v>3</v>
      </c>
      <c r="H1032">
        <f t="shared" si="71"/>
        <v>313</v>
      </c>
    </row>
    <row r="1033" spans="1:8" x14ac:dyDescent="0.55000000000000004">
      <c r="A1033" s="6">
        <v>8.9215529394304563E+18</v>
      </c>
      <c r="B1033">
        <v>969</v>
      </c>
      <c r="C1033">
        <v>1</v>
      </c>
      <c r="D1033">
        <v>439</v>
      </c>
      <c r="E1033">
        <f t="shared" si="68"/>
        <v>2</v>
      </c>
      <c r="F1033">
        <f t="shared" si="69"/>
        <v>1</v>
      </c>
      <c r="G1033">
        <f t="shared" si="70"/>
        <v>1</v>
      </c>
      <c r="H1033">
        <f t="shared" si="71"/>
        <v>211</v>
      </c>
    </row>
    <row r="1034" spans="1:8" x14ac:dyDescent="0.55000000000000004">
      <c r="A1034" s="6">
        <v>8.9311490609348352E+18</v>
      </c>
      <c r="B1034">
        <v>131</v>
      </c>
      <c r="C1034">
        <v>1</v>
      </c>
      <c r="D1034">
        <v>285</v>
      </c>
      <c r="E1034">
        <f t="shared" si="68"/>
        <v>5</v>
      </c>
      <c r="F1034">
        <f t="shared" si="69"/>
        <v>1</v>
      </c>
      <c r="G1034">
        <f t="shared" si="70"/>
        <v>1</v>
      </c>
      <c r="H1034">
        <f t="shared" si="71"/>
        <v>511</v>
      </c>
    </row>
    <row r="1035" spans="1:8" x14ac:dyDescent="0.55000000000000004">
      <c r="A1035" s="6">
        <v>8.934561437004929E+18</v>
      </c>
      <c r="B1035">
        <v>144</v>
      </c>
      <c r="C1035">
        <v>3</v>
      </c>
      <c r="D1035">
        <v>3542</v>
      </c>
      <c r="E1035">
        <f t="shared" si="68"/>
        <v>5</v>
      </c>
      <c r="F1035">
        <f t="shared" si="69"/>
        <v>3</v>
      </c>
      <c r="G1035">
        <f t="shared" si="70"/>
        <v>3</v>
      </c>
      <c r="H1035">
        <f t="shared" si="71"/>
        <v>533</v>
      </c>
    </row>
    <row r="1036" spans="1:8" x14ac:dyDescent="0.55000000000000004">
      <c r="A1036" s="6">
        <v>8.9447154892374354E+18</v>
      </c>
      <c r="B1036">
        <v>756</v>
      </c>
      <c r="C1036">
        <v>1</v>
      </c>
      <c r="D1036">
        <v>2289</v>
      </c>
      <c r="E1036">
        <f t="shared" si="68"/>
        <v>3</v>
      </c>
      <c r="F1036">
        <f t="shared" si="69"/>
        <v>1</v>
      </c>
      <c r="G1036">
        <f t="shared" si="70"/>
        <v>3</v>
      </c>
      <c r="H1036">
        <f t="shared" si="71"/>
        <v>313</v>
      </c>
    </row>
    <row r="1037" spans="1:8" x14ac:dyDescent="0.55000000000000004">
      <c r="A1037" s="6">
        <v>8.9467332712201267E+18</v>
      </c>
      <c r="B1037">
        <v>500</v>
      </c>
      <c r="C1037">
        <v>2</v>
      </c>
      <c r="D1037">
        <v>9921</v>
      </c>
      <c r="E1037">
        <f t="shared" si="68"/>
        <v>4</v>
      </c>
      <c r="F1037">
        <f t="shared" si="69"/>
        <v>2</v>
      </c>
      <c r="G1037">
        <f t="shared" si="70"/>
        <v>3</v>
      </c>
      <c r="H1037">
        <f t="shared" si="71"/>
        <v>423</v>
      </c>
    </row>
    <row r="1038" spans="1:8" x14ac:dyDescent="0.55000000000000004">
      <c r="A1038" s="6">
        <v>8.9485107261010115E+18</v>
      </c>
      <c r="B1038">
        <v>221</v>
      </c>
      <c r="C1038">
        <v>1</v>
      </c>
      <c r="D1038">
        <v>99</v>
      </c>
      <c r="E1038">
        <f t="shared" si="68"/>
        <v>5</v>
      </c>
      <c r="F1038">
        <f t="shared" si="69"/>
        <v>1</v>
      </c>
      <c r="G1038">
        <f t="shared" si="70"/>
        <v>1</v>
      </c>
      <c r="H1038">
        <f t="shared" si="71"/>
        <v>511</v>
      </c>
    </row>
    <row r="1039" spans="1:8" x14ac:dyDescent="0.55000000000000004">
      <c r="A1039" s="6">
        <v>8.9683304329081651E+18</v>
      </c>
      <c r="B1039">
        <v>87</v>
      </c>
      <c r="C1039">
        <v>1</v>
      </c>
      <c r="D1039">
        <v>1102</v>
      </c>
      <c r="E1039">
        <f t="shared" si="68"/>
        <v>5</v>
      </c>
      <c r="F1039">
        <f t="shared" si="69"/>
        <v>1</v>
      </c>
      <c r="G1039">
        <f t="shared" si="70"/>
        <v>2</v>
      </c>
      <c r="H1039">
        <f t="shared" si="71"/>
        <v>512</v>
      </c>
    </row>
    <row r="1040" spans="1:8" x14ac:dyDescent="0.55000000000000004">
      <c r="A1040" s="6">
        <v>8.9703828931595837E+18</v>
      </c>
      <c r="B1040">
        <v>130</v>
      </c>
      <c r="C1040">
        <v>1</v>
      </c>
      <c r="D1040">
        <v>2787</v>
      </c>
      <c r="E1040">
        <f t="shared" si="68"/>
        <v>5</v>
      </c>
      <c r="F1040">
        <f t="shared" si="69"/>
        <v>1</v>
      </c>
      <c r="G1040">
        <f t="shared" si="70"/>
        <v>3</v>
      </c>
      <c r="H1040">
        <f t="shared" si="71"/>
        <v>513</v>
      </c>
    </row>
    <row r="1041" spans="1:8" x14ac:dyDescent="0.55000000000000004">
      <c r="A1041" s="6">
        <v>8.9832999901843036E+18</v>
      </c>
      <c r="B1041">
        <v>11</v>
      </c>
      <c r="C1041">
        <v>3</v>
      </c>
      <c r="D1041">
        <v>6045</v>
      </c>
      <c r="E1041">
        <f t="shared" si="68"/>
        <v>5</v>
      </c>
      <c r="F1041">
        <f t="shared" si="69"/>
        <v>3</v>
      </c>
      <c r="G1041">
        <f t="shared" si="70"/>
        <v>3</v>
      </c>
      <c r="H1041">
        <f t="shared" si="71"/>
        <v>533</v>
      </c>
    </row>
    <row r="1042" spans="1:8" x14ac:dyDescent="0.55000000000000004">
      <c r="A1042" s="6">
        <v>9.0023427849385574E+18</v>
      </c>
      <c r="B1042">
        <v>1199</v>
      </c>
      <c r="C1042">
        <v>1</v>
      </c>
      <c r="D1042">
        <v>707</v>
      </c>
      <c r="E1042">
        <f t="shared" si="68"/>
        <v>1</v>
      </c>
      <c r="F1042">
        <f t="shared" si="69"/>
        <v>1</v>
      </c>
      <c r="G1042">
        <f t="shared" si="70"/>
        <v>2</v>
      </c>
      <c r="H1042">
        <f t="shared" si="71"/>
        <v>112</v>
      </c>
    </row>
    <row r="1043" spans="1:8" x14ac:dyDescent="0.55000000000000004">
      <c r="A1043" s="6">
        <v>9.0073211666938911E+18</v>
      </c>
      <c r="B1043">
        <v>122</v>
      </c>
      <c r="C1043">
        <v>2</v>
      </c>
      <c r="D1043">
        <v>498</v>
      </c>
      <c r="E1043">
        <f t="shared" si="68"/>
        <v>5</v>
      </c>
      <c r="F1043">
        <f t="shared" si="69"/>
        <v>2</v>
      </c>
      <c r="G1043">
        <f t="shared" si="70"/>
        <v>1</v>
      </c>
      <c r="H1043">
        <f t="shared" si="71"/>
        <v>521</v>
      </c>
    </row>
    <row r="1044" spans="1:8" x14ac:dyDescent="0.55000000000000004">
      <c r="A1044" s="6">
        <v>9.0093056768248351E+18</v>
      </c>
      <c r="B1044">
        <v>331</v>
      </c>
      <c r="C1044">
        <v>3</v>
      </c>
      <c r="D1044">
        <v>27242</v>
      </c>
      <c r="E1044">
        <f t="shared" si="68"/>
        <v>4</v>
      </c>
      <c r="F1044">
        <f t="shared" si="69"/>
        <v>3</v>
      </c>
      <c r="G1044">
        <f t="shared" si="70"/>
        <v>3</v>
      </c>
      <c r="H1044">
        <f t="shared" si="71"/>
        <v>433</v>
      </c>
    </row>
    <row r="1045" spans="1:8" x14ac:dyDescent="0.55000000000000004">
      <c r="A1045" s="6">
        <v>9.0114498001082378E+18</v>
      </c>
      <c r="B1045">
        <v>135</v>
      </c>
      <c r="C1045">
        <v>2</v>
      </c>
      <c r="D1045">
        <v>2103</v>
      </c>
      <c r="E1045">
        <f t="shared" si="68"/>
        <v>5</v>
      </c>
      <c r="F1045">
        <f t="shared" si="69"/>
        <v>2</v>
      </c>
      <c r="G1045">
        <f t="shared" si="70"/>
        <v>2</v>
      </c>
      <c r="H1045">
        <f t="shared" si="71"/>
        <v>522</v>
      </c>
    </row>
    <row r="1046" spans="1:8" x14ac:dyDescent="0.55000000000000004">
      <c r="A1046" s="6">
        <v>9.0129078086439793E+18</v>
      </c>
      <c r="B1046">
        <v>105</v>
      </c>
      <c r="C1046">
        <v>1</v>
      </c>
      <c r="D1046">
        <v>1095</v>
      </c>
      <c r="E1046">
        <f t="shared" si="68"/>
        <v>5</v>
      </c>
      <c r="F1046">
        <f t="shared" si="69"/>
        <v>1</v>
      </c>
      <c r="G1046">
        <f t="shared" si="70"/>
        <v>2</v>
      </c>
      <c r="H1046">
        <f t="shared" si="71"/>
        <v>512</v>
      </c>
    </row>
    <row r="1047" spans="1:8" x14ac:dyDescent="0.55000000000000004">
      <c r="A1047" s="6">
        <v>9.0156401628928829E+18</v>
      </c>
      <c r="B1047">
        <v>772</v>
      </c>
      <c r="C1047">
        <v>1</v>
      </c>
      <c r="D1047">
        <v>99</v>
      </c>
      <c r="E1047">
        <f t="shared" si="68"/>
        <v>3</v>
      </c>
      <c r="F1047">
        <f t="shared" si="69"/>
        <v>1</v>
      </c>
      <c r="G1047">
        <f t="shared" si="70"/>
        <v>1</v>
      </c>
      <c r="H1047">
        <f t="shared" si="71"/>
        <v>311</v>
      </c>
    </row>
    <row r="1048" spans="1:8" x14ac:dyDescent="0.55000000000000004">
      <c r="A1048" s="6">
        <v>9.0181856789402378E+18</v>
      </c>
      <c r="B1048">
        <v>474</v>
      </c>
      <c r="C1048">
        <v>1</v>
      </c>
      <c r="D1048">
        <v>1615</v>
      </c>
      <c r="E1048">
        <f t="shared" si="68"/>
        <v>4</v>
      </c>
      <c r="F1048">
        <f t="shared" si="69"/>
        <v>1</v>
      </c>
      <c r="G1048">
        <f t="shared" si="70"/>
        <v>2</v>
      </c>
      <c r="H1048">
        <f t="shared" si="71"/>
        <v>412</v>
      </c>
    </row>
    <row r="1049" spans="1:8" x14ac:dyDescent="0.55000000000000004">
      <c r="A1049" s="6">
        <v>9.0432311214428508E+18</v>
      </c>
      <c r="B1049">
        <v>763</v>
      </c>
      <c r="C1049">
        <v>1</v>
      </c>
      <c r="D1049">
        <v>1438</v>
      </c>
      <c r="E1049">
        <f t="shared" si="68"/>
        <v>3</v>
      </c>
      <c r="F1049">
        <f t="shared" si="69"/>
        <v>1</v>
      </c>
      <c r="G1049">
        <f t="shared" si="70"/>
        <v>2</v>
      </c>
      <c r="H1049">
        <f t="shared" si="71"/>
        <v>312</v>
      </c>
    </row>
    <row r="1050" spans="1:8" x14ac:dyDescent="0.55000000000000004">
      <c r="A1050" s="6">
        <v>9.0474318240599982E+18</v>
      </c>
      <c r="B1050">
        <v>195</v>
      </c>
      <c r="C1050">
        <v>2</v>
      </c>
      <c r="D1050">
        <v>12090</v>
      </c>
      <c r="E1050">
        <f t="shared" si="68"/>
        <v>5</v>
      </c>
      <c r="F1050">
        <f t="shared" si="69"/>
        <v>2</v>
      </c>
      <c r="G1050">
        <f t="shared" si="70"/>
        <v>3</v>
      </c>
      <c r="H1050">
        <f t="shared" si="71"/>
        <v>523</v>
      </c>
    </row>
    <row r="1051" spans="1:8" x14ac:dyDescent="0.55000000000000004">
      <c r="A1051" s="6">
        <v>9.052495294912939E+18</v>
      </c>
      <c r="B1051">
        <v>592</v>
      </c>
      <c r="C1051">
        <v>1</v>
      </c>
      <c r="D1051">
        <v>449</v>
      </c>
      <c r="E1051">
        <f t="shared" si="68"/>
        <v>3</v>
      </c>
      <c r="F1051">
        <f t="shared" si="69"/>
        <v>1</v>
      </c>
      <c r="G1051">
        <f t="shared" si="70"/>
        <v>1</v>
      </c>
      <c r="H1051">
        <f t="shared" si="71"/>
        <v>311</v>
      </c>
    </row>
    <row r="1052" spans="1:8" x14ac:dyDescent="0.55000000000000004">
      <c r="A1052" s="6">
        <v>9.0657906959959194E+18</v>
      </c>
      <c r="B1052">
        <v>757</v>
      </c>
      <c r="C1052">
        <v>1</v>
      </c>
      <c r="D1052">
        <v>366</v>
      </c>
      <c r="E1052">
        <f t="shared" si="68"/>
        <v>3</v>
      </c>
      <c r="F1052">
        <f t="shared" si="69"/>
        <v>1</v>
      </c>
      <c r="G1052">
        <f t="shared" si="70"/>
        <v>1</v>
      </c>
      <c r="H1052">
        <f t="shared" si="71"/>
        <v>311</v>
      </c>
    </row>
    <row r="1053" spans="1:8" x14ac:dyDescent="0.55000000000000004">
      <c r="A1053" s="6">
        <v>9.0800793897535898E+18</v>
      </c>
      <c r="B1053">
        <v>753</v>
      </c>
      <c r="C1053">
        <v>2</v>
      </c>
      <c r="D1053">
        <v>632</v>
      </c>
      <c r="E1053">
        <f t="shared" si="68"/>
        <v>3</v>
      </c>
      <c r="F1053">
        <f t="shared" si="69"/>
        <v>2</v>
      </c>
      <c r="G1053">
        <f t="shared" si="70"/>
        <v>1</v>
      </c>
      <c r="H1053">
        <f t="shared" si="71"/>
        <v>321</v>
      </c>
    </row>
    <row r="1054" spans="1:8" x14ac:dyDescent="0.55000000000000004">
      <c r="A1054" s="6">
        <v>9.0899097415313111E+18</v>
      </c>
      <c r="B1054">
        <v>389</v>
      </c>
      <c r="C1054">
        <v>1</v>
      </c>
      <c r="D1054">
        <v>1595</v>
      </c>
      <c r="E1054">
        <f t="shared" si="68"/>
        <v>4</v>
      </c>
      <c r="F1054">
        <f t="shared" si="69"/>
        <v>1</v>
      </c>
      <c r="G1054">
        <f t="shared" si="70"/>
        <v>2</v>
      </c>
      <c r="H1054">
        <f t="shared" si="71"/>
        <v>412</v>
      </c>
    </row>
    <row r="1055" spans="1:8" x14ac:dyDescent="0.55000000000000004">
      <c r="A1055" s="6">
        <v>9.0986447618061926E+18</v>
      </c>
      <c r="B1055">
        <v>44</v>
      </c>
      <c r="C1055">
        <v>3</v>
      </c>
      <c r="D1055">
        <v>5375</v>
      </c>
      <c r="E1055">
        <f t="shared" si="68"/>
        <v>5</v>
      </c>
      <c r="F1055">
        <f t="shared" si="69"/>
        <v>3</v>
      </c>
      <c r="G1055">
        <f t="shared" si="70"/>
        <v>3</v>
      </c>
      <c r="H1055">
        <f t="shared" si="71"/>
        <v>533</v>
      </c>
    </row>
    <row r="1056" spans="1:8" x14ac:dyDescent="0.55000000000000004">
      <c r="A1056" s="6">
        <v>9.101764833279017E+18</v>
      </c>
      <c r="B1056">
        <v>990</v>
      </c>
      <c r="C1056">
        <v>1</v>
      </c>
      <c r="D1056">
        <v>445</v>
      </c>
      <c r="E1056">
        <f t="shared" si="68"/>
        <v>2</v>
      </c>
      <c r="F1056">
        <f t="shared" si="69"/>
        <v>1</v>
      </c>
      <c r="G1056">
        <f t="shared" si="70"/>
        <v>1</v>
      </c>
      <c r="H1056">
        <f t="shared" si="71"/>
        <v>211</v>
      </c>
    </row>
    <row r="1057" spans="1:8" x14ac:dyDescent="0.55000000000000004">
      <c r="A1057" s="6">
        <v>9.1084493047322593E+18</v>
      </c>
      <c r="B1057">
        <v>986</v>
      </c>
      <c r="C1057">
        <v>1</v>
      </c>
      <c r="D1057">
        <v>1298</v>
      </c>
      <c r="E1057">
        <f t="shared" si="68"/>
        <v>2</v>
      </c>
      <c r="F1057">
        <f t="shared" si="69"/>
        <v>1</v>
      </c>
      <c r="G1057">
        <f t="shared" si="70"/>
        <v>2</v>
      </c>
      <c r="H1057">
        <f t="shared" si="71"/>
        <v>212</v>
      </c>
    </row>
    <row r="1058" spans="1:8" x14ac:dyDescent="0.55000000000000004">
      <c r="A1058" s="6">
        <v>9.1212184918702653E+18</v>
      </c>
      <c r="B1058">
        <v>55</v>
      </c>
      <c r="C1058">
        <v>2</v>
      </c>
      <c r="D1058">
        <v>2786</v>
      </c>
      <c r="E1058">
        <f t="shared" si="68"/>
        <v>5</v>
      </c>
      <c r="F1058">
        <f t="shared" si="69"/>
        <v>2</v>
      </c>
      <c r="G1058">
        <f t="shared" si="70"/>
        <v>3</v>
      </c>
      <c r="H1058">
        <f t="shared" si="71"/>
        <v>523</v>
      </c>
    </row>
    <row r="1059" spans="1:8" x14ac:dyDescent="0.55000000000000004">
      <c r="A1059" s="6">
        <v>9.1256882912497848E+18</v>
      </c>
      <c r="B1059">
        <v>511</v>
      </c>
      <c r="C1059">
        <v>2</v>
      </c>
      <c r="D1059">
        <v>6558</v>
      </c>
      <c r="E1059">
        <f t="shared" si="68"/>
        <v>4</v>
      </c>
      <c r="F1059">
        <f t="shared" si="69"/>
        <v>2</v>
      </c>
      <c r="G1059">
        <f t="shared" si="70"/>
        <v>3</v>
      </c>
      <c r="H1059">
        <f t="shared" si="71"/>
        <v>423</v>
      </c>
    </row>
    <row r="1060" spans="1:8" x14ac:dyDescent="0.55000000000000004">
      <c r="A1060" s="6">
        <v>9.1291267439478784E+18</v>
      </c>
      <c r="B1060">
        <v>89</v>
      </c>
      <c r="C1060">
        <v>1</v>
      </c>
      <c r="D1060">
        <v>532</v>
      </c>
      <c r="E1060">
        <f t="shared" si="68"/>
        <v>5</v>
      </c>
      <c r="F1060">
        <f t="shared" si="69"/>
        <v>1</v>
      </c>
      <c r="G1060">
        <f t="shared" si="70"/>
        <v>1</v>
      </c>
      <c r="H1060">
        <f t="shared" si="71"/>
        <v>511</v>
      </c>
    </row>
    <row r="1061" spans="1:8" x14ac:dyDescent="0.55000000000000004">
      <c r="A1061" s="6">
        <v>9.1327467820469637E+18</v>
      </c>
      <c r="B1061">
        <v>646</v>
      </c>
      <c r="C1061">
        <v>1</v>
      </c>
      <c r="D1061">
        <v>3072</v>
      </c>
      <c r="E1061">
        <f t="shared" si="68"/>
        <v>3</v>
      </c>
      <c r="F1061">
        <f t="shared" si="69"/>
        <v>1</v>
      </c>
      <c r="G1061">
        <f t="shared" si="70"/>
        <v>3</v>
      </c>
      <c r="H1061">
        <f t="shared" si="71"/>
        <v>313</v>
      </c>
    </row>
    <row r="1062" spans="1:8" x14ac:dyDescent="0.55000000000000004">
      <c r="A1062" s="6">
        <v>9.1402792590415073E+18</v>
      </c>
      <c r="B1062">
        <v>1151</v>
      </c>
      <c r="C1062">
        <v>1</v>
      </c>
      <c r="D1062">
        <v>273</v>
      </c>
      <c r="E1062">
        <f t="shared" si="68"/>
        <v>2</v>
      </c>
      <c r="F1062">
        <f t="shared" si="69"/>
        <v>1</v>
      </c>
      <c r="G1062">
        <f t="shared" si="70"/>
        <v>1</v>
      </c>
      <c r="H1062">
        <f t="shared" si="71"/>
        <v>211</v>
      </c>
    </row>
    <row r="1063" spans="1:8" x14ac:dyDescent="0.55000000000000004">
      <c r="A1063" s="6">
        <v>9.1642390959083305E+18</v>
      </c>
      <c r="B1063">
        <v>555</v>
      </c>
      <c r="C1063">
        <v>1</v>
      </c>
      <c r="D1063">
        <v>5978</v>
      </c>
      <c r="E1063">
        <f t="shared" si="68"/>
        <v>4</v>
      </c>
      <c r="F1063">
        <f t="shared" si="69"/>
        <v>1</v>
      </c>
      <c r="G1063">
        <f t="shared" si="70"/>
        <v>3</v>
      </c>
      <c r="H1063">
        <f t="shared" si="71"/>
        <v>413</v>
      </c>
    </row>
    <row r="1064" spans="1:8" x14ac:dyDescent="0.55000000000000004">
      <c r="A1064" s="6">
        <v>9.1649542126402294E+18</v>
      </c>
      <c r="B1064">
        <v>268</v>
      </c>
      <c r="C1064">
        <v>2</v>
      </c>
      <c r="D1064">
        <v>537</v>
      </c>
      <c r="E1064">
        <f t="shared" si="68"/>
        <v>5</v>
      </c>
      <c r="F1064">
        <f t="shared" si="69"/>
        <v>2</v>
      </c>
      <c r="G1064">
        <f t="shared" si="70"/>
        <v>1</v>
      </c>
      <c r="H1064">
        <f t="shared" si="71"/>
        <v>521</v>
      </c>
    </row>
    <row r="1065" spans="1:8" x14ac:dyDescent="0.55000000000000004">
      <c r="A1065" s="6">
        <v>9.166708935569963E+18</v>
      </c>
      <c r="B1065">
        <v>217</v>
      </c>
      <c r="C1065">
        <v>2</v>
      </c>
      <c r="D1065">
        <v>3306</v>
      </c>
      <c r="E1065">
        <f t="shared" si="68"/>
        <v>5</v>
      </c>
      <c r="F1065">
        <f t="shared" si="69"/>
        <v>2</v>
      </c>
      <c r="G1065">
        <f t="shared" si="70"/>
        <v>3</v>
      </c>
      <c r="H1065">
        <f t="shared" si="71"/>
        <v>523</v>
      </c>
    </row>
    <row r="1066" spans="1:8" x14ac:dyDescent="0.55000000000000004">
      <c r="A1066" s="6">
        <v>9.1869005501774121E+18</v>
      </c>
      <c r="B1066">
        <v>1239</v>
      </c>
      <c r="C1066">
        <v>1</v>
      </c>
      <c r="D1066">
        <v>96</v>
      </c>
      <c r="E1066">
        <f t="shared" si="68"/>
        <v>1</v>
      </c>
      <c r="F1066">
        <f t="shared" si="69"/>
        <v>1</v>
      </c>
      <c r="G1066">
        <f t="shared" si="70"/>
        <v>1</v>
      </c>
      <c r="H1066">
        <f t="shared" si="71"/>
        <v>111</v>
      </c>
    </row>
    <row r="1067" spans="1:8" x14ac:dyDescent="0.55000000000000004">
      <c r="A1067" s="6">
        <v>9.1932094490426348E+18</v>
      </c>
      <c r="B1067">
        <v>1176</v>
      </c>
      <c r="C1067">
        <v>1</v>
      </c>
      <c r="D1067">
        <v>10959</v>
      </c>
      <c r="E1067">
        <f t="shared" si="68"/>
        <v>1</v>
      </c>
      <c r="F1067">
        <f t="shared" si="69"/>
        <v>1</v>
      </c>
      <c r="G1067">
        <f t="shared" si="70"/>
        <v>3</v>
      </c>
      <c r="H1067">
        <f t="shared" si="71"/>
        <v>113</v>
      </c>
    </row>
    <row r="1068" spans="1:8" x14ac:dyDescent="0.55000000000000004">
      <c r="A1068" s="6">
        <v>9.2021705122622024E+18</v>
      </c>
      <c r="B1068">
        <v>694</v>
      </c>
      <c r="C1068">
        <v>1</v>
      </c>
      <c r="D1068">
        <v>2151</v>
      </c>
      <c r="E1068">
        <f t="shared" si="68"/>
        <v>3</v>
      </c>
      <c r="F1068">
        <f t="shared" si="69"/>
        <v>1</v>
      </c>
      <c r="G1068">
        <f t="shared" si="70"/>
        <v>2</v>
      </c>
      <c r="H1068">
        <f t="shared" si="71"/>
        <v>312</v>
      </c>
    </row>
    <row r="1069" spans="1:8" x14ac:dyDescent="0.55000000000000004">
      <c r="A1069" s="6">
        <v>9.2042145550697564E+18</v>
      </c>
      <c r="B1069">
        <v>364</v>
      </c>
      <c r="C1069">
        <v>1</v>
      </c>
      <c r="D1069">
        <v>1688</v>
      </c>
      <c r="E1069">
        <f t="shared" si="68"/>
        <v>4</v>
      </c>
      <c r="F1069">
        <f t="shared" si="69"/>
        <v>1</v>
      </c>
      <c r="G1069">
        <f t="shared" si="70"/>
        <v>2</v>
      </c>
      <c r="H1069">
        <f t="shared" si="71"/>
        <v>412</v>
      </c>
    </row>
    <row r="1070" spans="1:8" x14ac:dyDescent="0.55000000000000004">
      <c r="A1070" s="6">
        <v>9.2043461364784036E+18</v>
      </c>
      <c r="B1070">
        <v>253</v>
      </c>
      <c r="C1070">
        <v>1</v>
      </c>
      <c r="D1070">
        <v>5000</v>
      </c>
      <c r="E1070">
        <f t="shared" si="68"/>
        <v>5</v>
      </c>
      <c r="F1070">
        <f t="shared" si="69"/>
        <v>1</v>
      </c>
      <c r="G1070">
        <f t="shared" si="70"/>
        <v>3</v>
      </c>
      <c r="H1070">
        <f t="shared" si="71"/>
        <v>513</v>
      </c>
    </row>
    <row r="1071" spans="1:8" x14ac:dyDescent="0.55000000000000004">
      <c r="A1071" s="6">
        <v>9.2092839124872847E+18</v>
      </c>
      <c r="B1071">
        <v>157</v>
      </c>
      <c r="C1071">
        <v>2</v>
      </c>
      <c r="D1071">
        <v>3790</v>
      </c>
      <c r="E1071">
        <f t="shared" si="68"/>
        <v>5</v>
      </c>
      <c r="F1071">
        <f t="shared" si="69"/>
        <v>2</v>
      </c>
      <c r="G1071">
        <f t="shared" si="70"/>
        <v>3</v>
      </c>
      <c r="H1071">
        <f t="shared" si="71"/>
        <v>523</v>
      </c>
    </row>
    <row r="1072" spans="1:8" x14ac:dyDescent="0.55000000000000004">
      <c r="A1072" s="6">
        <v>9.2147412065153024E+18</v>
      </c>
      <c r="B1072">
        <v>16</v>
      </c>
      <c r="C1072">
        <v>1</v>
      </c>
      <c r="D1072">
        <v>428</v>
      </c>
      <c r="E1072">
        <f t="shared" si="68"/>
        <v>5</v>
      </c>
      <c r="F1072">
        <f t="shared" si="69"/>
        <v>1</v>
      </c>
      <c r="G1072">
        <f t="shared" si="70"/>
        <v>1</v>
      </c>
      <c r="H1072">
        <f t="shared" si="71"/>
        <v>511</v>
      </c>
    </row>
    <row r="1073" spans="1:8" x14ac:dyDescent="0.55000000000000004">
      <c r="A1073" s="6">
        <v>9.2220926223088968E+18</v>
      </c>
      <c r="B1073">
        <v>40</v>
      </c>
      <c r="C1073">
        <v>2</v>
      </c>
      <c r="D1073">
        <v>9827</v>
      </c>
      <c r="E1073">
        <f t="shared" si="68"/>
        <v>5</v>
      </c>
      <c r="F1073">
        <f t="shared" si="69"/>
        <v>2</v>
      </c>
      <c r="G1073">
        <f t="shared" si="70"/>
        <v>3</v>
      </c>
      <c r="H1073">
        <f t="shared" si="71"/>
        <v>523</v>
      </c>
    </row>
    <row r="1074" spans="1:8" x14ac:dyDescent="0.55000000000000004">
      <c r="A1074" s="6">
        <v>9.2781126943122145E+18</v>
      </c>
      <c r="B1074">
        <v>1033</v>
      </c>
      <c r="C1074">
        <v>1</v>
      </c>
      <c r="D1074">
        <v>530</v>
      </c>
      <c r="E1074">
        <f t="shared" si="68"/>
        <v>2</v>
      </c>
      <c r="F1074">
        <f t="shared" si="69"/>
        <v>1</v>
      </c>
      <c r="G1074">
        <f t="shared" si="70"/>
        <v>1</v>
      </c>
      <c r="H1074">
        <f t="shared" si="71"/>
        <v>211</v>
      </c>
    </row>
    <row r="1075" spans="1:8" x14ac:dyDescent="0.55000000000000004">
      <c r="A1075" s="6">
        <v>9.2786993871629066E+18</v>
      </c>
      <c r="B1075">
        <v>907</v>
      </c>
      <c r="C1075">
        <v>1</v>
      </c>
      <c r="D1075">
        <v>42</v>
      </c>
      <c r="E1075">
        <f t="shared" si="68"/>
        <v>2</v>
      </c>
      <c r="F1075">
        <f t="shared" si="69"/>
        <v>1</v>
      </c>
      <c r="G1075">
        <f t="shared" si="70"/>
        <v>1</v>
      </c>
      <c r="H1075">
        <f t="shared" si="71"/>
        <v>211</v>
      </c>
    </row>
    <row r="1076" spans="1:8" x14ac:dyDescent="0.55000000000000004">
      <c r="A1076" s="6">
        <v>9.283264815651498E+18</v>
      </c>
      <c r="B1076">
        <v>67</v>
      </c>
      <c r="C1076">
        <v>2</v>
      </c>
      <c r="D1076">
        <v>4150</v>
      </c>
      <c r="E1076">
        <f t="shared" si="68"/>
        <v>5</v>
      </c>
      <c r="F1076">
        <f t="shared" si="69"/>
        <v>2</v>
      </c>
      <c r="G1076">
        <f t="shared" si="70"/>
        <v>3</v>
      </c>
      <c r="H1076">
        <f t="shared" si="71"/>
        <v>523</v>
      </c>
    </row>
    <row r="1077" spans="1:8" x14ac:dyDescent="0.55000000000000004">
      <c r="A1077" s="6">
        <v>9.2837641945690317E+18</v>
      </c>
      <c r="B1077">
        <v>994</v>
      </c>
      <c r="C1077">
        <v>1</v>
      </c>
      <c r="D1077">
        <v>990</v>
      </c>
      <c r="E1077">
        <f t="shared" si="68"/>
        <v>2</v>
      </c>
      <c r="F1077">
        <f t="shared" si="69"/>
        <v>1</v>
      </c>
      <c r="G1077">
        <f t="shared" si="70"/>
        <v>2</v>
      </c>
      <c r="H1077">
        <f t="shared" si="71"/>
        <v>212</v>
      </c>
    </row>
    <row r="1078" spans="1:8" x14ac:dyDescent="0.55000000000000004">
      <c r="A1078" s="6">
        <v>9.2940510925032448E+18</v>
      </c>
      <c r="B1078">
        <v>136</v>
      </c>
      <c r="C1078">
        <v>3</v>
      </c>
      <c r="D1078">
        <v>1603</v>
      </c>
      <c r="E1078">
        <f t="shared" si="68"/>
        <v>5</v>
      </c>
      <c r="F1078">
        <f t="shared" si="69"/>
        <v>3</v>
      </c>
      <c r="G1078">
        <f t="shared" si="70"/>
        <v>2</v>
      </c>
      <c r="H1078">
        <f t="shared" si="71"/>
        <v>532</v>
      </c>
    </row>
    <row r="1079" spans="1:8" x14ac:dyDescent="0.55000000000000004">
      <c r="A1079" s="6">
        <v>9.2989653906341827E+18</v>
      </c>
      <c r="B1079">
        <v>983</v>
      </c>
      <c r="C1079">
        <v>1</v>
      </c>
      <c r="D1079">
        <v>1185</v>
      </c>
      <c r="E1079">
        <f t="shared" si="68"/>
        <v>2</v>
      </c>
      <c r="F1079">
        <f t="shared" si="69"/>
        <v>1</v>
      </c>
      <c r="G1079">
        <f t="shared" si="70"/>
        <v>2</v>
      </c>
      <c r="H1079">
        <f t="shared" si="71"/>
        <v>212</v>
      </c>
    </row>
    <row r="1080" spans="1:8" x14ac:dyDescent="0.55000000000000004">
      <c r="A1080" s="6">
        <v>9.3011369724624343E+18</v>
      </c>
      <c r="B1080">
        <v>75</v>
      </c>
      <c r="C1080">
        <v>2</v>
      </c>
      <c r="D1080">
        <v>768</v>
      </c>
      <c r="E1080">
        <f t="shared" si="68"/>
        <v>5</v>
      </c>
      <c r="F1080">
        <f t="shared" si="69"/>
        <v>2</v>
      </c>
      <c r="G1080">
        <f t="shared" si="70"/>
        <v>2</v>
      </c>
      <c r="H1080">
        <f t="shared" si="71"/>
        <v>522</v>
      </c>
    </row>
    <row r="1081" spans="1:8" x14ac:dyDescent="0.55000000000000004">
      <c r="A1081" s="6">
        <v>9.3042969550292296E+18</v>
      </c>
      <c r="B1081">
        <v>327</v>
      </c>
      <c r="C1081">
        <v>1</v>
      </c>
      <c r="D1081">
        <v>2712</v>
      </c>
      <c r="E1081">
        <f t="shared" si="68"/>
        <v>4</v>
      </c>
      <c r="F1081">
        <f t="shared" si="69"/>
        <v>1</v>
      </c>
      <c r="G1081">
        <f t="shared" si="70"/>
        <v>3</v>
      </c>
      <c r="H1081">
        <f t="shared" si="71"/>
        <v>413</v>
      </c>
    </row>
    <row r="1082" spans="1:8" x14ac:dyDescent="0.55000000000000004">
      <c r="A1082" s="6">
        <v>9.3114124448562811E+18</v>
      </c>
      <c r="B1082">
        <v>220</v>
      </c>
      <c r="C1082">
        <v>2</v>
      </c>
      <c r="D1082">
        <v>2020</v>
      </c>
      <c r="E1082">
        <f t="shared" si="68"/>
        <v>5</v>
      </c>
      <c r="F1082">
        <f t="shared" si="69"/>
        <v>2</v>
      </c>
      <c r="G1082">
        <f t="shared" si="70"/>
        <v>2</v>
      </c>
      <c r="H1082">
        <f t="shared" si="71"/>
        <v>522</v>
      </c>
    </row>
    <row r="1083" spans="1:8" x14ac:dyDescent="0.55000000000000004">
      <c r="A1083" s="6">
        <v>9.3126309696455844E+18</v>
      </c>
      <c r="B1083">
        <v>469</v>
      </c>
      <c r="C1083">
        <v>1</v>
      </c>
      <c r="D1083">
        <v>4845</v>
      </c>
      <c r="E1083">
        <f t="shared" si="68"/>
        <v>4</v>
      </c>
      <c r="F1083">
        <f t="shared" si="69"/>
        <v>1</v>
      </c>
      <c r="G1083">
        <f t="shared" si="70"/>
        <v>3</v>
      </c>
      <c r="H1083">
        <f t="shared" si="71"/>
        <v>413</v>
      </c>
    </row>
    <row r="1084" spans="1:8" x14ac:dyDescent="0.55000000000000004">
      <c r="A1084" s="6">
        <v>9.3141173803419034E+18</v>
      </c>
      <c r="B1084">
        <v>262</v>
      </c>
      <c r="C1084">
        <v>1</v>
      </c>
      <c r="D1084">
        <v>211</v>
      </c>
      <c r="E1084">
        <f t="shared" si="68"/>
        <v>5</v>
      </c>
      <c r="F1084">
        <f t="shared" si="69"/>
        <v>1</v>
      </c>
      <c r="G1084">
        <f t="shared" si="70"/>
        <v>1</v>
      </c>
      <c r="H1084">
        <f t="shared" si="71"/>
        <v>511</v>
      </c>
    </row>
    <row r="1085" spans="1:8" x14ac:dyDescent="0.55000000000000004">
      <c r="A1085" s="6">
        <v>9.3420725521030205E+18</v>
      </c>
      <c r="B1085">
        <v>692</v>
      </c>
      <c r="C1085">
        <v>1</v>
      </c>
      <c r="D1085">
        <v>38433</v>
      </c>
      <c r="E1085">
        <f t="shared" si="68"/>
        <v>3</v>
      </c>
      <c r="F1085">
        <f t="shared" si="69"/>
        <v>1</v>
      </c>
      <c r="G1085">
        <f t="shared" si="70"/>
        <v>3</v>
      </c>
      <c r="H1085">
        <f t="shared" si="71"/>
        <v>313</v>
      </c>
    </row>
    <row r="1086" spans="1:8" x14ac:dyDescent="0.55000000000000004">
      <c r="A1086" s="6">
        <v>9.3519854972733747E+18</v>
      </c>
      <c r="B1086">
        <v>1231</v>
      </c>
      <c r="C1086">
        <v>1</v>
      </c>
      <c r="D1086">
        <v>235</v>
      </c>
      <c r="E1086">
        <f t="shared" si="68"/>
        <v>1</v>
      </c>
      <c r="F1086">
        <f t="shared" si="69"/>
        <v>1</v>
      </c>
      <c r="G1086">
        <f t="shared" si="70"/>
        <v>1</v>
      </c>
      <c r="H1086">
        <f t="shared" si="71"/>
        <v>111</v>
      </c>
    </row>
    <row r="1087" spans="1:8" x14ac:dyDescent="0.55000000000000004">
      <c r="A1087" s="6">
        <v>9.3618116621725962E+18</v>
      </c>
      <c r="B1087">
        <v>475</v>
      </c>
      <c r="C1087">
        <v>1</v>
      </c>
      <c r="D1087">
        <v>162</v>
      </c>
      <c r="E1087">
        <f t="shared" si="68"/>
        <v>4</v>
      </c>
      <c r="F1087">
        <f t="shared" si="69"/>
        <v>1</v>
      </c>
      <c r="G1087">
        <f t="shared" si="70"/>
        <v>1</v>
      </c>
      <c r="H1087">
        <f t="shared" si="71"/>
        <v>411</v>
      </c>
    </row>
    <row r="1088" spans="1:8" x14ac:dyDescent="0.55000000000000004">
      <c r="A1088" s="6">
        <v>9.3674319387431567E+18</v>
      </c>
      <c r="B1088">
        <v>559</v>
      </c>
      <c r="C1088">
        <v>1</v>
      </c>
      <c r="D1088">
        <v>69</v>
      </c>
      <c r="E1088">
        <f t="shared" si="68"/>
        <v>4</v>
      </c>
      <c r="F1088">
        <f t="shared" si="69"/>
        <v>1</v>
      </c>
      <c r="G1088">
        <f t="shared" si="70"/>
        <v>1</v>
      </c>
      <c r="H1088">
        <f t="shared" si="71"/>
        <v>411</v>
      </c>
    </row>
    <row r="1089" spans="1:8" x14ac:dyDescent="0.55000000000000004">
      <c r="A1089" s="6">
        <v>9.3721715798642401E+18</v>
      </c>
      <c r="B1089">
        <v>790</v>
      </c>
      <c r="C1089">
        <v>1</v>
      </c>
      <c r="D1089">
        <v>305</v>
      </c>
      <c r="E1089">
        <f t="shared" si="68"/>
        <v>3</v>
      </c>
      <c r="F1089">
        <f t="shared" si="69"/>
        <v>1</v>
      </c>
      <c r="G1089">
        <f t="shared" si="70"/>
        <v>1</v>
      </c>
      <c r="H1089">
        <f t="shared" si="71"/>
        <v>311</v>
      </c>
    </row>
    <row r="1090" spans="1:8" x14ac:dyDescent="0.55000000000000004">
      <c r="A1090" s="6">
        <v>9.3759268339452088E+18</v>
      </c>
      <c r="B1090">
        <v>450</v>
      </c>
      <c r="C1090">
        <v>2</v>
      </c>
      <c r="D1090">
        <v>1024</v>
      </c>
      <c r="E1090">
        <f t="shared" si="68"/>
        <v>4</v>
      </c>
      <c r="F1090">
        <f t="shared" si="69"/>
        <v>2</v>
      </c>
      <c r="G1090">
        <f t="shared" si="70"/>
        <v>2</v>
      </c>
      <c r="H1090">
        <f t="shared" si="71"/>
        <v>422</v>
      </c>
    </row>
    <row r="1091" spans="1:8" x14ac:dyDescent="0.55000000000000004">
      <c r="A1091" s="6">
        <v>9.3935191066238013E+18</v>
      </c>
      <c r="B1091">
        <v>822</v>
      </c>
      <c r="C1091">
        <v>1</v>
      </c>
      <c r="D1091">
        <v>3670</v>
      </c>
      <c r="E1091">
        <f t="shared" ref="E1091:E1154" si="72">VLOOKUP(B1091,$K$5:$L$9,2,1)</f>
        <v>3</v>
      </c>
      <c r="F1091">
        <f t="shared" ref="F1091:F1154" si="73">VLOOKUP(C1091,$K$15:$L$17,2,1)</f>
        <v>1</v>
      </c>
      <c r="G1091">
        <f t="shared" ref="G1091:G1154" si="74">VLOOKUP(D1091,$K$24:$L$26,2,1)</f>
        <v>3</v>
      </c>
      <c r="H1091">
        <f t="shared" ref="H1091:H1154" si="75">E1091*100+F1091*10+G1091</f>
        <v>313</v>
      </c>
    </row>
    <row r="1092" spans="1:8" x14ac:dyDescent="0.55000000000000004">
      <c r="A1092" s="6">
        <v>9.4199328702490051E+18</v>
      </c>
      <c r="B1092">
        <v>456</v>
      </c>
      <c r="C1092">
        <v>1</v>
      </c>
      <c r="D1092">
        <v>25</v>
      </c>
      <c r="E1092">
        <f t="shared" si="72"/>
        <v>4</v>
      </c>
      <c r="F1092">
        <f t="shared" si="73"/>
        <v>1</v>
      </c>
      <c r="G1092">
        <f t="shared" si="74"/>
        <v>1</v>
      </c>
      <c r="H1092">
        <f t="shared" si="75"/>
        <v>411</v>
      </c>
    </row>
    <row r="1093" spans="1:8" x14ac:dyDescent="0.55000000000000004">
      <c r="A1093" s="6">
        <v>9.4208041421171077E+18</v>
      </c>
      <c r="B1093">
        <v>9</v>
      </c>
      <c r="C1093">
        <v>1</v>
      </c>
      <c r="D1093">
        <v>4034</v>
      </c>
      <c r="E1093">
        <f t="shared" si="72"/>
        <v>5</v>
      </c>
      <c r="F1093">
        <f t="shared" si="73"/>
        <v>1</v>
      </c>
      <c r="G1093">
        <f t="shared" si="74"/>
        <v>3</v>
      </c>
      <c r="H1093">
        <f t="shared" si="75"/>
        <v>513</v>
      </c>
    </row>
    <row r="1094" spans="1:8" x14ac:dyDescent="0.55000000000000004">
      <c r="A1094" s="6">
        <v>9.4244478564576563E+18</v>
      </c>
      <c r="B1094">
        <v>264</v>
      </c>
      <c r="C1094">
        <v>1</v>
      </c>
      <c r="D1094">
        <v>254</v>
      </c>
      <c r="E1094">
        <f t="shared" si="72"/>
        <v>5</v>
      </c>
      <c r="F1094">
        <f t="shared" si="73"/>
        <v>1</v>
      </c>
      <c r="G1094">
        <f t="shared" si="74"/>
        <v>1</v>
      </c>
      <c r="H1094">
        <f t="shared" si="75"/>
        <v>511</v>
      </c>
    </row>
    <row r="1095" spans="1:8" x14ac:dyDescent="0.55000000000000004">
      <c r="A1095" s="6">
        <v>9.4373128268996157E+18</v>
      </c>
      <c r="B1095">
        <v>37</v>
      </c>
      <c r="C1095">
        <v>1</v>
      </c>
      <c r="D1095">
        <v>1741</v>
      </c>
      <c r="E1095">
        <f t="shared" si="72"/>
        <v>5</v>
      </c>
      <c r="F1095">
        <f t="shared" si="73"/>
        <v>1</v>
      </c>
      <c r="G1095">
        <f t="shared" si="74"/>
        <v>2</v>
      </c>
      <c r="H1095">
        <f t="shared" si="75"/>
        <v>512</v>
      </c>
    </row>
    <row r="1096" spans="1:8" x14ac:dyDescent="0.55000000000000004">
      <c r="A1096" s="6">
        <v>9.4455062286359388E+18</v>
      </c>
      <c r="B1096">
        <v>313</v>
      </c>
      <c r="C1096">
        <v>1</v>
      </c>
      <c r="D1096">
        <v>1616</v>
      </c>
      <c r="E1096">
        <f t="shared" si="72"/>
        <v>4</v>
      </c>
      <c r="F1096">
        <f t="shared" si="73"/>
        <v>1</v>
      </c>
      <c r="G1096">
        <f t="shared" si="74"/>
        <v>2</v>
      </c>
      <c r="H1096">
        <f t="shared" si="75"/>
        <v>412</v>
      </c>
    </row>
    <row r="1097" spans="1:8" x14ac:dyDescent="0.55000000000000004">
      <c r="A1097" s="6">
        <v>9.4492502071620915E+18</v>
      </c>
      <c r="B1097">
        <v>418</v>
      </c>
      <c r="C1097">
        <v>1</v>
      </c>
      <c r="D1097">
        <v>299</v>
      </c>
      <c r="E1097">
        <f t="shared" si="72"/>
        <v>4</v>
      </c>
      <c r="F1097">
        <f t="shared" si="73"/>
        <v>1</v>
      </c>
      <c r="G1097">
        <f t="shared" si="74"/>
        <v>1</v>
      </c>
      <c r="H1097">
        <f t="shared" si="75"/>
        <v>411</v>
      </c>
    </row>
    <row r="1098" spans="1:8" x14ac:dyDescent="0.55000000000000004">
      <c r="A1098" s="6">
        <v>9.4514269476234404E+18</v>
      </c>
      <c r="B1098">
        <v>142</v>
      </c>
      <c r="C1098">
        <v>3</v>
      </c>
      <c r="D1098">
        <v>8047</v>
      </c>
      <c r="E1098">
        <f t="shared" si="72"/>
        <v>5</v>
      </c>
      <c r="F1098">
        <f t="shared" si="73"/>
        <v>3</v>
      </c>
      <c r="G1098">
        <f t="shared" si="74"/>
        <v>3</v>
      </c>
      <c r="H1098">
        <f t="shared" si="75"/>
        <v>533</v>
      </c>
    </row>
    <row r="1099" spans="1:8" x14ac:dyDescent="0.55000000000000004">
      <c r="A1099" s="6">
        <v>9.4530084499309056E+18</v>
      </c>
      <c r="B1099">
        <v>660</v>
      </c>
      <c r="C1099">
        <v>1</v>
      </c>
      <c r="D1099">
        <v>1335</v>
      </c>
      <c r="E1099">
        <f t="shared" si="72"/>
        <v>3</v>
      </c>
      <c r="F1099">
        <f t="shared" si="73"/>
        <v>1</v>
      </c>
      <c r="G1099">
        <f t="shared" si="74"/>
        <v>2</v>
      </c>
      <c r="H1099">
        <f t="shared" si="75"/>
        <v>312</v>
      </c>
    </row>
    <row r="1100" spans="1:8" x14ac:dyDescent="0.55000000000000004">
      <c r="A1100" s="6">
        <v>9.4643369197105684E+18</v>
      </c>
      <c r="B1100">
        <v>860</v>
      </c>
      <c r="C1100">
        <v>1</v>
      </c>
      <c r="D1100">
        <v>640</v>
      </c>
      <c r="E1100">
        <f t="shared" si="72"/>
        <v>3</v>
      </c>
      <c r="F1100">
        <f t="shared" si="73"/>
        <v>1</v>
      </c>
      <c r="G1100">
        <f t="shared" si="74"/>
        <v>1</v>
      </c>
      <c r="H1100">
        <f t="shared" si="75"/>
        <v>311</v>
      </c>
    </row>
    <row r="1101" spans="1:8" x14ac:dyDescent="0.55000000000000004">
      <c r="A1101" s="6">
        <v>9.4676140967001108E+18</v>
      </c>
      <c r="B1101">
        <v>46</v>
      </c>
      <c r="C1101">
        <v>2</v>
      </c>
      <c r="D1101">
        <v>6820</v>
      </c>
      <c r="E1101">
        <f t="shared" si="72"/>
        <v>5</v>
      </c>
      <c r="F1101">
        <f t="shared" si="73"/>
        <v>2</v>
      </c>
      <c r="G1101">
        <f t="shared" si="74"/>
        <v>3</v>
      </c>
      <c r="H1101">
        <f t="shared" si="75"/>
        <v>523</v>
      </c>
    </row>
    <row r="1102" spans="1:8" x14ac:dyDescent="0.55000000000000004">
      <c r="A1102" s="6">
        <v>9.4799035867052339E+18</v>
      </c>
      <c r="B1102">
        <v>1114</v>
      </c>
      <c r="C1102">
        <v>1</v>
      </c>
      <c r="D1102">
        <v>635</v>
      </c>
      <c r="E1102">
        <f t="shared" si="72"/>
        <v>2</v>
      </c>
      <c r="F1102">
        <f t="shared" si="73"/>
        <v>1</v>
      </c>
      <c r="G1102">
        <f t="shared" si="74"/>
        <v>1</v>
      </c>
      <c r="H1102">
        <f t="shared" si="75"/>
        <v>211</v>
      </c>
    </row>
    <row r="1103" spans="1:8" x14ac:dyDescent="0.55000000000000004">
      <c r="A1103" s="6">
        <v>9.4805907407423304E+18</v>
      </c>
      <c r="B1103">
        <v>45</v>
      </c>
      <c r="C1103">
        <v>7</v>
      </c>
      <c r="D1103">
        <v>5496</v>
      </c>
      <c r="E1103">
        <f t="shared" si="72"/>
        <v>5</v>
      </c>
      <c r="F1103">
        <f t="shared" si="73"/>
        <v>3</v>
      </c>
      <c r="G1103">
        <f t="shared" si="74"/>
        <v>3</v>
      </c>
      <c r="H1103">
        <f t="shared" si="75"/>
        <v>533</v>
      </c>
    </row>
    <row r="1104" spans="1:8" x14ac:dyDescent="0.55000000000000004">
      <c r="A1104" s="6">
        <v>9.485476403040895E+18</v>
      </c>
      <c r="B1104">
        <v>58</v>
      </c>
      <c r="C1104">
        <v>1</v>
      </c>
      <c r="D1104">
        <v>2594</v>
      </c>
      <c r="E1104">
        <f t="shared" si="72"/>
        <v>5</v>
      </c>
      <c r="F1104">
        <f t="shared" si="73"/>
        <v>1</v>
      </c>
      <c r="G1104">
        <f t="shared" si="74"/>
        <v>3</v>
      </c>
      <c r="H1104">
        <f t="shared" si="75"/>
        <v>513</v>
      </c>
    </row>
    <row r="1105" spans="1:8" x14ac:dyDescent="0.55000000000000004">
      <c r="A1105" s="6">
        <v>9.530727924031914E+18</v>
      </c>
      <c r="B1105">
        <v>489</v>
      </c>
      <c r="C1105">
        <v>1</v>
      </c>
      <c r="D1105">
        <v>455</v>
      </c>
      <c r="E1105">
        <f t="shared" si="72"/>
        <v>4</v>
      </c>
      <c r="F1105">
        <f t="shared" si="73"/>
        <v>1</v>
      </c>
      <c r="G1105">
        <f t="shared" si="74"/>
        <v>1</v>
      </c>
      <c r="H1105">
        <f t="shared" si="75"/>
        <v>411</v>
      </c>
    </row>
    <row r="1106" spans="1:8" x14ac:dyDescent="0.55000000000000004">
      <c r="A1106" s="6">
        <v>9.5406745447199293E+18</v>
      </c>
      <c r="B1106">
        <v>440</v>
      </c>
      <c r="C1106">
        <v>2</v>
      </c>
      <c r="D1106">
        <v>5179</v>
      </c>
      <c r="E1106">
        <f t="shared" si="72"/>
        <v>4</v>
      </c>
      <c r="F1106">
        <f t="shared" si="73"/>
        <v>2</v>
      </c>
      <c r="G1106">
        <f t="shared" si="74"/>
        <v>3</v>
      </c>
      <c r="H1106">
        <f t="shared" si="75"/>
        <v>423</v>
      </c>
    </row>
    <row r="1107" spans="1:8" x14ac:dyDescent="0.55000000000000004">
      <c r="A1107" s="6">
        <v>9.5486237307164324E+18</v>
      </c>
      <c r="B1107">
        <v>41</v>
      </c>
      <c r="C1107">
        <v>1</v>
      </c>
      <c r="D1107">
        <v>960</v>
      </c>
      <c r="E1107">
        <f t="shared" si="72"/>
        <v>5</v>
      </c>
      <c r="F1107">
        <f t="shared" si="73"/>
        <v>1</v>
      </c>
      <c r="G1107">
        <f t="shared" si="74"/>
        <v>2</v>
      </c>
      <c r="H1107">
        <f t="shared" si="75"/>
        <v>512</v>
      </c>
    </row>
    <row r="1108" spans="1:8" x14ac:dyDescent="0.55000000000000004">
      <c r="A1108" s="6">
        <v>9.5516477578069279E+18</v>
      </c>
      <c r="B1108">
        <v>884</v>
      </c>
      <c r="C1108">
        <v>1</v>
      </c>
      <c r="D1108">
        <v>3558</v>
      </c>
      <c r="E1108">
        <f t="shared" si="72"/>
        <v>2</v>
      </c>
      <c r="F1108">
        <f t="shared" si="73"/>
        <v>1</v>
      </c>
      <c r="G1108">
        <f t="shared" si="74"/>
        <v>3</v>
      </c>
      <c r="H1108">
        <f t="shared" si="75"/>
        <v>213</v>
      </c>
    </row>
    <row r="1109" spans="1:8" x14ac:dyDescent="0.55000000000000004">
      <c r="A1109" s="6">
        <v>9.5591234173917E+18</v>
      </c>
      <c r="B1109">
        <v>877</v>
      </c>
      <c r="C1109">
        <v>1</v>
      </c>
      <c r="D1109">
        <v>238</v>
      </c>
      <c r="E1109">
        <f t="shared" si="72"/>
        <v>2</v>
      </c>
      <c r="F1109">
        <f t="shared" si="73"/>
        <v>1</v>
      </c>
      <c r="G1109">
        <f t="shared" si="74"/>
        <v>1</v>
      </c>
      <c r="H1109">
        <f t="shared" si="75"/>
        <v>211</v>
      </c>
    </row>
    <row r="1110" spans="1:8" x14ac:dyDescent="0.55000000000000004">
      <c r="A1110" s="6">
        <v>9.5659590855992033E+18</v>
      </c>
      <c r="B1110">
        <v>35</v>
      </c>
      <c r="C1110">
        <v>1</v>
      </c>
      <c r="D1110">
        <v>309</v>
      </c>
      <c r="E1110">
        <f t="shared" si="72"/>
        <v>5</v>
      </c>
      <c r="F1110">
        <f t="shared" si="73"/>
        <v>1</v>
      </c>
      <c r="G1110">
        <f t="shared" si="74"/>
        <v>1</v>
      </c>
      <c r="H1110">
        <f t="shared" si="75"/>
        <v>511</v>
      </c>
    </row>
    <row r="1111" spans="1:8" x14ac:dyDescent="0.55000000000000004">
      <c r="A1111" s="6">
        <v>9.5853742423765955E+18</v>
      </c>
      <c r="B1111">
        <v>643</v>
      </c>
      <c r="C1111">
        <v>1</v>
      </c>
      <c r="D1111">
        <v>312</v>
      </c>
      <c r="E1111">
        <f t="shared" si="72"/>
        <v>3</v>
      </c>
      <c r="F1111">
        <f t="shared" si="73"/>
        <v>1</v>
      </c>
      <c r="G1111">
        <f t="shared" si="74"/>
        <v>1</v>
      </c>
      <c r="H1111">
        <f t="shared" si="75"/>
        <v>311</v>
      </c>
    </row>
    <row r="1112" spans="1:8" x14ac:dyDescent="0.55000000000000004">
      <c r="A1112" s="6">
        <v>9.5933404343184896E+18</v>
      </c>
      <c r="B1112">
        <v>412</v>
      </c>
      <c r="C1112">
        <v>1</v>
      </c>
      <c r="D1112">
        <v>147</v>
      </c>
      <c r="E1112">
        <f t="shared" si="72"/>
        <v>4</v>
      </c>
      <c r="F1112">
        <f t="shared" si="73"/>
        <v>1</v>
      </c>
      <c r="G1112">
        <f t="shared" si="74"/>
        <v>1</v>
      </c>
      <c r="H1112">
        <f t="shared" si="75"/>
        <v>411</v>
      </c>
    </row>
    <row r="1113" spans="1:8" x14ac:dyDescent="0.55000000000000004">
      <c r="A1113" s="6">
        <v>9.6017999578407936E+18</v>
      </c>
      <c r="B1113">
        <v>494</v>
      </c>
      <c r="C1113">
        <v>1</v>
      </c>
      <c r="D1113">
        <v>1420</v>
      </c>
      <c r="E1113">
        <f t="shared" si="72"/>
        <v>4</v>
      </c>
      <c r="F1113">
        <f t="shared" si="73"/>
        <v>1</v>
      </c>
      <c r="G1113">
        <f t="shared" si="74"/>
        <v>2</v>
      </c>
      <c r="H1113">
        <f t="shared" si="75"/>
        <v>412</v>
      </c>
    </row>
    <row r="1114" spans="1:8" x14ac:dyDescent="0.55000000000000004">
      <c r="A1114" s="6">
        <v>9.6122222484694364E+18</v>
      </c>
      <c r="B1114">
        <v>347</v>
      </c>
      <c r="C1114">
        <v>2</v>
      </c>
      <c r="D1114">
        <v>2144</v>
      </c>
      <c r="E1114">
        <f t="shared" si="72"/>
        <v>4</v>
      </c>
      <c r="F1114">
        <f t="shared" si="73"/>
        <v>2</v>
      </c>
      <c r="G1114">
        <f t="shared" si="74"/>
        <v>2</v>
      </c>
      <c r="H1114">
        <f t="shared" si="75"/>
        <v>422</v>
      </c>
    </row>
    <row r="1115" spans="1:8" x14ac:dyDescent="0.55000000000000004">
      <c r="A1115" s="6">
        <v>9.6222725376012984E+18</v>
      </c>
      <c r="B1115">
        <v>82</v>
      </c>
      <c r="C1115">
        <v>1</v>
      </c>
      <c r="D1115">
        <v>2380</v>
      </c>
      <c r="E1115">
        <f t="shared" si="72"/>
        <v>5</v>
      </c>
      <c r="F1115">
        <f t="shared" si="73"/>
        <v>1</v>
      </c>
      <c r="G1115">
        <f t="shared" si="74"/>
        <v>3</v>
      </c>
      <c r="H1115">
        <f t="shared" si="75"/>
        <v>513</v>
      </c>
    </row>
    <row r="1116" spans="1:8" x14ac:dyDescent="0.55000000000000004">
      <c r="A1116" s="6">
        <v>9.6234067619688038E+18</v>
      </c>
      <c r="B1116">
        <v>268</v>
      </c>
      <c r="C1116">
        <v>2</v>
      </c>
      <c r="D1116">
        <v>1830</v>
      </c>
      <c r="E1116">
        <f t="shared" si="72"/>
        <v>5</v>
      </c>
      <c r="F1116">
        <f t="shared" si="73"/>
        <v>2</v>
      </c>
      <c r="G1116">
        <f t="shared" si="74"/>
        <v>2</v>
      </c>
      <c r="H1116">
        <f t="shared" si="75"/>
        <v>522</v>
      </c>
    </row>
    <row r="1117" spans="1:8" x14ac:dyDescent="0.55000000000000004">
      <c r="A1117" s="6">
        <v>9.6290341339779236E+18</v>
      </c>
      <c r="B1117">
        <v>683</v>
      </c>
      <c r="C1117">
        <v>1</v>
      </c>
      <c r="D1117">
        <v>9477</v>
      </c>
      <c r="E1117">
        <f t="shared" si="72"/>
        <v>3</v>
      </c>
      <c r="F1117">
        <f t="shared" si="73"/>
        <v>1</v>
      </c>
      <c r="G1117">
        <f t="shared" si="74"/>
        <v>3</v>
      </c>
      <c r="H1117">
        <f t="shared" si="75"/>
        <v>313</v>
      </c>
    </row>
    <row r="1118" spans="1:8" x14ac:dyDescent="0.55000000000000004">
      <c r="A1118" s="6">
        <v>9.6321694814680187E+18</v>
      </c>
      <c r="B1118">
        <v>516</v>
      </c>
      <c r="C1118">
        <v>1</v>
      </c>
      <c r="D1118">
        <v>282</v>
      </c>
      <c r="E1118">
        <f t="shared" si="72"/>
        <v>4</v>
      </c>
      <c r="F1118">
        <f t="shared" si="73"/>
        <v>1</v>
      </c>
      <c r="G1118">
        <f t="shared" si="74"/>
        <v>1</v>
      </c>
      <c r="H1118">
        <f t="shared" si="75"/>
        <v>411</v>
      </c>
    </row>
    <row r="1119" spans="1:8" x14ac:dyDescent="0.55000000000000004">
      <c r="A1119" s="6">
        <v>9.6345036687614505E+18</v>
      </c>
      <c r="B1119">
        <v>693</v>
      </c>
      <c r="C1119">
        <v>1</v>
      </c>
      <c r="D1119">
        <v>867</v>
      </c>
      <c r="E1119">
        <f t="shared" si="72"/>
        <v>3</v>
      </c>
      <c r="F1119">
        <f t="shared" si="73"/>
        <v>1</v>
      </c>
      <c r="G1119">
        <f t="shared" si="74"/>
        <v>2</v>
      </c>
      <c r="H1119">
        <f t="shared" si="75"/>
        <v>312</v>
      </c>
    </row>
    <row r="1120" spans="1:8" x14ac:dyDescent="0.55000000000000004">
      <c r="A1120" s="6">
        <v>9.6368420175897559E+18</v>
      </c>
      <c r="B1120">
        <v>179</v>
      </c>
      <c r="C1120">
        <v>1</v>
      </c>
      <c r="D1120">
        <v>632</v>
      </c>
      <c r="E1120">
        <f t="shared" si="72"/>
        <v>5</v>
      </c>
      <c r="F1120">
        <f t="shared" si="73"/>
        <v>1</v>
      </c>
      <c r="G1120">
        <f t="shared" si="74"/>
        <v>1</v>
      </c>
      <c r="H1120">
        <f t="shared" si="75"/>
        <v>511</v>
      </c>
    </row>
    <row r="1121" spans="1:8" x14ac:dyDescent="0.55000000000000004">
      <c r="A1121" s="6">
        <v>9.6386809581655101E+18</v>
      </c>
      <c r="B1121">
        <v>428</v>
      </c>
      <c r="C1121">
        <v>1</v>
      </c>
      <c r="D1121">
        <v>869</v>
      </c>
      <c r="E1121">
        <f t="shared" si="72"/>
        <v>4</v>
      </c>
      <c r="F1121">
        <f t="shared" si="73"/>
        <v>1</v>
      </c>
      <c r="G1121">
        <f t="shared" si="74"/>
        <v>2</v>
      </c>
      <c r="H1121">
        <f t="shared" si="75"/>
        <v>412</v>
      </c>
    </row>
    <row r="1122" spans="1:8" x14ac:dyDescent="0.55000000000000004">
      <c r="A1122" s="6">
        <v>9.6444022899638211E+18</v>
      </c>
      <c r="B1122">
        <v>310</v>
      </c>
      <c r="C1122">
        <v>1</v>
      </c>
      <c r="D1122">
        <v>146</v>
      </c>
      <c r="E1122">
        <f t="shared" si="72"/>
        <v>4</v>
      </c>
      <c r="F1122">
        <f t="shared" si="73"/>
        <v>1</v>
      </c>
      <c r="G1122">
        <f t="shared" si="74"/>
        <v>1</v>
      </c>
      <c r="H1122">
        <f t="shared" si="75"/>
        <v>411</v>
      </c>
    </row>
    <row r="1123" spans="1:8" x14ac:dyDescent="0.55000000000000004">
      <c r="A1123" s="6">
        <v>9.6483656327770194E+18</v>
      </c>
      <c r="B1123">
        <v>219</v>
      </c>
      <c r="C1123">
        <v>2</v>
      </c>
      <c r="D1123">
        <v>830</v>
      </c>
      <c r="E1123">
        <f t="shared" si="72"/>
        <v>5</v>
      </c>
      <c r="F1123">
        <f t="shared" si="73"/>
        <v>2</v>
      </c>
      <c r="G1123">
        <f t="shared" si="74"/>
        <v>2</v>
      </c>
      <c r="H1123">
        <f t="shared" si="75"/>
        <v>522</v>
      </c>
    </row>
    <row r="1124" spans="1:8" x14ac:dyDescent="0.55000000000000004">
      <c r="A1124" s="6">
        <v>9.6642641141780828E+18</v>
      </c>
      <c r="B1124">
        <v>610</v>
      </c>
      <c r="C1124">
        <v>1</v>
      </c>
      <c r="D1124">
        <v>5580</v>
      </c>
      <c r="E1124">
        <f t="shared" si="72"/>
        <v>3</v>
      </c>
      <c r="F1124">
        <f t="shared" si="73"/>
        <v>1</v>
      </c>
      <c r="G1124">
        <f t="shared" si="74"/>
        <v>3</v>
      </c>
      <c r="H1124">
        <f t="shared" si="75"/>
        <v>313</v>
      </c>
    </row>
    <row r="1125" spans="1:8" x14ac:dyDescent="0.55000000000000004">
      <c r="A1125" s="6">
        <v>9.6644451978526269E+18</v>
      </c>
      <c r="B1125">
        <v>138</v>
      </c>
      <c r="C1125">
        <v>2</v>
      </c>
      <c r="D1125">
        <v>2820</v>
      </c>
      <c r="E1125">
        <f t="shared" si="72"/>
        <v>5</v>
      </c>
      <c r="F1125">
        <f t="shared" si="73"/>
        <v>2</v>
      </c>
      <c r="G1125">
        <f t="shared" si="74"/>
        <v>3</v>
      </c>
      <c r="H1125">
        <f t="shared" si="75"/>
        <v>523</v>
      </c>
    </row>
    <row r="1126" spans="1:8" x14ac:dyDescent="0.55000000000000004">
      <c r="A1126" s="6">
        <v>9.6984337750557348E+18</v>
      </c>
      <c r="B1126">
        <v>299</v>
      </c>
      <c r="C1126">
        <v>1</v>
      </c>
      <c r="D1126">
        <v>2260</v>
      </c>
      <c r="E1126">
        <f t="shared" si="72"/>
        <v>4</v>
      </c>
      <c r="F1126">
        <f t="shared" si="73"/>
        <v>1</v>
      </c>
      <c r="G1126">
        <f t="shared" si="74"/>
        <v>3</v>
      </c>
      <c r="H1126">
        <f t="shared" si="75"/>
        <v>413</v>
      </c>
    </row>
    <row r="1127" spans="1:8" x14ac:dyDescent="0.55000000000000004">
      <c r="A1127" s="6">
        <v>9.7040377157444792E+18</v>
      </c>
      <c r="B1127">
        <v>337</v>
      </c>
      <c r="C1127">
        <v>1</v>
      </c>
      <c r="D1127">
        <v>1839</v>
      </c>
      <c r="E1127">
        <f t="shared" si="72"/>
        <v>4</v>
      </c>
      <c r="F1127">
        <f t="shared" si="73"/>
        <v>1</v>
      </c>
      <c r="G1127">
        <f t="shared" si="74"/>
        <v>2</v>
      </c>
      <c r="H1127">
        <f t="shared" si="75"/>
        <v>412</v>
      </c>
    </row>
    <row r="1128" spans="1:8" x14ac:dyDescent="0.55000000000000004">
      <c r="A1128" s="6">
        <v>9.7042332944123105E+18</v>
      </c>
      <c r="B1128">
        <v>228</v>
      </c>
      <c r="C1128">
        <v>3</v>
      </c>
      <c r="D1128">
        <v>34200</v>
      </c>
      <c r="E1128">
        <f t="shared" si="72"/>
        <v>5</v>
      </c>
      <c r="F1128">
        <f t="shared" si="73"/>
        <v>3</v>
      </c>
      <c r="G1128">
        <f t="shared" si="74"/>
        <v>3</v>
      </c>
      <c r="H1128">
        <f t="shared" si="75"/>
        <v>533</v>
      </c>
    </row>
    <row r="1129" spans="1:8" x14ac:dyDescent="0.55000000000000004">
      <c r="A1129" s="6">
        <v>9.7256486500598088E+18</v>
      </c>
      <c r="B1129">
        <v>265</v>
      </c>
      <c r="C1129">
        <v>1</v>
      </c>
      <c r="D1129">
        <v>1359</v>
      </c>
      <c r="E1129">
        <f t="shared" si="72"/>
        <v>5</v>
      </c>
      <c r="F1129">
        <f t="shared" si="73"/>
        <v>1</v>
      </c>
      <c r="G1129">
        <f t="shared" si="74"/>
        <v>2</v>
      </c>
      <c r="H1129">
        <f t="shared" si="75"/>
        <v>512</v>
      </c>
    </row>
    <row r="1130" spans="1:8" x14ac:dyDescent="0.55000000000000004">
      <c r="A1130" s="6">
        <v>9.7425249189334835E+18</v>
      </c>
      <c r="B1130">
        <v>566</v>
      </c>
      <c r="C1130">
        <v>2</v>
      </c>
      <c r="D1130">
        <v>25686</v>
      </c>
      <c r="E1130">
        <f t="shared" si="72"/>
        <v>4</v>
      </c>
      <c r="F1130">
        <f t="shared" si="73"/>
        <v>2</v>
      </c>
      <c r="G1130">
        <f t="shared" si="74"/>
        <v>3</v>
      </c>
      <c r="H1130">
        <f t="shared" si="75"/>
        <v>423</v>
      </c>
    </row>
    <row r="1131" spans="1:8" x14ac:dyDescent="0.55000000000000004">
      <c r="A1131" s="6">
        <v>9.7528196234259067E+18</v>
      </c>
      <c r="B1131">
        <v>447</v>
      </c>
      <c r="C1131">
        <v>1</v>
      </c>
      <c r="D1131">
        <v>390</v>
      </c>
      <c r="E1131">
        <f t="shared" si="72"/>
        <v>4</v>
      </c>
      <c r="F1131">
        <f t="shared" si="73"/>
        <v>1</v>
      </c>
      <c r="G1131">
        <f t="shared" si="74"/>
        <v>1</v>
      </c>
      <c r="H1131">
        <f t="shared" si="75"/>
        <v>411</v>
      </c>
    </row>
    <row r="1132" spans="1:8" x14ac:dyDescent="0.55000000000000004">
      <c r="A1132" s="6">
        <v>9.7566304659651379E+18</v>
      </c>
      <c r="B1132">
        <v>574</v>
      </c>
      <c r="C1132">
        <v>1</v>
      </c>
      <c r="D1132">
        <v>37</v>
      </c>
      <c r="E1132">
        <f t="shared" si="72"/>
        <v>4</v>
      </c>
      <c r="F1132">
        <f t="shared" si="73"/>
        <v>1</v>
      </c>
      <c r="G1132">
        <f t="shared" si="74"/>
        <v>1</v>
      </c>
      <c r="H1132">
        <f t="shared" si="75"/>
        <v>411</v>
      </c>
    </row>
    <row r="1133" spans="1:8" x14ac:dyDescent="0.55000000000000004">
      <c r="A1133" s="6">
        <v>9.771607642693548E+18</v>
      </c>
      <c r="B1133">
        <v>504</v>
      </c>
      <c r="C1133">
        <v>2</v>
      </c>
      <c r="D1133">
        <v>6278</v>
      </c>
      <c r="E1133">
        <f t="shared" si="72"/>
        <v>4</v>
      </c>
      <c r="F1133">
        <f t="shared" si="73"/>
        <v>2</v>
      </c>
      <c r="G1133">
        <f t="shared" si="74"/>
        <v>3</v>
      </c>
      <c r="H1133">
        <f t="shared" si="75"/>
        <v>423</v>
      </c>
    </row>
    <row r="1134" spans="1:8" x14ac:dyDescent="0.55000000000000004">
      <c r="A1134" s="6">
        <v>9.7780975587307356E+18</v>
      </c>
      <c r="B1134">
        <v>844</v>
      </c>
      <c r="C1134">
        <v>2</v>
      </c>
      <c r="D1134">
        <v>2515</v>
      </c>
      <c r="E1134">
        <f t="shared" si="72"/>
        <v>3</v>
      </c>
      <c r="F1134">
        <f t="shared" si="73"/>
        <v>2</v>
      </c>
      <c r="G1134">
        <f t="shared" si="74"/>
        <v>3</v>
      </c>
      <c r="H1134">
        <f t="shared" si="75"/>
        <v>323</v>
      </c>
    </row>
    <row r="1135" spans="1:8" x14ac:dyDescent="0.55000000000000004">
      <c r="A1135" s="6">
        <v>9.7783392705113784E+18</v>
      </c>
      <c r="B1135">
        <v>248</v>
      </c>
      <c r="C1135">
        <v>3</v>
      </c>
      <c r="D1135">
        <v>1361</v>
      </c>
      <c r="E1135">
        <f t="shared" si="72"/>
        <v>5</v>
      </c>
      <c r="F1135">
        <f t="shared" si="73"/>
        <v>3</v>
      </c>
      <c r="G1135">
        <f t="shared" si="74"/>
        <v>2</v>
      </c>
      <c r="H1135">
        <f t="shared" si="75"/>
        <v>532</v>
      </c>
    </row>
    <row r="1136" spans="1:8" x14ac:dyDescent="0.55000000000000004">
      <c r="A1136" s="6">
        <v>9.7965584736728637E+18</v>
      </c>
      <c r="B1136">
        <v>137</v>
      </c>
      <c r="C1136">
        <v>1</v>
      </c>
      <c r="D1136">
        <v>4632</v>
      </c>
      <c r="E1136">
        <f t="shared" si="72"/>
        <v>5</v>
      </c>
      <c r="F1136">
        <f t="shared" si="73"/>
        <v>1</v>
      </c>
      <c r="G1136">
        <f t="shared" si="74"/>
        <v>3</v>
      </c>
      <c r="H1136">
        <f t="shared" si="75"/>
        <v>513</v>
      </c>
    </row>
    <row r="1137" spans="1:8" x14ac:dyDescent="0.55000000000000004">
      <c r="A1137" s="6">
        <v>9.8017052863253606E+18</v>
      </c>
      <c r="B1137">
        <v>1296</v>
      </c>
      <c r="C1137">
        <v>1</v>
      </c>
      <c r="D1137">
        <v>1374</v>
      </c>
      <c r="E1137">
        <f t="shared" si="72"/>
        <v>1</v>
      </c>
      <c r="F1137">
        <f t="shared" si="73"/>
        <v>1</v>
      </c>
      <c r="G1137">
        <f t="shared" si="74"/>
        <v>2</v>
      </c>
      <c r="H1137">
        <f t="shared" si="75"/>
        <v>112</v>
      </c>
    </row>
    <row r="1138" spans="1:8" x14ac:dyDescent="0.55000000000000004">
      <c r="A1138" s="6">
        <v>9.8054516504646656E+18</v>
      </c>
      <c r="B1138">
        <v>597</v>
      </c>
      <c r="C1138">
        <v>1</v>
      </c>
      <c r="D1138">
        <v>3399</v>
      </c>
      <c r="E1138">
        <f t="shared" si="72"/>
        <v>3</v>
      </c>
      <c r="F1138">
        <f t="shared" si="73"/>
        <v>1</v>
      </c>
      <c r="G1138">
        <f t="shared" si="74"/>
        <v>3</v>
      </c>
      <c r="H1138">
        <f t="shared" si="75"/>
        <v>313</v>
      </c>
    </row>
    <row r="1139" spans="1:8" x14ac:dyDescent="0.55000000000000004">
      <c r="A1139" s="6">
        <v>9.8164444941960991E+18</v>
      </c>
      <c r="B1139">
        <v>500</v>
      </c>
      <c r="C1139">
        <v>2</v>
      </c>
      <c r="D1139">
        <v>3842</v>
      </c>
      <c r="E1139">
        <f t="shared" si="72"/>
        <v>4</v>
      </c>
      <c r="F1139">
        <f t="shared" si="73"/>
        <v>2</v>
      </c>
      <c r="G1139">
        <f t="shared" si="74"/>
        <v>3</v>
      </c>
      <c r="H1139">
        <f t="shared" si="75"/>
        <v>423</v>
      </c>
    </row>
    <row r="1140" spans="1:8" x14ac:dyDescent="0.55000000000000004">
      <c r="A1140" s="6">
        <v>9.8187111120081879E+18</v>
      </c>
      <c r="B1140">
        <v>215</v>
      </c>
      <c r="C1140">
        <v>1</v>
      </c>
      <c r="D1140">
        <v>2690</v>
      </c>
      <c r="E1140">
        <f t="shared" si="72"/>
        <v>5</v>
      </c>
      <c r="F1140">
        <f t="shared" si="73"/>
        <v>1</v>
      </c>
      <c r="G1140">
        <f t="shared" si="74"/>
        <v>3</v>
      </c>
      <c r="H1140">
        <f t="shared" si="75"/>
        <v>513</v>
      </c>
    </row>
    <row r="1141" spans="1:8" x14ac:dyDescent="0.55000000000000004">
      <c r="A1141" s="6">
        <v>9.8205187287879721E+18</v>
      </c>
      <c r="B1141">
        <v>722</v>
      </c>
      <c r="C1141">
        <v>1</v>
      </c>
      <c r="D1141">
        <v>3081</v>
      </c>
      <c r="E1141">
        <f t="shared" si="72"/>
        <v>3</v>
      </c>
      <c r="F1141">
        <f t="shared" si="73"/>
        <v>1</v>
      </c>
      <c r="G1141">
        <f t="shared" si="74"/>
        <v>3</v>
      </c>
      <c r="H1141">
        <f t="shared" si="75"/>
        <v>313</v>
      </c>
    </row>
    <row r="1142" spans="1:8" x14ac:dyDescent="0.55000000000000004">
      <c r="A1142" s="6">
        <v>9.8583348048057221E+18</v>
      </c>
      <c r="B1142">
        <v>1274</v>
      </c>
      <c r="C1142">
        <v>1</v>
      </c>
      <c r="D1142">
        <v>55</v>
      </c>
      <c r="E1142">
        <f t="shared" si="72"/>
        <v>1</v>
      </c>
      <c r="F1142">
        <f t="shared" si="73"/>
        <v>1</v>
      </c>
      <c r="G1142">
        <f t="shared" si="74"/>
        <v>1</v>
      </c>
      <c r="H1142">
        <f t="shared" si="75"/>
        <v>111</v>
      </c>
    </row>
    <row r="1143" spans="1:8" x14ac:dyDescent="0.55000000000000004">
      <c r="A1143" s="6">
        <v>9.8594125700887286E+18</v>
      </c>
      <c r="B1143">
        <v>1135</v>
      </c>
      <c r="C1143">
        <v>1</v>
      </c>
      <c r="D1143">
        <v>1307</v>
      </c>
      <c r="E1143">
        <f t="shared" si="72"/>
        <v>2</v>
      </c>
      <c r="F1143">
        <f t="shared" si="73"/>
        <v>1</v>
      </c>
      <c r="G1143">
        <f t="shared" si="74"/>
        <v>2</v>
      </c>
      <c r="H1143">
        <f t="shared" si="75"/>
        <v>212</v>
      </c>
    </row>
    <row r="1144" spans="1:8" x14ac:dyDescent="0.55000000000000004">
      <c r="A1144" s="6">
        <v>9.876101599355945E+18</v>
      </c>
      <c r="B1144">
        <v>731</v>
      </c>
      <c r="C1144">
        <v>1</v>
      </c>
      <c r="D1144">
        <v>490</v>
      </c>
      <c r="E1144">
        <f t="shared" si="72"/>
        <v>3</v>
      </c>
      <c r="F1144">
        <f t="shared" si="73"/>
        <v>1</v>
      </c>
      <c r="G1144">
        <f t="shared" si="74"/>
        <v>1</v>
      </c>
      <c r="H1144">
        <f t="shared" si="75"/>
        <v>311</v>
      </c>
    </row>
    <row r="1145" spans="1:8" x14ac:dyDescent="0.55000000000000004">
      <c r="A1145" s="6">
        <v>9.8779459301162066E+18</v>
      </c>
      <c r="B1145">
        <v>445</v>
      </c>
      <c r="C1145">
        <v>1</v>
      </c>
      <c r="D1145">
        <v>690</v>
      </c>
      <c r="E1145">
        <f t="shared" si="72"/>
        <v>4</v>
      </c>
      <c r="F1145">
        <f t="shared" si="73"/>
        <v>1</v>
      </c>
      <c r="G1145">
        <f t="shared" si="74"/>
        <v>2</v>
      </c>
      <c r="H1145">
        <f t="shared" si="75"/>
        <v>412</v>
      </c>
    </row>
    <row r="1146" spans="1:8" x14ac:dyDescent="0.55000000000000004">
      <c r="A1146" s="6">
        <v>9.8964021860478259E+18</v>
      </c>
      <c r="B1146">
        <v>1035</v>
      </c>
      <c r="C1146">
        <v>1</v>
      </c>
      <c r="D1146">
        <v>156</v>
      </c>
      <c r="E1146">
        <f t="shared" si="72"/>
        <v>2</v>
      </c>
      <c r="F1146">
        <f t="shared" si="73"/>
        <v>1</v>
      </c>
      <c r="G1146">
        <f t="shared" si="74"/>
        <v>1</v>
      </c>
      <c r="H1146">
        <f t="shared" si="75"/>
        <v>211</v>
      </c>
    </row>
    <row r="1147" spans="1:8" x14ac:dyDescent="0.55000000000000004">
      <c r="A1147" s="6">
        <v>9.9012415893607588E+18</v>
      </c>
      <c r="B1147">
        <v>40</v>
      </c>
      <c r="C1147">
        <v>2</v>
      </c>
      <c r="D1147">
        <v>1577</v>
      </c>
      <c r="E1147">
        <f t="shared" si="72"/>
        <v>5</v>
      </c>
      <c r="F1147">
        <f t="shared" si="73"/>
        <v>2</v>
      </c>
      <c r="G1147">
        <f t="shared" si="74"/>
        <v>2</v>
      </c>
      <c r="H1147">
        <f t="shared" si="75"/>
        <v>522</v>
      </c>
    </row>
    <row r="1148" spans="1:8" x14ac:dyDescent="0.55000000000000004">
      <c r="A1148" s="6">
        <v>9.9043953447114916E+18</v>
      </c>
      <c r="B1148">
        <v>104</v>
      </c>
      <c r="C1148">
        <v>2</v>
      </c>
      <c r="D1148">
        <v>2521</v>
      </c>
      <c r="E1148">
        <f t="shared" si="72"/>
        <v>5</v>
      </c>
      <c r="F1148">
        <f t="shared" si="73"/>
        <v>2</v>
      </c>
      <c r="G1148">
        <f t="shared" si="74"/>
        <v>3</v>
      </c>
      <c r="H1148">
        <f t="shared" si="75"/>
        <v>523</v>
      </c>
    </row>
    <row r="1149" spans="1:8" x14ac:dyDescent="0.55000000000000004">
      <c r="A1149" s="6">
        <v>9.9205548463903089E+18</v>
      </c>
      <c r="B1149">
        <v>1069</v>
      </c>
      <c r="C1149">
        <v>1</v>
      </c>
      <c r="D1149">
        <v>331</v>
      </c>
      <c r="E1149">
        <f t="shared" si="72"/>
        <v>2</v>
      </c>
      <c r="F1149">
        <f t="shared" si="73"/>
        <v>1</v>
      </c>
      <c r="G1149">
        <f t="shared" si="74"/>
        <v>1</v>
      </c>
      <c r="H1149">
        <f t="shared" si="75"/>
        <v>211</v>
      </c>
    </row>
    <row r="1150" spans="1:8" x14ac:dyDescent="0.55000000000000004">
      <c r="A1150" s="6">
        <v>9.925676577248469E+18</v>
      </c>
      <c r="B1150">
        <v>1130</v>
      </c>
      <c r="C1150">
        <v>1</v>
      </c>
      <c r="D1150">
        <v>206</v>
      </c>
      <c r="E1150">
        <f t="shared" si="72"/>
        <v>2</v>
      </c>
      <c r="F1150">
        <f t="shared" si="73"/>
        <v>1</v>
      </c>
      <c r="G1150">
        <f t="shared" si="74"/>
        <v>1</v>
      </c>
      <c r="H1150">
        <f t="shared" si="75"/>
        <v>211</v>
      </c>
    </row>
    <row r="1151" spans="1:8" x14ac:dyDescent="0.55000000000000004">
      <c r="A1151" s="6">
        <v>9.946256903831636E+18</v>
      </c>
      <c r="B1151">
        <v>386</v>
      </c>
      <c r="C1151">
        <v>1</v>
      </c>
      <c r="D1151">
        <v>141</v>
      </c>
      <c r="E1151">
        <f t="shared" si="72"/>
        <v>4</v>
      </c>
      <c r="F1151">
        <f t="shared" si="73"/>
        <v>1</v>
      </c>
      <c r="G1151">
        <f t="shared" si="74"/>
        <v>1</v>
      </c>
      <c r="H1151">
        <f t="shared" si="75"/>
        <v>411</v>
      </c>
    </row>
    <row r="1152" spans="1:8" x14ac:dyDescent="0.55000000000000004">
      <c r="A1152" s="6">
        <v>9.9662904005672284E+18</v>
      </c>
      <c r="B1152">
        <v>299</v>
      </c>
      <c r="C1152">
        <v>1</v>
      </c>
      <c r="D1152">
        <v>3966</v>
      </c>
      <c r="E1152">
        <f t="shared" si="72"/>
        <v>4</v>
      </c>
      <c r="F1152">
        <f t="shared" si="73"/>
        <v>1</v>
      </c>
      <c r="G1152">
        <f t="shared" si="74"/>
        <v>3</v>
      </c>
      <c r="H1152">
        <f t="shared" si="75"/>
        <v>413</v>
      </c>
    </row>
    <row r="1153" spans="1:8" x14ac:dyDescent="0.55000000000000004">
      <c r="A1153" s="6">
        <v>9.968207945847255E+18</v>
      </c>
      <c r="B1153">
        <v>1083</v>
      </c>
      <c r="C1153">
        <v>1</v>
      </c>
      <c r="D1153">
        <v>407</v>
      </c>
      <c r="E1153">
        <f t="shared" si="72"/>
        <v>2</v>
      </c>
      <c r="F1153">
        <f t="shared" si="73"/>
        <v>1</v>
      </c>
      <c r="G1153">
        <f t="shared" si="74"/>
        <v>1</v>
      </c>
      <c r="H1153">
        <f t="shared" si="75"/>
        <v>211</v>
      </c>
    </row>
    <row r="1154" spans="1:8" x14ac:dyDescent="0.55000000000000004">
      <c r="A1154" s="6">
        <v>9.9765413218044355E+18</v>
      </c>
      <c r="B1154">
        <v>366</v>
      </c>
      <c r="C1154">
        <v>1</v>
      </c>
      <c r="D1154">
        <v>494</v>
      </c>
      <c r="E1154">
        <f t="shared" si="72"/>
        <v>4</v>
      </c>
      <c r="F1154">
        <f t="shared" si="73"/>
        <v>1</v>
      </c>
      <c r="G1154">
        <f t="shared" si="74"/>
        <v>1</v>
      </c>
      <c r="H1154">
        <f t="shared" si="75"/>
        <v>411</v>
      </c>
    </row>
    <row r="1155" spans="1:8" x14ac:dyDescent="0.55000000000000004">
      <c r="A1155" s="6">
        <v>9.9885827118705459E+18</v>
      </c>
      <c r="B1155">
        <v>635</v>
      </c>
      <c r="C1155">
        <v>1</v>
      </c>
      <c r="D1155">
        <v>8547</v>
      </c>
      <c r="E1155">
        <f t="shared" ref="E1155:E1218" si="76">VLOOKUP(B1155,$K$5:$L$9,2,1)</f>
        <v>3</v>
      </c>
      <c r="F1155">
        <f t="shared" ref="F1155:F1218" si="77">VLOOKUP(C1155,$K$15:$L$17,2,1)</f>
        <v>1</v>
      </c>
      <c r="G1155">
        <f t="shared" ref="G1155:G1218" si="78">VLOOKUP(D1155,$K$24:$L$26,2,1)</f>
        <v>3</v>
      </c>
      <c r="H1155">
        <f t="shared" ref="H1155:H1218" si="79">E1155*100+F1155*10+G1155</f>
        <v>313</v>
      </c>
    </row>
    <row r="1156" spans="1:8" x14ac:dyDescent="0.55000000000000004">
      <c r="A1156" s="6">
        <v>9.9893236953326203E+18</v>
      </c>
      <c r="B1156">
        <v>24</v>
      </c>
      <c r="C1156">
        <v>1</v>
      </c>
      <c r="D1156">
        <v>1440</v>
      </c>
      <c r="E1156">
        <f t="shared" si="76"/>
        <v>5</v>
      </c>
      <c r="F1156">
        <f t="shared" si="77"/>
        <v>1</v>
      </c>
      <c r="G1156">
        <f t="shared" si="78"/>
        <v>2</v>
      </c>
      <c r="H1156">
        <f t="shared" si="79"/>
        <v>512</v>
      </c>
    </row>
    <row r="1157" spans="1:8" x14ac:dyDescent="0.55000000000000004">
      <c r="A1157" s="6">
        <v>1.0004754062795839E+19</v>
      </c>
      <c r="B1157">
        <v>157</v>
      </c>
      <c r="C1157">
        <v>1</v>
      </c>
      <c r="D1157">
        <v>1947</v>
      </c>
      <c r="E1157">
        <f t="shared" si="76"/>
        <v>5</v>
      </c>
      <c r="F1157">
        <f t="shared" si="77"/>
        <v>1</v>
      </c>
      <c r="G1157">
        <f t="shared" si="78"/>
        <v>2</v>
      </c>
      <c r="H1157">
        <f t="shared" si="79"/>
        <v>512</v>
      </c>
    </row>
    <row r="1158" spans="1:8" x14ac:dyDescent="0.55000000000000004">
      <c r="A1158" s="6">
        <v>1.000893489261431E+19</v>
      </c>
      <c r="B1158">
        <v>45</v>
      </c>
      <c r="C1158">
        <v>2</v>
      </c>
      <c r="D1158">
        <v>1996</v>
      </c>
      <c r="E1158">
        <f t="shared" si="76"/>
        <v>5</v>
      </c>
      <c r="F1158">
        <f t="shared" si="77"/>
        <v>2</v>
      </c>
      <c r="G1158">
        <f t="shared" si="78"/>
        <v>2</v>
      </c>
      <c r="H1158">
        <f t="shared" si="79"/>
        <v>522</v>
      </c>
    </row>
    <row r="1159" spans="1:8" x14ac:dyDescent="0.55000000000000004">
      <c r="A1159" s="6">
        <v>1.002818524851295E+19</v>
      </c>
      <c r="B1159">
        <v>43</v>
      </c>
      <c r="C1159">
        <v>2</v>
      </c>
      <c r="D1159">
        <v>14647</v>
      </c>
      <c r="E1159">
        <f t="shared" si="76"/>
        <v>5</v>
      </c>
      <c r="F1159">
        <f t="shared" si="77"/>
        <v>2</v>
      </c>
      <c r="G1159">
        <f t="shared" si="78"/>
        <v>3</v>
      </c>
      <c r="H1159">
        <f t="shared" si="79"/>
        <v>523</v>
      </c>
    </row>
    <row r="1160" spans="1:8" x14ac:dyDescent="0.55000000000000004">
      <c r="A1160" s="6">
        <v>1.0033077588166869E+19</v>
      </c>
      <c r="B1160">
        <v>319</v>
      </c>
      <c r="C1160">
        <v>1</v>
      </c>
      <c r="D1160">
        <v>199</v>
      </c>
      <c r="E1160">
        <f t="shared" si="76"/>
        <v>4</v>
      </c>
      <c r="F1160">
        <f t="shared" si="77"/>
        <v>1</v>
      </c>
      <c r="G1160">
        <f t="shared" si="78"/>
        <v>1</v>
      </c>
      <c r="H1160">
        <f t="shared" si="79"/>
        <v>411</v>
      </c>
    </row>
    <row r="1161" spans="1:8" x14ac:dyDescent="0.55000000000000004">
      <c r="A1161" s="6">
        <v>1.0033289922119229E+19</v>
      </c>
      <c r="B1161">
        <v>516</v>
      </c>
      <c r="C1161">
        <v>1</v>
      </c>
      <c r="D1161">
        <v>1319</v>
      </c>
      <c r="E1161">
        <f t="shared" si="76"/>
        <v>4</v>
      </c>
      <c r="F1161">
        <f t="shared" si="77"/>
        <v>1</v>
      </c>
      <c r="G1161">
        <f t="shared" si="78"/>
        <v>2</v>
      </c>
      <c r="H1161">
        <f t="shared" si="79"/>
        <v>412</v>
      </c>
    </row>
    <row r="1162" spans="1:8" x14ac:dyDescent="0.55000000000000004">
      <c r="A1162" s="6">
        <v>1.004436856264552E+19</v>
      </c>
      <c r="B1162">
        <v>173</v>
      </c>
      <c r="C1162">
        <v>4</v>
      </c>
      <c r="D1162">
        <v>7152</v>
      </c>
      <c r="E1162">
        <f t="shared" si="76"/>
        <v>5</v>
      </c>
      <c r="F1162">
        <f t="shared" si="77"/>
        <v>3</v>
      </c>
      <c r="G1162">
        <f t="shared" si="78"/>
        <v>3</v>
      </c>
      <c r="H1162">
        <f t="shared" si="79"/>
        <v>533</v>
      </c>
    </row>
    <row r="1163" spans="1:8" x14ac:dyDescent="0.55000000000000004">
      <c r="A1163" s="6">
        <v>1.006248546800275E+19</v>
      </c>
      <c r="B1163">
        <v>775</v>
      </c>
      <c r="C1163">
        <v>1</v>
      </c>
      <c r="D1163">
        <v>1320</v>
      </c>
      <c r="E1163">
        <f t="shared" si="76"/>
        <v>3</v>
      </c>
      <c r="F1163">
        <f t="shared" si="77"/>
        <v>1</v>
      </c>
      <c r="G1163">
        <f t="shared" si="78"/>
        <v>2</v>
      </c>
      <c r="H1163">
        <f t="shared" si="79"/>
        <v>312</v>
      </c>
    </row>
    <row r="1164" spans="1:8" x14ac:dyDescent="0.55000000000000004">
      <c r="A1164" s="6">
        <v>1.0069732117183441E+19</v>
      </c>
      <c r="B1164">
        <v>112</v>
      </c>
      <c r="C1164">
        <v>1</v>
      </c>
      <c r="D1164">
        <v>2670</v>
      </c>
      <c r="E1164">
        <f t="shared" si="76"/>
        <v>5</v>
      </c>
      <c r="F1164">
        <f t="shared" si="77"/>
        <v>1</v>
      </c>
      <c r="G1164">
        <f t="shared" si="78"/>
        <v>3</v>
      </c>
      <c r="H1164">
        <f t="shared" si="79"/>
        <v>513</v>
      </c>
    </row>
    <row r="1165" spans="1:8" x14ac:dyDescent="0.55000000000000004">
      <c r="A1165" s="6">
        <v>1.008134325216351E+19</v>
      </c>
      <c r="B1165">
        <v>325</v>
      </c>
      <c r="C1165">
        <v>1</v>
      </c>
      <c r="D1165">
        <v>718</v>
      </c>
      <c r="E1165">
        <f t="shared" si="76"/>
        <v>4</v>
      </c>
      <c r="F1165">
        <f t="shared" si="77"/>
        <v>1</v>
      </c>
      <c r="G1165">
        <f t="shared" si="78"/>
        <v>2</v>
      </c>
      <c r="H1165">
        <f t="shared" si="79"/>
        <v>412</v>
      </c>
    </row>
    <row r="1166" spans="1:8" x14ac:dyDescent="0.55000000000000004">
      <c r="A1166" s="6">
        <v>1.008690972992922E+19</v>
      </c>
      <c r="B1166">
        <v>1147</v>
      </c>
      <c r="C1166">
        <v>1</v>
      </c>
      <c r="D1166">
        <v>3591</v>
      </c>
      <c r="E1166">
        <f t="shared" si="76"/>
        <v>2</v>
      </c>
      <c r="F1166">
        <f t="shared" si="77"/>
        <v>1</v>
      </c>
      <c r="G1166">
        <f t="shared" si="78"/>
        <v>3</v>
      </c>
      <c r="H1166">
        <f t="shared" si="79"/>
        <v>213</v>
      </c>
    </row>
    <row r="1167" spans="1:8" x14ac:dyDescent="0.55000000000000004">
      <c r="A1167" s="6">
        <v>1.0094740595714761E+19</v>
      </c>
      <c r="B1167">
        <v>314</v>
      </c>
      <c r="C1167">
        <v>1</v>
      </c>
      <c r="D1167">
        <v>270</v>
      </c>
      <c r="E1167">
        <f t="shared" si="76"/>
        <v>4</v>
      </c>
      <c r="F1167">
        <f t="shared" si="77"/>
        <v>1</v>
      </c>
      <c r="G1167">
        <f t="shared" si="78"/>
        <v>1</v>
      </c>
      <c r="H1167">
        <f t="shared" si="79"/>
        <v>411</v>
      </c>
    </row>
    <row r="1168" spans="1:8" x14ac:dyDescent="0.55000000000000004">
      <c r="A1168" s="6">
        <v>1.010084852275994E+19</v>
      </c>
      <c r="B1168">
        <v>120</v>
      </c>
      <c r="C1168">
        <v>5</v>
      </c>
      <c r="D1168">
        <v>11574</v>
      </c>
      <c r="E1168">
        <f t="shared" si="76"/>
        <v>5</v>
      </c>
      <c r="F1168">
        <f t="shared" si="77"/>
        <v>3</v>
      </c>
      <c r="G1168">
        <f t="shared" si="78"/>
        <v>3</v>
      </c>
      <c r="H1168">
        <f t="shared" si="79"/>
        <v>533</v>
      </c>
    </row>
    <row r="1169" spans="1:8" x14ac:dyDescent="0.55000000000000004">
      <c r="A1169" s="6">
        <v>1.0101712164839559E+19</v>
      </c>
      <c r="B1169">
        <v>423</v>
      </c>
      <c r="C1169">
        <v>1</v>
      </c>
      <c r="D1169">
        <v>363</v>
      </c>
      <c r="E1169">
        <f t="shared" si="76"/>
        <v>4</v>
      </c>
      <c r="F1169">
        <f t="shared" si="77"/>
        <v>1</v>
      </c>
      <c r="G1169">
        <f t="shared" si="78"/>
        <v>1</v>
      </c>
      <c r="H1169">
        <f t="shared" si="79"/>
        <v>411</v>
      </c>
    </row>
    <row r="1170" spans="1:8" x14ac:dyDescent="0.55000000000000004">
      <c r="A1170" s="6">
        <v>1.010356609631957E+19</v>
      </c>
      <c r="B1170">
        <v>253</v>
      </c>
      <c r="C1170">
        <v>3</v>
      </c>
      <c r="D1170">
        <v>1573</v>
      </c>
      <c r="E1170">
        <f t="shared" si="76"/>
        <v>5</v>
      </c>
      <c r="F1170">
        <f t="shared" si="77"/>
        <v>3</v>
      </c>
      <c r="G1170">
        <f t="shared" si="78"/>
        <v>2</v>
      </c>
      <c r="H1170">
        <f t="shared" si="79"/>
        <v>532</v>
      </c>
    </row>
    <row r="1171" spans="1:8" x14ac:dyDescent="0.55000000000000004">
      <c r="A1171" s="6">
        <v>1.0106165432899029E+19</v>
      </c>
      <c r="B1171">
        <v>486</v>
      </c>
      <c r="C1171">
        <v>1</v>
      </c>
      <c r="D1171">
        <v>803</v>
      </c>
      <c r="E1171">
        <f t="shared" si="76"/>
        <v>4</v>
      </c>
      <c r="F1171">
        <f t="shared" si="77"/>
        <v>1</v>
      </c>
      <c r="G1171">
        <f t="shared" si="78"/>
        <v>2</v>
      </c>
      <c r="H1171">
        <f t="shared" si="79"/>
        <v>412</v>
      </c>
    </row>
    <row r="1172" spans="1:8" x14ac:dyDescent="0.55000000000000004">
      <c r="A1172" s="6">
        <v>1.0124995188450449E+19</v>
      </c>
      <c r="B1172">
        <v>398</v>
      </c>
      <c r="C1172">
        <v>2</v>
      </c>
      <c r="D1172">
        <v>24766</v>
      </c>
      <c r="E1172">
        <f t="shared" si="76"/>
        <v>4</v>
      </c>
      <c r="F1172">
        <f t="shared" si="77"/>
        <v>2</v>
      </c>
      <c r="G1172">
        <f t="shared" si="78"/>
        <v>3</v>
      </c>
      <c r="H1172">
        <f t="shared" si="79"/>
        <v>423</v>
      </c>
    </row>
    <row r="1173" spans="1:8" x14ac:dyDescent="0.55000000000000004">
      <c r="A1173" s="6">
        <v>1.0142052197562481E+19</v>
      </c>
      <c r="B1173">
        <v>60</v>
      </c>
      <c r="C1173">
        <v>2</v>
      </c>
      <c r="D1173">
        <v>7940</v>
      </c>
      <c r="E1173">
        <f t="shared" si="76"/>
        <v>5</v>
      </c>
      <c r="F1173">
        <f t="shared" si="77"/>
        <v>2</v>
      </c>
      <c r="G1173">
        <f t="shared" si="78"/>
        <v>3</v>
      </c>
      <c r="H1173">
        <f t="shared" si="79"/>
        <v>523</v>
      </c>
    </row>
    <row r="1174" spans="1:8" x14ac:dyDescent="0.55000000000000004">
      <c r="A1174" s="6">
        <v>1.0144809785486309E+19</v>
      </c>
      <c r="B1174">
        <v>660</v>
      </c>
      <c r="C1174">
        <v>1</v>
      </c>
      <c r="D1174">
        <v>13815</v>
      </c>
      <c r="E1174">
        <f t="shared" si="76"/>
        <v>3</v>
      </c>
      <c r="F1174">
        <f t="shared" si="77"/>
        <v>1</v>
      </c>
      <c r="G1174">
        <f t="shared" si="78"/>
        <v>3</v>
      </c>
      <c r="H1174">
        <f t="shared" si="79"/>
        <v>313</v>
      </c>
    </row>
    <row r="1175" spans="1:8" x14ac:dyDescent="0.55000000000000004">
      <c r="A1175" s="6">
        <v>1.015165737764199E+19</v>
      </c>
      <c r="B1175">
        <v>104</v>
      </c>
      <c r="C1175">
        <v>2</v>
      </c>
      <c r="D1175">
        <v>4522</v>
      </c>
      <c r="E1175">
        <f t="shared" si="76"/>
        <v>5</v>
      </c>
      <c r="F1175">
        <f t="shared" si="77"/>
        <v>2</v>
      </c>
      <c r="G1175">
        <f t="shared" si="78"/>
        <v>3</v>
      </c>
      <c r="H1175">
        <f t="shared" si="79"/>
        <v>523</v>
      </c>
    </row>
    <row r="1176" spans="1:8" x14ac:dyDescent="0.55000000000000004">
      <c r="A1176" s="6">
        <v>1.0162945802526751E+19</v>
      </c>
      <c r="B1176">
        <v>389</v>
      </c>
      <c r="C1176">
        <v>1</v>
      </c>
      <c r="D1176">
        <v>565</v>
      </c>
      <c r="E1176">
        <f t="shared" si="76"/>
        <v>4</v>
      </c>
      <c r="F1176">
        <f t="shared" si="77"/>
        <v>1</v>
      </c>
      <c r="G1176">
        <f t="shared" si="78"/>
        <v>1</v>
      </c>
      <c r="H1176">
        <f t="shared" si="79"/>
        <v>411</v>
      </c>
    </row>
    <row r="1177" spans="1:8" x14ac:dyDescent="0.55000000000000004">
      <c r="A1177" s="6">
        <v>1.017263899543826E+19</v>
      </c>
      <c r="B1177">
        <v>27</v>
      </c>
      <c r="C1177">
        <v>1</v>
      </c>
      <c r="D1177">
        <v>1152</v>
      </c>
      <c r="E1177">
        <f t="shared" si="76"/>
        <v>5</v>
      </c>
      <c r="F1177">
        <f t="shared" si="77"/>
        <v>1</v>
      </c>
      <c r="G1177">
        <f t="shared" si="78"/>
        <v>2</v>
      </c>
      <c r="H1177">
        <f t="shared" si="79"/>
        <v>512</v>
      </c>
    </row>
    <row r="1178" spans="1:8" x14ac:dyDescent="0.55000000000000004">
      <c r="A1178" s="6">
        <v>1.0205499400559471E+19</v>
      </c>
      <c r="B1178">
        <v>699</v>
      </c>
      <c r="C1178">
        <v>1</v>
      </c>
      <c r="D1178">
        <v>3977</v>
      </c>
      <c r="E1178">
        <f t="shared" si="76"/>
        <v>3</v>
      </c>
      <c r="F1178">
        <f t="shared" si="77"/>
        <v>1</v>
      </c>
      <c r="G1178">
        <f t="shared" si="78"/>
        <v>3</v>
      </c>
      <c r="H1178">
        <f t="shared" si="79"/>
        <v>313</v>
      </c>
    </row>
    <row r="1179" spans="1:8" x14ac:dyDescent="0.55000000000000004">
      <c r="A1179" s="6">
        <v>1.0208256641071489E+19</v>
      </c>
      <c r="B1179">
        <v>412</v>
      </c>
      <c r="C1179">
        <v>3</v>
      </c>
      <c r="D1179">
        <v>3917</v>
      </c>
      <c r="E1179">
        <f t="shared" si="76"/>
        <v>4</v>
      </c>
      <c r="F1179">
        <f t="shared" si="77"/>
        <v>3</v>
      </c>
      <c r="G1179">
        <f t="shared" si="78"/>
        <v>3</v>
      </c>
      <c r="H1179">
        <f t="shared" si="79"/>
        <v>433</v>
      </c>
    </row>
    <row r="1180" spans="1:8" x14ac:dyDescent="0.55000000000000004">
      <c r="A1180" s="6">
        <v>1.0208362165942811E+19</v>
      </c>
      <c r="B1180">
        <v>762</v>
      </c>
      <c r="C1180">
        <v>1</v>
      </c>
      <c r="D1180">
        <v>403</v>
      </c>
      <c r="E1180">
        <f t="shared" si="76"/>
        <v>3</v>
      </c>
      <c r="F1180">
        <f t="shared" si="77"/>
        <v>1</v>
      </c>
      <c r="G1180">
        <f t="shared" si="78"/>
        <v>1</v>
      </c>
      <c r="H1180">
        <f t="shared" si="79"/>
        <v>311</v>
      </c>
    </row>
    <row r="1181" spans="1:8" x14ac:dyDescent="0.55000000000000004">
      <c r="A1181" s="6">
        <v>1.02172950625995E+19</v>
      </c>
      <c r="B1181">
        <v>62</v>
      </c>
      <c r="C1181">
        <v>1</v>
      </c>
      <c r="D1181">
        <v>1500</v>
      </c>
      <c r="E1181">
        <f t="shared" si="76"/>
        <v>5</v>
      </c>
      <c r="F1181">
        <f t="shared" si="77"/>
        <v>1</v>
      </c>
      <c r="G1181">
        <f t="shared" si="78"/>
        <v>2</v>
      </c>
      <c r="H1181">
        <f t="shared" si="79"/>
        <v>512</v>
      </c>
    </row>
    <row r="1182" spans="1:8" x14ac:dyDescent="0.55000000000000004">
      <c r="A1182" s="6">
        <v>1.0219666372856611E+19</v>
      </c>
      <c r="B1182">
        <v>464</v>
      </c>
      <c r="C1182">
        <v>1</v>
      </c>
      <c r="D1182">
        <v>338</v>
      </c>
      <c r="E1182">
        <f t="shared" si="76"/>
        <v>4</v>
      </c>
      <c r="F1182">
        <f t="shared" si="77"/>
        <v>1</v>
      </c>
      <c r="G1182">
        <f t="shared" si="78"/>
        <v>1</v>
      </c>
      <c r="H1182">
        <f t="shared" si="79"/>
        <v>411</v>
      </c>
    </row>
    <row r="1183" spans="1:8" x14ac:dyDescent="0.55000000000000004">
      <c r="A1183" s="6">
        <v>1.023326339046786E+19</v>
      </c>
      <c r="B1183">
        <v>258</v>
      </c>
      <c r="C1183">
        <v>4</v>
      </c>
      <c r="D1183">
        <v>12153</v>
      </c>
      <c r="E1183">
        <f t="shared" si="76"/>
        <v>5</v>
      </c>
      <c r="F1183">
        <f t="shared" si="77"/>
        <v>3</v>
      </c>
      <c r="G1183">
        <f t="shared" si="78"/>
        <v>3</v>
      </c>
      <c r="H1183">
        <f t="shared" si="79"/>
        <v>533</v>
      </c>
    </row>
    <row r="1184" spans="1:8" x14ac:dyDescent="0.55000000000000004">
      <c r="A1184" s="6">
        <v>1.02390262991266E+19</v>
      </c>
      <c r="B1184">
        <v>251</v>
      </c>
      <c r="C1184">
        <v>1</v>
      </c>
      <c r="D1184">
        <v>1271</v>
      </c>
      <c r="E1184">
        <f t="shared" si="76"/>
        <v>5</v>
      </c>
      <c r="F1184">
        <f t="shared" si="77"/>
        <v>1</v>
      </c>
      <c r="G1184">
        <f t="shared" si="78"/>
        <v>2</v>
      </c>
      <c r="H1184">
        <f t="shared" si="79"/>
        <v>512</v>
      </c>
    </row>
    <row r="1185" spans="1:8" x14ac:dyDescent="0.55000000000000004">
      <c r="A1185" s="6">
        <v>1.0248370963254919E+19</v>
      </c>
      <c r="B1185">
        <v>704</v>
      </c>
      <c r="C1185">
        <v>1</v>
      </c>
      <c r="D1185">
        <v>389</v>
      </c>
      <c r="E1185">
        <f t="shared" si="76"/>
        <v>3</v>
      </c>
      <c r="F1185">
        <f t="shared" si="77"/>
        <v>1</v>
      </c>
      <c r="G1185">
        <f t="shared" si="78"/>
        <v>1</v>
      </c>
      <c r="H1185">
        <f t="shared" si="79"/>
        <v>311</v>
      </c>
    </row>
    <row r="1186" spans="1:8" x14ac:dyDescent="0.55000000000000004">
      <c r="A1186" s="6">
        <v>1.025795227830743E+19</v>
      </c>
      <c r="B1186">
        <v>436</v>
      </c>
      <c r="C1186">
        <v>1</v>
      </c>
      <c r="D1186">
        <v>1028</v>
      </c>
      <c r="E1186">
        <f t="shared" si="76"/>
        <v>4</v>
      </c>
      <c r="F1186">
        <f t="shared" si="77"/>
        <v>1</v>
      </c>
      <c r="G1186">
        <f t="shared" si="78"/>
        <v>2</v>
      </c>
      <c r="H1186">
        <f t="shared" si="79"/>
        <v>412</v>
      </c>
    </row>
    <row r="1187" spans="1:8" x14ac:dyDescent="0.55000000000000004">
      <c r="A1187" s="6">
        <v>1.02766341055186E+19</v>
      </c>
      <c r="B1187">
        <v>505</v>
      </c>
      <c r="C1187">
        <v>1</v>
      </c>
      <c r="D1187">
        <v>179</v>
      </c>
      <c r="E1187">
        <f t="shared" si="76"/>
        <v>4</v>
      </c>
      <c r="F1187">
        <f t="shared" si="77"/>
        <v>1</v>
      </c>
      <c r="G1187">
        <f t="shared" si="78"/>
        <v>1</v>
      </c>
      <c r="H1187">
        <f t="shared" si="79"/>
        <v>411</v>
      </c>
    </row>
    <row r="1188" spans="1:8" x14ac:dyDescent="0.55000000000000004">
      <c r="A1188" s="6">
        <v>1.0304751137086179E+19</v>
      </c>
      <c r="B1188">
        <v>119</v>
      </c>
      <c r="C1188">
        <v>2</v>
      </c>
      <c r="D1188">
        <v>3845</v>
      </c>
      <c r="E1188">
        <f t="shared" si="76"/>
        <v>5</v>
      </c>
      <c r="F1188">
        <f t="shared" si="77"/>
        <v>2</v>
      </c>
      <c r="G1188">
        <f t="shared" si="78"/>
        <v>3</v>
      </c>
      <c r="H1188">
        <f t="shared" si="79"/>
        <v>523</v>
      </c>
    </row>
    <row r="1189" spans="1:8" x14ac:dyDescent="0.55000000000000004">
      <c r="A1189" s="6">
        <v>1.0338236646254201E+19</v>
      </c>
      <c r="B1189">
        <v>1041</v>
      </c>
      <c r="C1189">
        <v>1</v>
      </c>
      <c r="D1189">
        <v>568</v>
      </c>
      <c r="E1189">
        <f t="shared" si="76"/>
        <v>2</v>
      </c>
      <c r="F1189">
        <f t="shared" si="77"/>
        <v>1</v>
      </c>
      <c r="G1189">
        <f t="shared" si="78"/>
        <v>1</v>
      </c>
      <c r="H1189">
        <f t="shared" si="79"/>
        <v>211</v>
      </c>
    </row>
    <row r="1190" spans="1:8" x14ac:dyDescent="0.55000000000000004">
      <c r="A1190" s="6">
        <v>1.0338627140176869E+19</v>
      </c>
      <c r="B1190">
        <v>283</v>
      </c>
      <c r="C1190">
        <v>1</v>
      </c>
      <c r="D1190">
        <v>1552</v>
      </c>
      <c r="E1190">
        <f t="shared" si="76"/>
        <v>5</v>
      </c>
      <c r="F1190">
        <f t="shared" si="77"/>
        <v>1</v>
      </c>
      <c r="G1190">
        <f t="shared" si="78"/>
        <v>2</v>
      </c>
      <c r="H1190">
        <f t="shared" si="79"/>
        <v>512</v>
      </c>
    </row>
    <row r="1191" spans="1:8" x14ac:dyDescent="0.55000000000000004">
      <c r="A1191" s="6">
        <v>1.034546681665433E+19</v>
      </c>
      <c r="B1191">
        <v>401</v>
      </c>
      <c r="C1191">
        <v>1</v>
      </c>
      <c r="D1191">
        <v>1138</v>
      </c>
      <c r="E1191">
        <f t="shared" si="76"/>
        <v>4</v>
      </c>
      <c r="F1191">
        <f t="shared" si="77"/>
        <v>1</v>
      </c>
      <c r="G1191">
        <f t="shared" si="78"/>
        <v>2</v>
      </c>
      <c r="H1191">
        <f t="shared" si="79"/>
        <v>412</v>
      </c>
    </row>
    <row r="1192" spans="1:8" x14ac:dyDescent="0.55000000000000004">
      <c r="A1192" s="6">
        <v>1.035327787919958E+19</v>
      </c>
      <c r="B1192">
        <v>1275</v>
      </c>
      <c r="C1192">
        <v>1</v>
      </c>
      <c r="D1192">
        <v>1700</v>
      </c>
      <c r="E1192">
        <f t="shared" si="76"/>
        <v>1</v>
      </c>
      <c r="F1192">
        <f t="shared" si="77"/>
        <v>1</v>
      </c>
      <c r="G1192">
        <f t="shared" si="78"/>
        <v>2</v>
      </c>
      <c r="H1192">
        <f t="shared" si="79"/>
        <v>112</v>
      </c>
    </row>
    <row r="1193" spans="1:8" x14ac:dyDescent="0.55000000000000004">
      <c r="A1193" s="6">
        <v>1.035827534613317E+19</v>
      </c>
      <c r="B1193">
        <v>63</v>
      </c>
      <c r="C1193">
        <v>2</v>
      </c>
      <c r="D1193">
        <v>5619</v>
      </c>
      <c r="E1193">
        <f t="shared" si="76"/>
        <v>5</v>
      </c>
      <c r="F1193">
        <f t="shared" si="77"/>
        <v>2</v>
      </c>
      <c r="G1193">
        <f t="shared" si="78"/>
        <v>3</v>
      </c>
      <c r="H1193">
        <f t="shared" si="79"/>
        <v>523</v>
      </c>
    </row>
    <row r="1194" spans="1:8" x14ac:dyDescent="0.55000000000000004">
      <c r="A1194" s="6">
        <v>1.0359063996735889E+19</v>
      </c>
      <c r="B1194">
        <v>239</v>
      </c>
      <c r="C1194">
        <v>2</v>
      </c>
      <c r="D1194">
        <v>9922</v>
      </c>
      <c r="E1194">
        <f t="shared" si="76"/>
        <v>5</v>
      </c>
      <c r="F1194">
        <f t="shared" si="77"/>
        <v>2</v>
      </c>
      <c r="G1194">
        <f t="shared" si="78"/>
        <v>3</v>
      </c>
      <c r="H1194">
        <f t="shared" si="79"/>
        <v>523</v>
      </c>
    </row>
    <row r="1195" spans="1:8" x14ac:dyDescent="0.55000000000000004">
      <c r="A1195" s="6">
        <v>1.036004001663831E+19</v>
      </c>
      <c r="B1195">
        <v>71</v>
      </c>
      <c r="C1195">
        <v>1</v>
      </c>
      <c r="D1195">
        <v>4153</v>
      </c>
      <c r="E1195">
        <f t="shared" si="76"/>
        <v>5</v>
      </c>
      <c r="F1195">
        <f t="shared" si="77"/>
        <v>1</v>
      </c>
      <c r="G1195">
        <f t="shared" si="78"/>
        <v>3</v>
      </c>
      <c r="H1195">
        <f t="shared" si="79"/>
        <v>513</v>
      </c>
    </row>
    <row r="1196" spans="1:8" x14ac:dyDescent="0.55000000000000004">
      <c r="A1196" s="6">
        <v>1.0360110391397169E+19</v>
      </c>
      <c r="B1196">
        <v>316</v>
      </c>
      <c r="C1196">
        <v>1</v>
      </c>
      <c r="D1196">
        <v>898</v>
      </c>
      <c r="E1196">
        <f t="shared" si="76"/>
        <v>4</v>
      </c>
      <c r="F1196">
        <f t="shared" si="77"/>
        <v>1</v>
      </c>
      <c r="G1196">
        <f t="shared" si="78"/>
        <v>2</v>
      </c>
      <c r="H1196">
        <f t="shared" si="79"/>
        <v>412</v>
      </c>
    </row>
    <row r="1197" spans="1:8" x14ac:dyDescent="0.55000000000000004">
      <c r="A1197" s="6">
        <v>1.0364042101909621E+19</v>
      </c>
      <c r="B1197">
        <v>1085</v>
      </c>
      <c r="C1197">
        <v>1</v>
      </c>
      <c r="D1197">
        <v>1410</v>
      </c>
      <c r="E1197">
        <f t="shared" si="76"/>
        <v>2</v>
      </c>
      <c r="F1197">
        <f t="shared" si="77"/>
        <v>1</v>
      </c>
      <c r="G1197">
        <f t="shared" si="78"/>
        <v>2</v>
      </c>
      <c r="H1197">
        <f t="shared" si="79"/>
        <v>212</v>
      </c>
    </row>
    <row r="1198" spans="1:8" x14ac:dyDescent="0.55000000000000004">
      <c r="A1198" s="6">
        <v>1.0390051833668731E+19</v>
      </c>
      <c r="B1198">
        <v>754</v>
      </c>
      <c r="C1198">
        <v>1</v>
      </c>
      <c r="D1198">
        <v>3184</v>
      </c>
      <c r="E1198">
        <f t="shared" si="76"/>
        <v>3</v>
      </c>
      <c r="F1198">
        <f t="shared" si="77"/>
        <v>1</v>
      </c>
      <c r="G1198">
        <f t="shared" si="78"/>
        <v>3</v>
      </c>
      <c r="H1198">
        <f t="shared" si="79"/>
        <v>313</v>
      </c>
    </row>
    <row r="1199" spans="1:8" x14ac:dyDescent="0.55000000000000004">
      <c r="A1199" s="6">
        <v>1.039255605560328E+19</v>
      </c>
      <c r="B1199">
        <v>868</v>
      </c>
      <c r="C1199">
        <v>2</v>
      </c>
      <c r="D1199">
        <v>2987</v>
      </c>
      <c r="E1199">
        <f t="shared" si="76"/>
        <v>2</v>
      </c>
      <c r="F1199">
        <f t="shared" si="77"/>
        <v>2</v>
      </c>
      <c r="G1199">
        <f t="shared" si="78"/>
        <v>3</v>
      </c>
      <c r="H1199">
        <f t="shared" si="79"/>
        <v>223</v>
      </c>
    </row>
    <row r="1200" spans="1:8" x14ac:dyDescent="0.55000000000000004">
      <c r="A1200" s="6">
        <v>1.0394272471463299E+19</v>
      </c>
      <c r="B1200">
        <v>226</v>
      </c>
      <c r="C1200">
        <v>1</v>
      </c>
      <c r="D1200">
        <v>9045</v>
      </c>
      <c r="E1200">
        <f t="shared" si="76"/>
        <v>5</v>
      </c>
      <c r="F1200">
        <f t="shared" si="77"/>
        <v>1</v>
      </c>
      <c r="G1200">
        <f t="shared" si="78"/>
        <v>3</v>
      </c>
      <c r="H1200">
        <f t="shared" si="79"/>
        <v>513</v>
      </c>
    </row>
    <row r="1201" spans="1:8" x14ac:dyDescent="0.55000000000000004">
      <c r="A1201" s="6">
        <v>1.040412174818116E+19</v>
      </c>
      <c r="B1201">
        <v>1078</v>
      </c>
      <c r="C1201">
        <v>1</v>
      </c>
      <c r="D1201">
        <v>1100</v>
      </c>
      <c r="E1201">
        <f t="shared" si="76"/>
        <v>2</v>
      </c>
      <c r="F1201">
        <f t="shared" si="77"/>
        <v>1</v>
      </c>
      <c r="G1201">
        <f t="shared" si="78"/>
        <v>2</v>
      </c>
      <c r="H1201">
        <f t="shared" si="79"/>
        <v>212</v>
      </c>
    </row>
    <row r="1202" spans="1:8" x14ac:dyDescent="0.55000000000000004">
      <c r="A1202" s="6">
        <v>1.041325585662787E+19</v>
      </c>
      <c r="B1202">
        <v>240</v>
      </c>
      <c r="C1202">
        <v>1</v>
      </c>
      <c r="D1202">
        <v>3771</v>
      </c>
      <c r="E1202">
        <f t="shared" si="76"/>
        <v>5</v>
      </c>
      <c r="F1202">
        <f t="shared" si="77"/>
        <v>1</v>
      </c>
      <c r="G1202">
        <f t="shared" si="78"/>
        <v>3</v>
      </c>
      <c r="H1202">
        <f t="shared" si="79"/>
        <v>513</v>
      </c>
    </row>
    <row r="1203" spans="1:8" x14ac:dyDescent="0.55000000000000004">
      <c r="A1203" s="6">
        <v>1.042579710060724E+19</v>
      </c>
      <c r="B1203">
        <v>259</v>
      </c>
      <c r="C1203">
        <v>1</v>
      </c>
      <c r="D1203">
        <v>2310</v>
      </c>
      <c r="E1203">
        <f t="shared" si="76"/>
        <v>5</v>
      </c>
      <c r="F1203">
        <f t="shared" si="77"/>
        <v>1</v>
      </c>
      <c r="G1203">
        <f t="shared" si="78"/>
        <v>3</v>
      </c>
      <c r="H1203">
        <f t="shared" si="79"/>
        <v>513</v>
      </c>
    </row>
    <row r="1204" spans="1:8" x14ac:dyDescent="0.55000000000000004">
      <c r="A1204" s="6">
        <v>1.0432509521820989E+19</v>
      </c>
      <c r="B1204">
        <v>923</v>
      </c>
      <c r="C1204">
        <v>1</v>
      </c>
      <c r="D1204">
        <v>1190</v>
      </c>
      <c r="E1204">
        <f t="shared" si="76"/>
        <v>2</v>
      </c>
      <c r="F1204">
        <f t="shared" si="77"/>
        <v>1</v>
      </c>
      <c r="G1204">
        <f t="shared" si="78"/>
        <v>2</v>
      </c>
      <c r="H1204">
        <f t="shared" si="79"/>
        <v>212</v>
      </c>
    </row>
    <row r="1205" spans="1:8" x14ac:dyDescent="0.55000000000000004">
      <c r="A1205" s="6">
        <v>1.0442949896467859E+19</v>
      </c>
      <c r="B1205">
        <v>472</v>
      </c>
      <c r="C1205">
        <v>2</v>
      </c>
      <c r="D1205">
        <v>2215</v>
      </c>
      <c r="E1205">
        <f t="shared" si="76"/>
        <v>4</v>
      </c>
      <c r="F1205">
        <f t="shared" si="77"/>
        <v>2</v>
      </c>
      <c r="G1205">
        <f t="shared" si="78"/>
        <v>2</v>
      </c>
      <c r="H1205">
        <f t="shared" si="79"/>
        <v>422</v>
      </c>
    </row>
    <row r="1206" spans="1:8" x14ac:dyDescent="0.55000000000000004">
      <c r="A1206" s="6">
        <v>1.0445950144183841E+19</v>
      </c>
      <c r="B1206">
        <v>932</v>
      </c>
      <c r="C1206">
        <v>1</v>
      </c>
      <c r="D1206">
        <v>153</v>
      </c>
      <c r="E1206">
        <f t="shared" si="76"/>
        <v>2</v>
      </c>
      <c r="F1206">
        <f t="shared" si="77"/>
        <v>1</v>
      </c>
      <c r="G1206">
        <f t="shared" si="78"/>
        <v>1</v>
      </c>
      <c r="H1206">
        <f t="shared" si="79"/>
        <v>211</v>
      </c>
    </row>
    <row r="1207" spans="1:8" x14ac:dyDescent="0.55000000000000004">
      <c r="A1207" s="6">
        <v>1.045491442995763E+19</v>
      </c>
      <c r="B1207">
        <v>206</v>
      </c>
      <c r="C1207">
        <v>1</v>
      </c>
      <c r="D1207">
        <v>1719</v>
      </c>
      <c r="E1207">
        <f t="shared" si="76"/>
        <v>5</v>
      </c>
      <c r="F1207">
        <f t="shared" si="77"/>
        <v>1</v>
      </c>
      <c r="G1207">
        <f t="shared" si="78"/>
        <v>2</v>
      </c>
      <c r="H1207">
        <f t="shared" si="79"/>
        <v>512</v>
      </c>
    </row>
    <row r="1208" spans="1:8" x14ac:dyDescent="0.55000000000000004">
      <c r="A1208" s="6">
        <v>1.0456691425489639E+19</v>
      </c>
      <c r="B1208">
        <v>778</v>
      </c>
      <c r="C1208">
        <v>1</v>
      </c>
      <c r="D1208">
        <v>4760</v>
      </c>
      <c r="E1208">
        <f t="shared" si="76"/>
        <v>3</v>
      </c>
      <c r="F1208">
        <f t="shared" si="77"/>
        <v>1</v>
      </c>
      <c r="G1208">
        <f t="shared" si="78"/>
        <v>3</v>
      </c>
      <c r="H1208">
        <f t="shared" si="79"/>
        <v>313</v>
      </c>
    </row>
    <row r="1209" spans="1:8" x14ac:dyDescent="0.55000000000000004">
      <c r="A1209" s="6">
        <v>1.046090249916964E+19</v>
      </c>
      <c r="B1209">
        <v>516</v>
      </c>
      <c r="C1209">
        <v>1</v>
      </c>
      <c r="D1209">
        <v>1161</v>
      </c>
      <c r="E1209">
        <f t="shared" si="76"/>
        <v>4</v>
      </c>
      <c r="F1209">
        <f t="shared" si="77"/>
        <v>1</v>
      </c>
      <c r="G1209">
        <f t="shared" si="78"/>
        <v>2</v>
      </c>
      <c r="H1209">
        <f t="shared" si="79"/>
        <v>412</v>
      </c>
    </row>
    <row r="1210" spans="1:8" x14ac:dyDescent="0.55000000000000004">
      <c r="A1210" s="6">
        <v>1.0464603795510839E+19</v>
      </c>
      <c r="B1210">
        <v>1</v>
      </c>
      <c r="C1210">
        <v>2</v>
      </c>
      <c r="D1210">
        <v>3357</v>
      </c>
      <c r="E1210">
        <f t="shared" si="76"/>
        <v>5</v>
      </c>
      <c r="F1210">
        <f t="shared" si="77"/>
        <v>2</v>
      </c>
      <c r="G1210">
        <f t="shared" si="78"/>
        <v>3</v>
      </c>
      <c r="H1210">
        <f t="shared" si="79"/>
        <v>523</v>
      </c>
    </row>
    <row r="1211" spans="1:8" x14ac:dyDescent="0.55000000000000004">
      <c r="A1211" s="6">
        <v>1.049243531480115E+19</v>
      </c>
      <c r="B1211">
        <v>255</v>
      </c>
      <c r="C1211">
        <v>1</v>
      </c>
      <c r="D1211">
        <v>2970</v>
      </c>
      <c r="E1211">
        <f t="shared" si="76"/>
        <v>5</v>
      </c>
      <c r="F1211">
        <f t="shared" si="77"/>
        <v>1</v>
      </c>
      <c r="G1211">
        <f t="shared" si="78"/>
        <v>3</v>
      </c>
      <c r="H1211">
        <f t="shared" si="79"/>
        <v>513</v>
      </c>
    </row>
    <row r="1212" spans="1:8" x14ac:dyDescent="0.55000000000000004">
      <c r="A1212" s="6">
        <v>1.049400920101052E+19</v>
      </c>
      <c r="B1212">
        <v>310</v>
      </c>
      <c r="C1212">
        <v>1</v>
      </c>
      <c r="D1212">
        <v>1430</v>
      </c>
      <c r="E1212">
        <f t="shared" si="76"/>
        <v>4</v>
      </c>
      <c r="F1212">
        <f t="shared" si="77"/>
        <v>1</v>
      </c>
      <c r="G1212">
        <f t="shared" si="78"/>
        <v>2</v>
      </c>
      <c r="H1212">
        <f t="shared" si="79"/>
        <v>412</v>
      </c>
    </row>
    <row r="1213" spans="1:8" x14ac:dyDescent="0.55000000000000004">
      <c r="A1213" s="6">
        <v>1.050741933674392E+19</v>
      </c>
      <c r="B1213">
        <v>75</v>
      </c>
      <c r="C1213">
        <v>1</v>
      </c>
      <c r="D1213">
        <v>180</v>
      </c>
      <c r="E1213">
        <f t="shared" si="76"/>
        <v>5</v>
      </c>
      <c r="F1213">
        <f t="shared" si="77"/>
        <v>1</v>
      </c>
      <c r="G1213">
        <f t="shared" si="78"/>
        <v>1</v>
      </c>
      <c r="H1213">
        <f t="shared" si="79"/>
        <v>511</v>
      </c>
    </row>
    <row r="1214" spans="1:8" x14ac:dyDescent="0.55000000000000004">
      <c r="A1214" s="6">
        <v>1.0512258066659389E+19</v>
      </c>
      <c r="B1214">
        <v>354</v>
      </c>
      <c r="C1214">
        <v>1</v>
      </c>
      <c r="D1214">
        <v>780</v>
      </c>
      <c r="E1214">
        <f t="shared" si="76"/>
        <v>4</v>
      </c>
      <c r="F1214">
        <f t="shared" si="77"/>
        <v>1</v>
      </c>
      <c r="G1214">
        <f t="shared" si="78"/>
        <v>2</v>
      </c>
      <c r="H1214">
        <f t="shared" si="79"/>
        <v>412</v>
      </c>
    </row>
    <row r="1215" spans="1:8" x14ac:dyDescent="0.55000000000000004">
      <c r="A1215" s="6">
        <v>1.0527404073253321E+19</v>
      </c>
      <c r="B1215">
        <v>564</v>
      </c>
      <c r="C1215">
        <v>1</v>
      </c>
      <c r="D1215">
        <v>1490</v>
      </c>
      <c r="E1215">
        <f t="shared" si="76"/>
        <v>4</v>
      </c>
      <c r="F1215">
        <f t="shared" si="77"/>
        <v>1</v>
      </c>
      <c r="G1215">
        <f t="shared" si="78"/>
        <v>2</v>
      </c>
      <c r="H1215">
        <f t="shared" si="79"/>
        <v>412</v>
      </c>
    </row>
    <row r="1216" spans="1:8" x14ac:dyDescent="0.55000000000000004">
      <c r="A1216" s="6">
        <v>1.052882320833083E+19</v>
      </c>
      <c r="B1216">
        <v>21</v>
      </c>
      <c r="C1216">
        <v>1</v>
      </c>
      <c r="D1216">
        <v>1060</v>
      </c>
      <c r="E1216">
        <f t="shared" si="76"/>
        <v>5</v>
      </c>
      <c r="F1216">
        <f t="shared" si="77"/>
        <v>1</v>
      </c>
      <c r="G1216">
        <f t="shared" si="78"/>
        <v>2</v>
      </c>
      <c r="H1216">
        <f t="shared" si="79"/>
        <v>512</v>
      </c>
    </row>
    <row r="1217" spans="1:8" x14ac:dyDescent="0.55000000000000004">
      <c r="A1217" s="6">
        <v>1.0536985698884211E+19</v>
      </c>
      <c r="B1217">
        <v>169</v>
      </c>
      <c r="C1217">
        <v>2</v>
      </c>
      <c r="D1217">
        <v>2989</v>
      </c>
      <c r="E1217">
        <f t="shared" si="76"/>
        <v>5</v>
      </c>
      <c r="F1217">
        <f t="shared" si="77"/>
        <v>2</v>
      </c>
      <c r="G1217">
        <f t="shared" si="78"/>
        <v>3</v>
      </c>
      <c r="H1217">
        <f t="shared" si="79"/>
        <v>523</v>
      </c>
    </row>
    <row r="1218" spans="1:8" x14ac:dyDescent="0.55000000000000004">
      <c r="A1218" s="6">
        <v>1.0541013610742131E+19</v>
      </c>
      <c r="B1218">
        <v>126</v>
      </c>
      <c r="C1218">
        <v>2</v>
      </c>
      <c r="D1218">
        <v>5020</v>
      </c>
      <c r="E1218">
        <f t="shared" si="76"/>
        <v>5</v>
      </c>
      <c r="F1218">
        <f t="shared" si="77"/>
        <v>2</v>
      </c>
      <c r="G1218">
        <f t="shared" si="78"/>
        <v>3</v>
      </c>
      <c r="H1218">
        <f t="shared" si="79"/>
        <v>523</v>
      </c>
    </row>
    <row r="1219" spans="1:8" x14ac:dyDescent="0.55000000000000004">
      <c r="A1219" s="6">
        <v>1.054310189520607E+19</v>
      </c>
      <c r="B1219">
        <v>795</v>
      </c>
      <c r="C1219">
        <v>1</v>
      </c>
      <c r="D1219">
        <v>1994</v>
      </c>
      <c r="E1219">
        <f t="shared" ref="E1219:E1282" si="80">VLOOKUP(B1219,$K$5:$L$9,2,1)</f>
        <v>3</v>
      </c>
      <c r="F1219">
        <f t="shared" ref="F1219:F1282" si="81">VLOOKUP(C1219,$K$15:$L$17,2,1)</f>
        <v>1</v>
      </c>
      <c r="G1219">
        <f t="shared" ref="G1219:G1282" si="82">VLOOKUP(D1219,$K$24:$L$26,2,1)</f>
        <v>2</v>
      </c>
      <c r="H1219">
        <f t="shared" ref="H1219:H1282" si="83">E1219*100+F1219*10+G1219</f>
        <v>312</v>
      </c>
    </row>
    <row r="1220" spans="1:8" x14ac:dyDescent="0.55000000000000004">
      <c r="A1220" s="6">
        <v>1.0554479503926821E+19</v>
      </c>
      <c r="B1220">
        <v>324</v>
      </c>
      <c r="C1220">
        <v>1</v>
      </c>
      <c r="D1220">
        <v>1639</v>
      </c>
      <c r="E1220">
        <f t="shared" si="80"/>
        <v>4</v>
      </c>
      <c r="F1220">
        <f t="shared" si="81"/>
        <v>1</v>
      </c>
      <c r="G1220">
        <f t="shared" si="82"/>
        <v>2</v>
      </c>
      <c r="H1220">
        <f t="shared" si="83"/>
        <v>412</v>
      </c>
    </row>
    <row r="1221" spans="1:8" x14ac:dyDescent="0.55000000000000004">
      <c r="A1221" s="6">
        <v>1.057129571162514E+19</v>
      </c>
      <c r="B1221">
        <v>919</v>
      </c>
      <c r="C1221">
        <v>1</v>
      </c>
      <c r="D1221">
        <v>1947</v>
      </c>
      <c r="E1221">
        <f t="shared" si="80"/>
        <v>2</v>
      </c>
      <c r="F1221">
        <f t="shared" si="81"/>
        <v>1</v>
      </c>
      <c r="G1221">
        <f t="shared" si="82"/>
        <v>2</v>
      </c>
      <c r="H1221">
        <f t="shared" si="83"/>
        <v>212</v>
      </c>
    </row>
    <row r="1222" spans="1:8" x14ac:dyDescent="0.55000000000000004">
      <c r="A1222" s="6">
        <v>1.0611866942011081E+19</v>
      </c>
      <c r="B1222">
        <v>176</v>
      </c>
      <c r="C1222">
        <v>2</v>
      </c>
      <c r="D1222">
        <v>1748</v>
      </c>
      <c r="E1222">
        <f t="shared" si="80"/>
        <v>5</v>
      </c>
      <c r="F1222">
        <f t="shared" si="81"/>
        <v>2</v>
      </c>
      <c r="G1222">
        <f t="shared" si="82"/>
        <v>2</v>
      </c>
      <c r="H1222">
        <f t="shared" si="83"/>
        <v>522</v>
      </c>
    </row>
    <row r="1223" spans="1:8" x14ac:dyDescent="0.55000000000000004">
      <c r="A1223" s="6">
        <v>1.0616930994602881E+19</v>
      </c>
      <c r="B1223">
        <v>786</v>
      </c>
      <c r="C1223">
        <v>1</v>
      </c>
      <c r="D1223">
        <v>1810</v>
      </c>
      <c r="E1223">
        <f t="shared" si="80"/>
        <v>3</v>
      </c>
      <c r="F1223">
        <f t="shared" si="81"/>
        <v>1</v>
      </c>
      <c r="G1223">
        <f t="shared" si="82"/>
        <v>2</v>
      </c>
      <c r="H1223">
        <f t="shared" si="83"/>
        <v>312</v>
      </c>
    </row>
    <row r="1224" spans="1:8" x14ac:dyDescent="0.55000000000000004">
      <c r="A1224" s="6">
        <v>1.0617792466776351E+19</v>
      </c>
      <c r="B1224">
        <v>277</v>
      </c>
      <c r="C1224">
        <v>1</v>
      </c>
      <c r="D1224">
        <v>931</v>
      </c>
      <c r="E1224">
        <f t="shared" si="80"/>
        <v>5</v>
      </c>
      <c r="F1224">
        <f t="shared" si="81"/>
        <v>1</v>
      </c>
      <c r="G1224">
        <f t="shared" si="82"/>
        <v>2</v>
      </c>
      <c r="H1224">
        <f t="shared" si="83"/>
        <v>512</v>
      </c>
    </row>
    <row r="1225" spans="1:8" x14ac:dyDescent="0.55000000000000004">
      <c r="A1225" s="6">
        <v>1.0637602183882199E+19</v>
      </c>
      <c r="B1225">
        <v>284</v>
      </c>
      <c r="C1225">
        <v>1</v>
      </c>
      <c r="D1225">
        <v>212</v>
      </c>
      <c r="E1225">
        <f t="shared" si="80"/>
        <v>5</v>
      </c>
      <c r="F1225">
        <f t="shared" si="81"/>
        <v>1</v>
      </c>
      <c r="G1225">
        <f t="shared" si="82"/>
        <v>1</v>
      </c>
      <c r="H1225">
        <f t="shared" si="83"/>
        <v>511</v>
      </c>
    </row>
    <row r="1226" spans="1:8" x14ac:dyDescent="0.55000000000000004">
      <c r="A1226" s="6">
        <v>1.064043722580318E+19</v>
      </c>
      <c r="B1226">
        <v>76</v>
      </c>
      <c r="C1226">
        <v>1</v>
      </c>
      <c r="D1226">
        <v>897</v>
      </c>
      <c r="E1226">
        <f t="shared" si="80"/>
        <v>5</v>
      </c>
      <c r="F1226">
        <f t="shared" si="81"/>
        <v>1</v>
      </c>
      <c r="G1226">
        <f t="shared" si="82"/>
        <v>2</v>
      </c>
      <c r="H1226">
        <f t="shared" si="83"/>
        <v>512</v>
      </c>
    </row>
    <row r="1227" spans="1:8" x14ac:dyDescent="0.55000000000000004">
      <c r="A1227" s="6">
        <v>1.064432394007756E+19</v>
      </c>
      <c r="B1227">
        <v>681</v>
      </c>
      <c r="C1227">
        <v>2</v>
      </c>
      <c r="D1227">
        <v>10877</v>
      </c>
      <c r="E1227">
        <f t="shared" si="80"/>
        <v>3</v>
      </c>
      <c r="F1227">
        <f t="shared" si="81"/>
        <v>2</v>
      </c>
      <c r="G1227">
        <f t="shared" si="82"/>
        <v>3</v>
      </c>
      <c r="H1227">
        <f t="shared" si="83"/>
        <v>323</v>
      </c>
    </row>
    <row r="1228" spans="1:8" x14ac:dyDescent="0.55000000000000004">
      <c r="A1228" s="6">
        <v>1.065258126072278E+19</v>
      </c>
      <c r="B1228">
        <v>89</v>
      </c>
      <c r="C1228">
        <v>1</v>
      </c>
      <c r="D1228">
        <v>3870</v>
      </c>
      <c r="E1228">
        <f t="shared" si="80"/>
        <v>5</v>
      </c>
      <c r="F1228">
        <f t="shared" si="81"/>
        <v>1</v>
      </c>
      <c r="G1228">
        <f t="shared" si="82"/>
        <v>3</v>
      </c>
      <c r="H1228">
        <f t="shared" si="83"/>
        <v>513</v>
      </c>
    </row>
    <row r="1229" spans="1:8" x14ac:dyDescent="0.55000000000000004">
      <c r="A1229" s="6">
        <v>1.0672287716018579E+19</v>
      </c>
      <c r="B1229">
        <v>522</v>
      </c>
      <c r="C1229">
        <v>2</v>
      </c>
      <c r="D1229">
        <v>3843</v>
      </c>
      <c r="E1229">
        <f t="shared" si="80"/>
        <v>4</v>
      </c>
      <c r="F1229">
        <f t="shared" si="81"/>
        <v>2</v>
      </c>
      <c r="G1229">
        <f t="shared" si="82"/>
        <v>3</v>
      </c>
      <c r="H1229">
        <f t="shared" si="83"/>
        <v>423</v>
      </c>
    </row>
    <row r="1230" spans="1:8" x14ac:dyDescent="0.55000000000000004">
      <c r="A1230" s="6">
        <v>1.069061187023498E+19</v>
      </c>
      <c r="B1230">
        <v>230</v>
      </c>
      <c r="C1230">
        <v>1</v>
      </c>
      <c r="D1230">
        <v>446</v>
      </c>
      <c r="E1230">
        <f t="shared" si="80"/>
        <v>5</v>
      </c>
      <c r="F1230">
        <f t="shared" si="81"/>
        <v>1</v>
      </c>
      <c r="G1230">
        <f t="shared" si="82"/>
        <v>1</v>
      </c>
      <c r="H1230">
        <f t="shared" si="83"/>
        <v>511</v>
      </c>
    </row>
    <row r="1231" spans="1:8" x14ac:dyDescent="0.55000000000000004">
      <c r="A1231" s="6">
        <v>1.069659610045831E+19</v>
      </c>
      <c r="B1231">
        <v>114</v>
      </c>
      <c r="C1231">
        <v>1</v>
      </c>
      <c r="D1231">
        <v>1690</v>
      </c>
      <c r="E1231">
        <f t="shared" si="80"/>
        <v>5</v>
      </c>
      <c r="F1231">
        <f t="shared" si="81"/>
        <v>1</v>
      </c>
      <c r="G1231">
        <f t="shared" si="82"/>
        <v>2</v>
      </c>
      <c r="H1231">
        <f t="shared" si="83"/>
        <v>512</v>
      </c>
    </row>
    <row r="1232" spans="1:8" x14ac:dyDescent="0.55000000000000004">
      <c r="A1232" s="6">
        <v>1.071092417031841E+19</v>
      </c>
      <c r="B1232">
        <v>130</v>
      </c>
      <c r="C1232">
        <v>1</v>
      </c>
      <c r="D1232">
        <v>258</v>
      </c>
      <c r="E1232">
        <f t="shared" si="80"/>
        <v>5</v>
      </c>
      <c r="F1232">
        <f t="shared" si="81"/>
        <v>1</v>
      </c>
      <c r="G1232">
        <f t="shared" si="82"/>
        <v>1</v>
      </c>
      <c r="H1232">
        <f t="shared" si="83"/>
        <v>511</v>
      </c>
    </row>
    <row r="1233" spans="1:8" x14ac:dyDescent="0.55000000000000004">
      <c r="A1233" s="6">
        <v>1.0732763130336319E+19</v>
      </c>
      <c r="B1233">
        <v>541</v>
      </c>
      <c r="C1233">
        <v>1</v>
      </c>
      <c r="D1233">
        <v>72</v>
      </c>
      <c r="E1233">
        <f t="shared" si="80"/>
        <v>4</v>
      </c>
      <c r="F1233">
        <f t="shared" si="81"/>
        <v>1</v>
      </c>
      <c r="G1233">
        <f t="shared" si="82"/>
        <v>1</v>
      </c>
      <c r="H1233">
        <f t="shared" si="83"/>
        <v>411</v>
      </c>
    </row>
    <row r="1234" spans="1:8" x14ac:dyDescent="0.55000000000000004">
      <c r="A1234" s="6">
        <v>1.073968906688454E+19</v>
      </c>
      <c r="B1234">
        <v>1074</v>
      </c>
      <c r="C1234">
        <v>1</v>
      </c>
      <c r="D1234">
        <v>393</v>
      </c>
      <c r="E1234">
        <f t="shared" si="80"/>
        <v>2</v>
      </c>
      <c r="F1234">
        <f t="shared" si="81"/>
        <v>1</v>
      </c>
      <c r="G1234">
        <f t="shared" si="82"/>
        <v>1</v>
      </c>
      <c r="H1234">
        <f t="shared" si="83"/>
        <v>211</v>
      </c>
    </row>
    <row r="1235" spans="1:8" x14ac:dyDescent="0.55000000000000004">
      <c r="A1235" s="6">
        <v>1.0761137595070679E+19</v>
      </c>
      <c r="B1235">
        <v>599</v>
      </c>
      <c r="C1235">
        <v>1</v>
      </c>
      <c r="D1235">
        <v>2142</v>
      </c>
      <c r="E1235">
        <f t="shared" si="80"/>
        <v>3</v>
      </c>
      <c r="F1235">
        <f t="shared" si="81"/>
        <v>1</v>
      </c>
      <c r="G1235">
        <f t="shared" si="82"/>
        <v>2</v>
      </c>
      <c r="H1235">
        <f t="shared" si="83"/>
        <v>312</v>
      </c>
    </row>
    <row r="1236" spans="1:8" x14ac:dyDescent="0.55000000000000004">
      <c r="A1236" s="6">
        <v>1.0762135343377629E+19</v>
      </c>
      <c r="B1236">
        <v>169</v>
      </c>
      <c r="C1236">
        <v>2</v>
      </c>
      <c r="D1236">
        <v>1729</v>
      </c>
      <c r="E1236">
        <f t="shared" si="80"/>
        <v>5</v>
      </c>
      <c r="F1236">
        <f t="shared" si="81"/>
        <v>2</v>
      </c>
      <c r="G1236">
        <f t="shared" si="82"/>
        <v>2</v>
      </c>
      <c r="H1236">
        <f t="shared" si="83"/>
        <v>522</v>
      </c>
    </row>
    <row r="1237" spans="1:8" x14ac:dyDescent="0.55000000000000004">
      <c r="A1237" s="6">
        <v>1.0796066666527969E+19</v>
      </c>
      <c r="B1237">
        <v>493</v>
      </c>
      <c r="C1237">
        <v>2</v>
      </c>
      <c r="D1237">
        <v>4235</v>
      </c>
      <c r="E1237">
        <f t="shared" si="80"/>
        <v>4</v>
      </c>
      <c r="F1237">
        <f t="shared" si="81"/>
        <v>2</v>
      </c>
      <c r="G1237">
        <f t="shared" si="82"/>
        <v>3</v>
      </c>
      <c r="H1237">
        <f t="shared" si="83"/>
        <v>423</v>
      </c>
    </row>
    <row r="1238" spans="1:8" x14ac:dyDescent="0.55000000000000004">
      <c r="A1238" s="6">
        <v>1.0797882498486391E+19</v>
      </c>
      <c r="B1238">
        <v>1170</v>
      </c>
      <c r="C1238">
        <v>1</v>
      </c>
      <c r="D1238">
        <v>118</v>
      </c>
      <c r="E1238">
        <f t="shared" si="80"/>
        <v>1</v>
      </c>
      <c r="F1238">
        <f t="shared" si="81"/>
        <v>1</v>
      </c>
      <c r="G1238">
        <f t="shared" si="82"/>
        <v>1</v>
      </c>
      <c r="H1238">
        <f t="shared" si="83"/>
        <v>111</v>
      </c>
    </row>
    <row r="1239" spans="1:8" x14ac:dyDescent="0.55000000000000004">
      <c r="A1239" s="6">
        <v>1.0825347330381611E+19</v>
      </c>
      <c r="B1239">
        <v>405</v>
      </c>
      <c r="C1239">
        <v>1</v>
      </c>
      <c r="D1239">
        <v>58</v>
      </c>
      <c r="E1239">
        <f t="shared" si="80"/>
        <v>4</v>
      </c>
      <c r="F1239">
        <f t="shared" si="81"/>
        <v>1</v>
      </c>
      <c r="G1239">
        <f t="shared" si="82"/>
        <v>1</v>
      </c>
      <c r="H1239">
        <f t="shared" si="83"/>
        <v>411</v>
      </c>
    </row>
    <row r="1240" spans="1:8" x14ac:dyDescent="0.55000000000000004">
      <c r="A1240" s="6">
        <v>1.082616171172949E+19</v>
      </c>
      <c r="B1240">
        <v>664</v>
      </c>
      <c r="C1240">
        <v>2</v>
      </c>
      <c r="D1240">
        <v>1329</v>
      </c>
      <c r="E1240">
        <f t="shared" si="80"/>
        <v>3</v>
      </c>
      <c r="F1240">
        <f t="shared" si="81"/>
        <v>2</v>
      </c>
      <c r="G1240">
        <f t="shared" si="82"/>
        <v>2</v>
      </c>
      <c r="H1240">
        <f t="shared" si="83"/>
        <v>322</v>
      </c>
    </row>
    <row r="1241" spans="1:8" x14ac:dyDescent="0.55000000000000004">
      <c r="A1241" s="6">
        <v>1.086420106069846E+19</v>
      </c>
      <c r="B1241">
        <v>125</v>
      </c>
      <c r="C1241">
        <v>1</v>
      </c>
      <c r="D1241">
        <v>4890</v>
      </c>
      <c r="E1241">
        <f t="shared" si="80"/>
        <v>5</v>
      </c>
      <c r="F1241">
        <f t="shared" si="81"/>
        <v>1</v>
      </c>
      <c r="G1241">
        <f t="shared" si="82"/>
        <v>3</v>
      </c>
      <c r="H1241">
        <f t="shared" si="83"/>
        <v>513</v>
      </c>
    </row>
    <row r="1242" spans="1:8" x14ac:dyDescent="0.55000000000000004">
      <c r="A1242" s="6">
        <v>1.0890539801545841E+19</v>
      </c>
      <c r="B1242">
        <v>662</v>
      </c>
      <c r="C1242">
        <v>1</v>
      </c>
      <c r="D1242">
        <v>299</v>
      </c>
      <c r="E1242">
        <f t="shared" si="80"/>
        <v>3</v>
      </c>
      <c r="F1242">
        <f t="shared" si="81"/>
        <v>1</v>
      </c>
      <c r="G1242">
        <f t="shared" si="82"/>
        <v>1</v>
      </c>
      <c r="H1242">
        <f t="shared" si="83"/>
        <v>311</v>
      </c>
    </row>
    <row r="1243" spans="1:8" x14ac:dyDescent="0.55000000000000004">
      <c r="A1243" s="6">
        <v>1.08985227499706E+19</v>
      </c>
      <c r="B1243">
        <v>221</v>
      </c>
      <c r="C1243">
        <v>2</v>
      </c>
      <c r="D1243">
        <v>7040</v>
      </c>
      <c r="E1243">
        <f t="shared" si="80"/>
        <v>5</v>
      </c>
      <c r="F1243">
        <f t="shared" si="81"/>
        <v>2</v>
      </c>
      <c r="G1243">
        <f t="shared" si="82"/>
        <v>3</v>
      </c>
      <c r="H1243">
        <f t="shared" si="83"/>
        <v>523</v>
      </c>
    </row>
    <row r="1244" spans="1:8" x14ac:dyDescent="0.55000000000000004">
      <c r="A1244" s="6">
        <v>1.090260083347797E+19</v>
      </c>
      <c r="B1244">
        <v>1306</v>
      </c>
      <c r="C1244">
        <v>1</v>
      </c>
      <c r="D1244">
        <v>220</v>
      </c>
      <c r="E1244">
        <f t="shared" si="80"/>
        <v>1</v>
      </c>
      <c r="F1244">
        <f t="shared" si="81"/>
        <v>1</v>
      </c>
      <c r="G1244">
        <f t="shared" si="82"/>
        <v>1</v>
      </c>
      <c r="H1244">
        <f t="shared" si="83"/>
        <v>111</v>
      </c>
    </row>
    <row r="1245" spans="1:8" x14ac:dyDescent="0.55000000000000004">
      <c r="A1245" s="6">
        <v>1.090496647383765E+19</v>
      </c>
      <c r="B1245">
        <v>501</v>
      </c>
      <c r="C1245">
        <v>1</v>
      </c>
      <c r="D1245">
        <v>295</v>
      </c>
      <c r="E1245">
        <f t="shared" si="80"/>
        <v>4</v>
      </c>
      <c r="F1245">
        <f t="shared" si="81"/>
        <v>1</v>
      </c>
      <c r="G1245">
        <f t="shared" si="82"/>
        <v>1</v>
      </c>
      <c r="H1245">
        <f t="shared" si="83"/>
        <v>411</v>
      </c>
    </row>
    <row r="1246" spans="1:8" x14ac:dyDescent="0.55000000000000004">
      <c r="A1246" s="6">
        <v>1.090739695224781E+19</v>
      </c>
      <c r="B1246">
        <v>119</v>
      </c>
      <c r="C1246">
        <v>2</v>
      </c>
      <c r="D1246">
        <v>1074</v>
      </c>
      <c r="E1246">
        <f t="shared" si="80"/>
        <v>5</v>
      </c>
      <c r="F1246">
        <f t="shared" si="81"/>
        <v>2</v>
      </c>
      <c r="G1246">
        <f t="shared" si="82"/>
        <v>2</v>
      </c>
      <c r="H1246">
        <f t="shared" si="83"/>
        <v>522</v>
      </c>
    </row>
    <row r="1247" spans="1:8" x14ac:dyDescent="0.55000000000000004">
      <c r="A1247" s="6">
        <v>1.0914199203292729E+19</v>
      </c>
      <c r="B1247">
        <v>1113</v>
      </c>
      <c r="C1247">
        <v>1</v>
      </c>
      <c r="D1247">
        <v>3180</v>
      </c>
      <c r="E1247">
        <f t="shared" si="80"/>
        <v>2</v>
      </c>
      <c r="F1247">
        <f t="shared" si="81"/>
        <v>1</v>
      </c>
      <c r="G1247">
        <f t="shared" si="82"/>
        <v>3</v>
      </c>
      <c r="H1247">
        <f t="shared" si="83"/>
        <v>213</v>
      </c>
    </row>
    <row r="1248" spans="1:8" x14ac:dyDescent="0.55000000000000004">
      <c r="A1248" s="6">
        <v>1.0915671750120159E+19</v>
      </c>
      <c r="B1248">
        <v>287</v>
      </c>
      <c r="C1248">
        <v>1</v>
      </c>
      <c r="D1248">
        <v>6334</v>
      </c>
      <c r="E1248">
        <f t="shared" si="80"/>
        <v>5</v>
      </c>
      <c r="F1248">
        <f t="shared" si="81"/>
        <v>1</v>
      </c>
      <c r="G1248">
        <f t="shared" si="82"/>
        <v>3</v>
      </c>
      <c r="H1248">
        <f t="shared" si="83"/>
        <v>513</v>
      </c>
    </row>
    <row r="1249" spans="1:8" x14ac:dyDescent="0.55000000000000004">
      <c r="A1249" s="6">
        <v>1.0918317965913139E+19</v>
      </c>
      <c r="B1249">
        <v>367</v>
      </c>
      <c r="C1249">
        <v>2</v>
      </c>
      <c r="D1249">
        <v>4466</v>
      </c>
      <c r="E1249">
        <f t="shared" si="80"/>
        <v>4</v>
      </c>
      <c r="F1249">
        <f t="shared" si="81"/>
        <v>2</v>
      </c>
      <c r="G1249">
        <f t="shared" si="82"/>
        <v>3</v>
      </c>
      <c r="H1249">
        <f t="shared" si="83"/>
        <v>423</v>
      </c>
    </row>
    <row r="1250" spans="1:8" x14ac:dyDescent="0.55000000000000004">
      <c r="A1250" s="6">
        <v>1.0924272414218809E+19</v>
      </c>
      <c r="B1250">
        <v>404</v>
      </c>
      <c r="C1250">
        <v>1</v>
      </c>
      <c r="D1250">
        <v>289</v>
      </c>
      <c r="E1250">
        <f t="shared" si="80"/>
        <v>4</v>
      </c>
      <c r="F1250">
        <f t="shared" si="81"/>
        <v>1</v>
      </c>
      <c r="G1250">
        <f t="shared" si="82"/>
        <v>1</v>
      </c>
      <c r="H1250">
        <f t="shared" si="83"/>
        <v>411</v>
      </c>
    </row>
    <row r="1251" spans="1:8" x14ac:dyDescent="0.55000000000000004">
      <c r="A1251" s="6">
        <v>1.092949294617218E+19</v>
      </c>
      <c r="B1251">
        <v>731</v>
      </c>
      <c r="C1251">
        <v>2</v>
      </c>
      <c r="D1251">
        <v>4566</v>
      </c>
      <c r="E1251">
        <f t="shared" si="80"/>
        <v>3</v>
      </c>
      <c r="F1251">
        <f t="shared" si="81"/>
        <v>2</v>
      </c>
      <c r="G1251">
        <f t="shared" si="82"/>
        <v>3</v>
      </c>
      <c r="H1251">
        <f t="shared" si="83"/>
        <v>323</v>
      </c>
    </row>
    <row r="1252" spans="1:8" x14ac:dyDescent="0.55000000000000004">
      <c r="A1252" s="6">
        <v>1.0929560473596459E+19</v>
      </c>
      <c r="B1252">
        <v>214</v>
      </c>
      <c r="C1252">
        <v>1</v>
      </c>
      <c r="D1252">
        <v>1448</v>
      </c>
      <c r="E1252">
        <f t="shared" si="80"/>
        <v>5</v>
      </c>
      <c r="F1252">
        <f t="shared" si="81"/>
        <v>1</v>
      </c>
      <c r="G1252">
        <f t="shared" si="82"/>
        <v>2</v>
      </c>
      <c r="H1252">
        <f t="shared" si="83"/>
        <v>512</v>
      </c>
    </row>
    <row r="1253" spans="1:8" x14ac:dyDescent="0.55000000000000004">
      <c r="A1253" s="6">
        <v>1.094188770247988E+19</v>
      </c>
      <c r="B1253">
        <v>999</v>
      </c>
      <c r="C1253">
        <v>1</v>
      </c>
      <c r="D1253">
        <v>2210</v>
      </c>
      <c r="E1253">
        <f t="shared" si="80"/>
        <v>2</v>
      </c>
      <c r="F1253">
        <f t="shared" si="81"/>
        <v>1</v>
      </c>
      <c r="G1253">
        <f t="shared" si="82"/>
        <v>2</v>
      </c>
      <c r="H1253">
        <f t="shared" si="83"/>
        <v>212</v>
      </c>
    </row>
    <row r="1254" spans="1:8" x14ac:dyDescent="0.55000000000000004">
      <c r="A1254" s="6">
        <v>1.0950746766661911E+19</v>
      </c>
      <c r="B1254">
        <v>547</v>
      </c>
      <c r="C1254">
        <v>1</v>
      </c>
      <c r="D1254">
        <v>6297</v>
      </c>
      <c r="E1254">
        <f t="shared" si="80"/>
        <v>4</v>
      </c>
      <c r="F1254">
        <f t="shared" si="81"/>
        <v>1</v>
      </c>
      <c r="G1254">
        <f t="shared" si="82"/>
        <v>3</v>
      </c>
      <c r="H1254">
        <f t="shared" si="83"/>
        <v>413</v>
      </c>
    </row>
    <row r="1255" spans="1:8" x14ac:dyDescent="0.55000000000000004">
      <c r="A1255" s="6">
        <v>1.095561435546692E+19</v>
      </c>
      <c r="B1255">
        <v>962</v>
      </c>
      <c r="C1255">
        <v>1</v>
      </c>
      <c r="D1255">
        <v>2187</v>
      </c>
      <c r="E1255">
        <f t="shared" si="80"/>
        <v>2</v>
      </c>
      <c r="F1255">
        <f t="shared" si="81"/>
        <v>1</v>
      </c>
      <c r="G1255">
        <f t="shared" si="82"/>
        <v>2</v>
      </c>
      <c r="H1255">
        <f t="shared" si="83"/>
        <v>212</v>
      </c>
    </row>
    <row r="1256" spans="1:8" x14ac:dyDescent="0.55000000000000004">
      <c r="A1256" s="6">
        <v>1.0956343846870319E+19</v>
      </c>
      <c r="B1256">
        <v>658</v>
      </c>
      <c r="C1256">
        <v>1</v>
      </c>
      <c r="D1256">
        <v>1944</v>
      </c>
      <c r="E1256">
        <f t="shared" si="80"/>
        <v>3</v>
      </c>
      <c r="F1256">
        <f t="shared" si="81"/>
        <v>1</v>
      </c>
      <c r="G1256">
        <f t="shared" si="82"/>
        <v>2</v>
      </c>
      <c r="H1256">
        <f t="shared" si="83"/>
        <v>312</v>
      </c>
    </row>
    <row r="1257" spans="1:8" x14ac:dyDescent="0.55000000000000004">
      <c r="A1257" s="6">
        <v>1.0966372242911189E+19</v>
      </c>
      <c r="B1257">
        <v>437</v>
      </c>
      <c r="C1257">
        <v>1</v>
      </c>
      <c r="D1257">
        <v>375</v>
      </c>
      <c r="E1257">
        <f t="shared" si="80"/>
        <v>4</v>
      </c>
      <c r="F1257">
        <f t="shared" si="81"/>
        <v>1</v>
      </c>
      <c r="G1257">
        <f t="shared" si="82"/>
        <v>1</v>
      </c>
      <c r="H1257">
        <f t="shared" si="83"/>
        <v>411</v>
      </c>
    </row>
    <row r="1258" spans="1:8" x14ac:dyDescent="0.55000000000000004">
      <c r="A1258" s="6">
        <v>1.096725877363165E+19</v>
      </c>
      <c r="B1258">
        <v>620</v>
      </c>
      <c r="C1258">
        <v>1</v>
      </c>
      <c r="D1258">
        <v>473</v>
      </c>
      <c r="E1258">
        <f t="shared" si="80"/>
        <v>3</v>
      </c>
      <c r="F1258">
        <f t="shared" si="81"/>
        <v>1</v>
      </c>
      <c r="G1258">
        <f t="shared" si="82"/>
        <v>1</v>
      </c>
      <c r="H1258">
        <f t="shared" si="83"/>
        <v>311</v>
      </c>
    </row>
    <row r="1259" spans="1:8" x14ac:dyDescent="0.55000000000000004">
      <c r="A1259" s="6">
        <v>1.0981158295790479E+19</v>
      </c>
      <c r="B1259">
        <v>302</v>
      </c>
      <c r="C1259">
        <v>1</v>
      </c>
      <c r="D1259">
        <v>152</v>
      </c>
      <c r="E1259">
        <f t="shared" si="80"/>
        <v>4</v>
      </c>
      <c r="F1259">
        <f t="shared" si="81"/>
        <v>1</v>
      </c>
      <c r="G1259">
        <f t="shared" si="82"/>
        <v>1</v>
      </c>
      <c r="H1259">
        <f t="shared" si="83"/>
        <v>411</v>
      </c>
    </row>
    <row r="1260" spans="1:8" x14ac:dyDescent="0.55000000000000004">
      <c r="A1260" s="6">
        <v>1.0985004871977071E+19</v>
      </c>
      <c r="B1260">
        <v>154</v>
      </c>
      <c r="C1260">
        <v>1</v>
      </c>
      <c r="D1260">
        <v>609</v>
      </c>
      <c r="E1260">
        <f t="shared" si="80"/>
        <v>5</v>
      </c>
      <c r="F1260">
        <f t="shared" si="81"/>
        <v>1</v>
      </c>
      <c r="G1260">
        <f t="shared" si="82"/>
        <v>1</v>
      </c>
      <c r="H1260">
        <f t="shared" si="83"/>
        <v>511</v>
      </c>
    </row>
    <row r="1261" spans="1:8" x14ac:dyDescent="0.55000000000000004">
      <c r="A1261" s="6">
        <v>1.0986192490940271E+19</v>
      </c>
      <c r="B1261">
        <v>204</v>
      </c>
      <c r="C1261">
        <v>1</v>
      </c>
      <c r="D1261">
        <v>158</v>
      </c>
      <c r="E1261">
        <f t="shared" si="80"/>
        <v>5</v>
      </c>
      <c r="F1261">
        <f t="shared" si="81"/>
        <v>1</v>
      </c>
      <c r="G1261">
        <f t="shared" si="82"/>
        <v>1</v>
      </c>
      <c r="H1261">
        <f t="shared" si="83"/>
        <v>511</v>
      </c>
    </row>
    <row r="1262" spans="1:8" x14ac:dyDescent="0.55000000000000004">
      <c r="A1262" s="6">
        <v>1.098847880524816E+19</v>
      </c>
      <c r="B1262">
        <v>681</v>
      </c>
      <c r="C1262">
        <v>1</v>
      </c>
      <c r="D1262">
        <v>6714</v>
      </c>
      <c r="E1262">
        <f t="shared" si="80"/>
        <v>3</v>
      </c>
      <c r="F1262">
        <f t="shared" si="81"/>
        <v>1</v>
      </c>
      <c r="G1262">
        <f t="shared" si="82"/>
        <v>3</v>
      </c>
      <c r="H1262">
        <f t="shared" si="83"/>
        <v>313</v>
      </c>
    </row>
    <row r="1263" spans="1:8" x14ac:dyDescent="0.55000000000000004">
      <c r="A1263" s="6">
        <v>1.099566546605065E+19</v>
      </c>
      <c r="B1263">
        <v>1058</v>
      </c>
      <c r="C1263">
        <v>1</v>
      </c>
      <c r="D1263">
        <v>147</v>
      </c>
      <c r="E1263">
        <f t="shared" si="80"/>
        <v>2</v>
      </c>
      <c r="F1263">
        <f t="shared" si="81"/>
        <v>1</v>
      </c>
      <c r="G1263">
        <f t="shared" si="82"/>
        <v>1</v>
      </c>
      <c r="H1263">
        <f t="shared" si="83"/>
        <v>211</v>
      </c>
    </row>
    <row r="1264" spans="1:8" x14ac:dyDescent="0.55000000000000004">
      <c r="A1264" s="6">
        <v>1.099903876814099E+19</v>
      </c>
      <c r="B1264">
        <v>29</v>
      </c>
      <c r="C1264">
        <v>1</v>
      </c>
      <c r="D1264">
        <v>6705</v>
      </c>
      <c r="E1264">
        <f t="shared" si="80"/>
        <v>5</v>
      </c>
      <c r="F1264">
        <f t="shared" si="81"/>
        <v>1</v>
      </c>
      <c r="G1264">
        <f t="shared" si="82"/>
        <v>3</v>
      </c>
      <c r="H1264">
        <f t="shared" si="83"/>
        <v>513</v>
      </c>
    </row>
    <row r="1265" spans="1:8" x14ac:dyDescent="0.55000000000000004">
      <c r="A1265" s="6">
        <v>1.1029201639594459E+19</v>
      </c>
      <c r="B1265">
        <v>421</v>
      </c>
      <c r="C1265">
        <v>1</v>
      </c>
      <c r="D1265">
        <v>950</v>
      </c>
      <c r="E1265">
        <f t="shared" si="80"/>
        <v>4</v>
      </c>
      <c r="F1265">
        <f t="shared" si="81"/>
        <v>1</v>
      </c>
      <c r="G1265">
        <f t="shared" si="82"/>
        <v>2</v>
      </c>
      <c r="H1265">
        <f t="shared" si="83"/>
        <v>412</v>
      </c>
    </row>
    <row r="1266" spans="1:8" x14ac:dyDescent="0.55000000000000004">
      <c r="A1266" s="6">
        <v>1.1031905768337531E+19</v>
      </c>
      <c r="B1266">
        <v>191</v>
      </c>
      <c r="C1266">
        <v>2</v>
      </c>
      <c r="D1266">
        <v>2773</v>
      </c>
      <c r="E1266">
        <f t="shared" si="80"/>
        <v>5</v>
      </c>
      <c r="F1266">
        <f t="shared" si="81"/>
        <v>2</v>
      </c>
      <c r="G1266">
        <f t="shared" si="82"/>
        <v>3</v>
      </c>
      <c r="H1266">
        <f t="shared" si="83"/>
        <v>523</v>
      </c>
    </row>
    <row r="1267" spans="1:8" x14ac:dyDescent="0.55000000000000004">
      <c r="A1267" s="6">
        <v>1.104004682932333E+19</v>
      </c>
      <c r="B1267">
        <v>132</v>
      </c>
      <c r="C1267">
        <v>1</v>
      </c>
      <c r="D1267">
        <v>747</v>
      </c>
      <c r="E1267">
        <f t="shared" si="80"/>
        <v>5</v>
      </c>
      <c r="F1267">
        <f t="shared" si="81"/>
        <v>1</v>
      </c>
      <c r="G1267">
        <f t="shared" si="82"/>
        <v>2</v>
      </c>
      <c r="H1267">
        <f t="shared" si="83"/>
        <v>512</v>
      </c>
    </row>
    <row r="1268" spans="1:8" x14ac:dyDescent="0.55000000000000004">
      <c r="A1268" s="6">
        <v>1.1055199992902341E+19</v>
      </c>
      <c r="B1268">
        <v>699</v>
      </c>
      <c r="C1268">
        <v>2</v>
      </c>
      <c r="D1268">
        <v>3780</v>
      </c>
      <c r="E1268">
        <f t="shared" si="80"/>
        <v>3</v>
      </c>
      <c r="F1268">
        <f t="shared" si="81"/>
        <v>2</v>
      </c>
      <c r="G1268">
        <f t="shared" si="82"/>
        <v>3</v>
      </c>
      <c r="H1268">
        <f t="shared" si="83"/>
        <v>323</v>
      </c>
    </row>
    <row r="1269" spans="1:8" x14ac:dyDescent="0.55000000000000004">
      <c r="A1269" s="6">
        <v>1.1067767840657379E+19</v>
      </c>
      <c r="B1269">
        <v>653</v>
      </c>
      <c r="C1269">
        <v>2</v>
      </c>
      <c r="D1269">
        <v>249</v>
      </c>
      <c r="E1269">
        <f t="shared" si="80"/>
        <v>3</v>
      </c>
      <c r="F1269">
        <f t="shared" si="81"/>
        <v>2</v>
      </c>
      <c r="G1269">
        <f t="shared" si="82"/>
        <v>1</v>
      </c>
      <c r="H1269">
        <f t="shared" si="83"/>
        <v>321</v>
      </c>
    </row>
    <row r="1270" spans="1:8" x14ac:dyDescent="0.55000000000000004">
      <c r="A1270" s="6">
        <v>1.107480986434713E+19</v>
      </c>
      <c r="B1270">
        <v>747</v>
      </c>
      <c r="C1270">
        <v>2</v>
      </c>
      <c r="D1270">
        <v>1136</v>
      </c>
      <c r="E1270">
        <f t="shared" si="80"/>
        <v>3</v>
      </c>
      <c r="F1270">
        <f t="shared" si="81"/>
        <v>2</v>
      </c>
      <c r="G1270">
        <f t="shared" si="82"/>
        <v>2</v>
      </c>
      <c r="H1270">
        <f t="shared" si="83"/>
        <v>322</v>
      </c>
    </row>
    <row r="1271" spans="1:8" x14ac:dyDescent="0.55000000000000004">
      <c r="A1271" s="6">
        <v>1.107980342040841E+19</v>
      </c>
      <c r="B1271">
        <v>297</v>
      </c>
      <c r="C1271">
        <v>1</v>
      </c>
      <c r="D1271">
        <v>2370</v>
      </c>
      <c r="E1271">
        <f t="shared" si="80"/>
        <v>4</v>
      </c>
      <c r="F1271">
        <f t="shared" si="81"/>
        <v>1</v>
      </c>
      <c r="G1271">
        <f t="shared" si="82"/>
        <v>3</v>
      </c>
      <c r="H1271">
        <f t="shared" si="83"/>
        <v>413</v>
      </c>
    </row>
    <row r="1272" spans="1:8" x14ac:dyDescent="0.55000000000000004">
      <c r="A1272" s="6">
        <v>1.1080176800444951E+19</v>
      </c>
      <c r="B1272">
        <v>970</v>
      </c>
      <c r="C1272">
        <v>1</v>
      </c>
      <c r="D1272">
        <v>1108</v>
      </c>
      <c r="E1272">
        <f t="shared" si="80"/>
        <v>2</v>
      </c>
      <c r="F1272">
        <f t="shared" si="81"/>
        <v>1</v>
      </c>
      <c r="G1272">
        <f t="shared" si="82"/>
        <v>2</v>
      </c>
      <c r="H1272">
        <f t="shared" si="83"/>
        <v>212</v>
      </c>
    </row>
    <row r="1273" spans="1:8" x14ac:dyDescent="0.55000000000000004">
      <c r="A1273" s="6">
        <v>1.1084907403611501E+19</v>
      </c>
      <c r="B1273">
        <v>100</v>
      </c>
      <c r="C1273">
        <v>3</v>
      </c>
      <c r="D1273">
        <v>7375</v>
      </c>
      <c r="E1273">
        <f t="shared" si="80"/>
        <v>5</v>
      </c>
      <c r="F1273">
        <f t="shared" si="81"/>
        <v>3</v>
      </c>
      <c r="G1273">
        <f t="shared" si="82"/>
        <v>3</v>
      </c>
      <c r="H1273">
        <f t="shared" si="83"/>
        <v>533</v>
      </c>
    </row>
    <row r="1274" spans="1:8" x14ac:dyDescent="0.55000000000000004">
      <c r="A1274" s="6">
        <v>1.110002113022685E+19</v>
      </c>
      <c r="B1274">
        <v>578</v>
      </c>
      <c r="C1274">
        <v>1</v>
      </c>
      <c r="D1274">
        <v>1677</v>
      </c>
      <c r="E1274">
        <f t="shared" si="80"/>
        <v>4</v>
      </c>
      <c r="F1274">
        <f t="shared" si="81"/>
        <v>1</v>
      </c>
      <c r="G1274">
        <f t="shared" si="82"/>
        <v>2</v>
      </c>
      <c r="H1274">
        <f t="shared" si="83"/>
        <v>412</v>
      </c>
    </row>
    <row r="1275" spans="1:8" x14ac:dyDescent="0.55000000000000004">
      <c r="A1275" s="6">
        <v>1.1126621026109131E+19</v>
      </c>
      <c r="B1275">
        <v>457</v>
      </c>
      <c r="C1275">
        <v>3</v>
      </c>
      <c r="D1275">
        <v>17212</v>
      </c>
      <c r="E1275">
        <f t="shared" si="80"/>
        <v>4</v>
      </c>
      <c r="F1275">
        <f t="shared" si="81"/>
        <v>3</v>
      </c>
      <c r="G1275">
        <f t="shared" si="82"/>
        <v>3</v>
      </c>
      <c r="H1275">
        <f t="shared" si="83"/>
        <v>433</v>
      </c>
    </row>
    <row r="1276" spans="1:8" x14ac:dyDescent="0.55000000000000004">
      <c r="A1276" s="6">
        <v>1.1132565473107669E+19</v>
      </c>
      <c r="B1276">
        <v>90</v>
      </c>
      <c r="C1276">
        <v>1</v>
      </c>
      <c r="D1276">
        <v>11277</v>
      </c>
      <c r="E1276">
        <f t="shared" si="80"/>
        <v>5</v>
      </c>
      <c r="F1276">
        <f t="shared" si="81"/>
        <v>1</v>
      </c>
      <c r="G1276">
        <f t="shared" si="82"/>
        <v>3</v>
      </c>
      <c r="H1276">
        <f t="shared" si="83"/>
        <v>513</v>
      </c>
    </row>
    <row r="1277" spans="1:8" x14ac:dyDescent="0.55000000000000004">
      <c r="A1277" s="6">
        <v>1.114228487803357E+19</v>
      </c>
      <c r="B1277">
        <v>161</v>
      </c>
      <c r="C1277">
        <v>1</v>
      </c>
      <c r="D1277">
        <v>3122</v>
      </c>
      <c r="E1277">
        <f t="shared" si="80"/>
        <v>5</v>
      </c>
      <c r="F1277">
        <f t="shared" si="81"/>
        <v>1</v>
      </c>
      <c r="G1277">
        <f t="shared" si="82"/>
        <v>3</v>
      </c>
      <c r="H1277">
        <f t="shared" si="83"/>
        <v>513</v>
      </c>
    </row>
    <row r="1278" spans="1:8" x14ac:dyDescent="0.55000000000000004">
      <c r="A1278" s="6">
        <v>1.115799380323557E+19</v>
      </c>
      <c r="B1278">
        <v>483</v>
      </c>
      <c r="C1278">
        <v>2</v>
      </c>
      <c r="D1278">
        <v>10089</v>
      </c>
      <c r="E1278">
        <f t="shared" si="80"/>
        <v>4</v>
      </c>
      <c r="F1278">
        <f t="shared" si="81"/>
        <v>2</v>
      </c>
      <c r="G1278">
        <f t="shared" si="82"/>
        <v>3</v>
      </c>
      <c r="H1278">
        <f t="shared" si="83"/>
        <v>423</v>
      </c>
    </row>
    <row r="1279" spans="1:8" x14ac:dyDescent="0.55000000000000004">
      <c r="A1279" s="6">
        <v>1.1170997202852631E+19</v>
      </c>
      <c r="B1279">
        <v>886</v>
      </c>
      <c r="C1279">
        <v>1</v>
      </c>
      <c r="D1279">
        <v>659</v>
      </c>
      <c r="E1279">
        <f t="shared" si="80"/>
        <v>2</v>
      </c>
      <c r="F1279">
        <f t="shared" si="81"/>
        <v>1</v>
      </c>
      <c r="G1279">
        <f t="shared" si="82"/>
        <v>2</v>
      </c>
      <c r="H1279">
        <f t="shared" si="83"/>
        <v>212</v>
      </c>
    </row>
    <row r="1280" spans="1:8" x14ac:dyDescent="0.55000000000000004">
      <c r="A1280" s="6">
        <v>1.117688049237956E+19</v>
      </c>
      <c r="B1280">
        <v>850</v>
      </c>
      <c r="C1280">
        <v>1</v>
      </c>
      <c r="D1280">
        <v>2304</v>
      </c>
      <c r="E1280">
        <f t="shared" si="80"/>
        <v>3</v>
      </c>
      <c r="F1280">
        <f t="shared" si="81"/>
        <v>1</v>
      </c>
      <c r="G1280">
        <f t="shared" si="82"/>
        <v>3</v>
      </c>
      <c r="H1280">
        <f t="shared" si="83"/>
        <v>313</v>
      </c>
    </row>
    <row r="1281" spans="1:8" x14ac:dyDescent="0.55000000000000004">
      <c r="A1281" s="6">
        <v>1.1178009049025339E+19</v>
      </c>
      <c r="B1281">
        <v>625</v>
      </c>
      <c r="C1281">
        <v>1</v>
      </c>
      <c r="D1281">
        <v>219</v>
      </c>
      <c r="E1281">
        <f t="shared" si="80"/>
        <v>3</v>
      </c>
      <c r="F1281">
        <f t="shared" si="81"/>
        <v>1</v>
      </c>
      <c r="G1281">
        <f t="shared" si="82"/>
        <v>1</v>
      </c>
      <c r="H1281">
        <f t="shared" si="83"/>
        <v>311</v>
      </c>
    </row>
    <row r="1282" spans="1:8" x14ac:dyDescent="0.55000000000000004">
      <c r="A1282" s="6">
        <v>1.118007060145205E+19</v>
      </c>
      <c r="B1282">
        <v>1071</v>
      </c>
      <c r="C1282">
        <v>1</v>
      </c>
      <c r="D1282">
        <v>1790</v>
      </c>
      <c r="E1282">
        <f t="shared" si="80"/>
        <v>2</v>
      </c>
      <c r="F1282">
        <f t="shared" si="81"/>
        <v>1</v>
      </c>
      <c r="G1282">
        <f t="shared" si="82"/>
        <v>2</v>
      </c>
      <c r="H1282">
        <f t="shared" si="83"/>
        <v>212</v>
      </c>
    </row>
    <row r="1283" spans="1:8" x14ac:dyDescent="0.55000000000000004">
      <c r="A1283" s="6">
        <v>1.1186317702052059E+19</v>
      </c>
      <c r="B1283">
        <v>328</v>
      </c>
      <c r="C1283">
        <v>2</v>
      </c>
      <c r="D1283">
        <v>460</v>
      </c>
      <c r="E1283">
        <f t="shared" ref="E1283:E1346" si="84">VLOOKUP(B1283,$K$5:$L$9,2,1)</f>
        <v>4</v>
      </c>
      <c r="F1283">
        <f t="shared" ref="F1283:F1346" si="85">VLOOKUP(C1283,$K$15:$L$17,2,1)</f>
        <v>2</v>
      </c>
      <c r="G1283">
        <f t="shared" ref="G1283:G1346" si="86">VLOOKUP(D1283,$K$24:$L$26,2,1)</f>
        <v>1</v>
      </c>
      <c r="H1283">
        <f t="shared" ref="H1283:H1346" si="87">E1283*100+F1283*10+G1283</f>
        <v>421</v>
      </c>
    </row>
    <row r="1284" spans="1:8" x14ac:dyDescent="0.55000000000000004">
      <c r="A1284" s="6">
        <v>1.119319007137118E+19</v>
      </c>
      <c r="B1284">
        <v>182</v>
      </c>
      <c r="C1284">
        <v>1</v>
      </c>
      <c r="D1284">
        <v>600</v>
      </c>
      <c r="E1284">
        <f t="shared" si="84"/>
        <v>5</v>
      </c>
      <c r="F1284">
        <f t="shared" si="85"/>
        <v>1</v>
      </c>
      <c r="G1284">
        <f t="shared" si="86"/>
        <v>1</v>
      </c>
      <c r="H1284">
        <f t="shared" si="87"/>
        <v>511</v>
      </c>
    </row>
    <row r="1285" spans="1:8" x14ac:dyDescent="0.55000000000000004">
      <c r="A1285" s="6">
        <v>1.1199090371459011E+19</v>
      </c>
      <c r="B1285">
        <v>408</v>
      </c>
      <c r="C1285">
        <v>1</v>
      </c>
      <c r="D1285">
        <v>442</v>
      </c>
      <c r="E1285">
        <f t="shared" si="84"/>
        <v>4</v>
      </c>
      <c r="F1285">
        <f t="shared" si="85"/>
        <v>1</v>
      </c>
      <c r="G1285">
        <f t="shared" si="86"/>
        <v>1</v>
      </c>
      <c r="H1285">
        <f t="shared" si="87"/>
        <v>411</v>
      </c>
    </row>
    <row r="1286" spans="1:8" x14ac:dyDescent="0.55000000000000004">
      <c r="A1286" s="6">
        <v>1.1202250609199221E+19</v>
      </c>
      <c r="B1286">
        <v>146</v>
      </c>
      <c r="C1286">
        <v>1</v>
      </c>
      <c r="D1286">
        <v>420</v>
      </c>
      <c r="E1286">
        <f t="shared" si="84"/>
        <v>5</v>
      </c>
      <c r="F1286">
        <f t="shared" si="85"/>
        <v>1</v>
      </c>
      <c r="G1286">
        <f t="shared" si="86"/>
        <v>1</v>
      </c>
      <c r="H1286">
        <f t="shared" si="87"/>
        <v>511</v>
      </c>
    </row>
    <row r="1287" spans="1:8" x14ac:dyDescent="0.55000000000000004">
      <c r="A1287" s="6">
        <v>1.1207670893265261E+19</v>
      </c>
      <c r="B1287">
        <v>90</v>
      </c>
      <c r="C1287">
        <v>1</v>
      </c>
      <c r="D1287">
        <v>3070</v>
      </c>
      <c r="E1287">
        <f t="shared" si="84"/>
        <v>5</v>
      </c>
      <c r="F1287">
        <f t="shared" si="85"/>
        <v>1</v>
      </c>
      <c r="G1287">
        <f t="shared" si="86"/>
        <v>3</v>
      </c>
      <c r="H1287">
        <f t="shared" si="87"/>
        <v>513</v>
      </c>
    </row>
    <row r="1288" spans="1:8" x14ac:dyDescent="0.55000000000000004">
      <c r="A1288" s="6">
        <v>1.1241629119637049E+19</v>
      </c>
      <c r="B1288">
        <v>300</v>
      </c>
      <c r="C1288">
        <v>1</v>
      </c>
      <c r="D1288">
        <v>1279</v>
      </c>
      <c r="E1288">
        <f t="shared" si="84"/>
        <v>4</v>
      </c>
      <c r="F1288">
        <f t="shared" si="85"/>
        <v>1</v>
      </c>
      <c r="G1288">
        <f t="shared" si="86"/>
        <v>2</v>
      </c>
      <c r="H1288">
        <f t="shared" si="87"/>
        <v>412</v>
      </c>
    </row>
    <row r="1289" spans="1:8" x14ac:dyDescent="0.55000000000000004">
      <c r="A1289" s="6">
        <v>1.1243664569943089E+19</v>
      </c>
      <c r="B1289">
        <v>585</v>
      </c>
      <c r="C1289">
        <v>1</v>
      </c>
      <c r="D1289">
        <v>3639</v>
      </c>
      <c r="E1289">
        <f t="shared" si="84"/>
        <v>3</v>
      </c>
      <c r="F1289">
        <f t="shared" si="85"/>
        <v>1</v>
      </c>
      <c r="G1289">
        <f t="shared" si="86"/>
        <v>3</v>
      </c>
      <c r="H1289">
        <f t="shared" si="87"/>
        <v>313</v>
      </c>
    </row>
    <row r="1290" spans="1:8" x14ac:dyDescent="0.55000000000000004">
      <c r="A1290" s="6">
        <v>1.126781882181503E+19</v>
      </c>
      <c r="B1290">
        <v>1019</v>
      </c>
      <c r="C1290">
        <v>1</v>
      </c>
      <c r="D1290">
        <v>309</v>
      </c>
      <c r="E1290">
        <f t="shared" si="84"/>
        <v>2</v>
      </c>
      <c r="F1290">
        <f t="shared" si="85"/>
        <v>1</v>
      </c>
      <c r="G1290">
        <f t="shared" si="86"/>
        <v>1</v>
      </c>
      <c r="H1290">
        <f t="shared" si="87"/>
        <v>211</v>
      </c>
    </row>
    <row r="1291" spans="1:8" x14ac:dyDescent="0.55000000000000004">
      <c r="A1291" s="6">
        <v>1.1267827626651091E+19</v>
      </c>
      <c r="B1291">
        <v>71</v>
      </c>
      <c r="C1291">
        <v>2</v>
      </c>
      <c r="D1291">
        <v>5556</v>
      </c>
      <c r="E1291">
        <f t="shared" si="84"/>
        <v>5</v>
      </c>
      <c r="F1291">
        <f t="shared" si="85"/>
        <v>2</v>
      </c>
      <c r="G1291">
        <f t="shared" si="86"/>
        <v>3</v>
      </c>
      <c r="H1291">
        <f t="shared" si="87"/>
        <v>523</v>
      </c>
    </row>
    <row r="1292" spans="1:8" x14ac:dyDescent="0.55000000000000004">
      <c r="A1292" s="6">
        <v>1.1270285578073041E+19</v>
      </c>
      <c r="B1292">
        <v>969</v>
      </c>
      <c r="C1292">
        <v>1</v>
      </c>
      <c r="D1292">
        <v>1600</v>
      </c>
      <c r="E1292">
        <f t="shared" si="84"/>
        <v>2</v>
      </c>
      <c r="F1292">
        <f t="shared" si="85"/>
        <v>1</v>
      </c>
      <c r="G1292">
        <f t="shared" si="86"/>
        <v>2</v>
      </c>
      <c r="H1292">
        <f t="shared" si="87"/>
        <v>212</v>
      </c>
    </row>
    <row r="1293" spans="1:8" x14ac:dyDescent="0.55000000000000004">
      <c r="A1293" s="6">
        <v>1.1286749485820361E+19</v>
      </c>
      <c r="B1293">
        <v>104</v>
      </c>
      <c r="C1293">
        <v>2</v>
      </c>
      <c r="D1293">
        <v>6715</v>
      </c>
      <c r="E1293">
        <f t="shared" si="84"/>
        <v>5</v>
      </c>
      <c r="F1293">
        <f t="shared" si="85"/>
        <v>2</v>
      </c>
      <c r="G1293">
        <f t="shared" si="86"/>
        <v>3</v>
      </c>
      <c r="H1293">
        <f t="shared" si="87"/>
        <v>523</v>
      </c>
    </row>
    <row r="1294" spans="1:8" x14ac:dyDescent="0.55000000000000004">
      <c r="A1294" s="6">
        <v>1.128739452807603E+19</v>
      </c>
      <c r="B1294">
        <v>561</v>
      </c>
      <c r="C1294">
        <v>2</v>
      </c>
      <c r="D1294">
        <v>3520</v>
      </c>
      <c r="E1294">
        <f t="shared" si="84"/>
        <v>4</v>
      </c>
      <c r="F1294">
        <f t="shared" si="85"/>
        <v>2</v>
      </c>
      <c r="G1294">
        <f t="shared" si="86"/>
        <v>3</v>
      </c>
      <c r="H1294">
        <f t="shared" si="87"/>
        <v>423</v>
      </c>
    </row>
    <row r="1295" spans="1:8" x14ac:dyDescent="0.55000000000000004">
      <c r="A1295" s="6">
        <v>1.1294433590603149E+19</v>
      </c>
      <c r="B1295">
        <v>11</v>
      </c>
      <c r="C1295">
        <v>2</v>
      </c>
      <c r="D1295">
        <v>1243</v>
      </c>
      <c r="E1295">
        <f t="shared" si="84"/>
        <v>5</v>
      </c>
      <c r="F1295">
        <f t="shared" si="85"/>
        <v>2</v>
      </c>
      <c r="G1295">
        <f t="shared" si="86"/>
        <v>2</v>
      </c>
      <c r="H1295">
        <f t="shared" si="87"/>
        <v>522</v>
      </c>
    </row>
    <row r="1296" spans="1:8" x14ac:dyDescent="0.55000000000000004">
      <c r="A1296" s="6">
        <v>1.1303649973130521E+19</v>
      </c>
      <c r="B1296">
        <v>527</v>
      </c>
      <c r="C1296">
        <v>1</v>
      </c>
      <c r="D1296">
        <v>870</v>
      </c>
      <c r="E1296">
        <f t="shared" si="84"/>
        <v>4</v>
      </c>
      <c r="F1296">
        <f t="shared" si="85"/>
        <v>1</v>
      </c>
      <c r="G1296">
        <f t="shared" si="86"/>
        <v>2</v>
      </c>
      <c r="H1296">
        <f t="shared" si="87"/>
        <v>412</v>
      </c>
    </row>
    <row r="1297" spans="1:8" x14ac:dyDescent="0.55000000000000004">
      <c r="A1297" s="6">
        <v>1.131142693729382E+19</v>
      </c>
      <c r="B1297">
        <v>538</v>
      </c>
      <c r="C1297">
        <v>2</v>
      </c>
      <c r="D1297">
        <v>3404</v>
      </c>
      <c r="E1297">
        <f t="shared" si="84"/>
        <v>4</v>
      </c>
      <c r="F1297">
        <f t="shared" si="85"/>
        <v>2</v>
      </c>
      <c r="G1297">
        <f t="shared" si="86"/>
        <v>3</v>
      </c>
      <c r="H1297">
        <f t="shared" si="87"/>
        <v>423</v>
      </c>
    </row>
    <row r="1298" spans="1:8" x14ac:dyDescent="0.55000000000000004">
      <c r="A1298" s="6">
        <v>1.1319362061343341E+19</v>
      </c>
      <c r="B1298">
        <v>716</v>
      </c>
      <c r="C1298">
        <v>1</v>
      </c>
      <c r="D1298">
        <v>449</v>
      </c>
      <c r="E1298">
        <f t="shared" si="84"/>
        <v>3</v>
      </c>
      <c r="F1298">
        <f t="shared" si="85"/>
        <v>1</v>
      </c>
      <c r="G1298">
        <f t="shared" si="86"/>
        <v>1</v>
      </c>
      <c r="H1298">
        <f t="shared" si="87"/>
        <v>311</v>
      </c>
    </row>
    <row r="1299" spans="1:8" x14ac:dyDescent="0.55000000000000004">
      <c r="A1299" s="6">
        <v>1.133390963730451E+19</v>
      </c>
      <c r="B1299">
        <v>94</v>
      </c>
      <c r="C1299">
        <v>1</v>
      </c>
      <c r="D1299">
        <v>12760</v>
      </c>
      <c r="E1299">
        <f t="shared" si="84"/>
        <v>5</v>
      </c>
      <c r="F1299">
        <f t="shared" si="85"/>
        <v>1</v>
      </c>
      <c r="G1299">
        <f t="shared" si="86"/>
        <v>3</v>
      </c>
      <c r="H1299">
        <f t="shared" si="87"/>
        <v>513</v>
      </c>
    </row>
    <row r="1300" spans="1:8" x14ac:dyDescent="0.55000000000000004">
      <c r="A1300" s="6">
        <v>1.1338584012558399E+19</v>
      </c>
      <c r="B1300">
        <v>162</v>
      </c>
      <c r="C1300">
        <v>1</v>
      </c>
      <c r="D1300">
        <v>2990</v>
      </c>
      <c r="E1300">
        <f t="shared" si="84"/>
        <v>5</v>
      </c>
      <c r="F1300">
        <f t="shared" si="85"/>
        <v>1</v>
      </c>
      <c r="G1300">
        <f t="shared" si="86"/>
        <v>3</v>
      </c>
      <c r="H1300">
        <f t="shared" si="87"/>
        <v>513</v>
      </c>
    </row>
    <row r="1301" spans="1:8" x14ac:dyDescent="0.55000000000000004">
      <c r="A1301" s="6">
        <v>1.134533715575798E+19</v>
      </c>
      <c r="B1301">
        <v>942</v>
      </c>
      <c r="C1301">
        <v>1</v>
      </c>
      <c r="D1301">
        <v>184</v>
      </c>
      <c r="E1301">
        <f t="shared" si="84"/>
        <v>2</v>
      </c>
      <c r="F1301">
        <f t="shared" si="85"/>
        <v>1</v>
      </c>
      <c r="G1301">
        <f t="shared" si="86"/>
        <v>1</v>
      </c>
      <c r="H1301">
        <f t="shared" si="87"/>
        <v>211</v>
      </c>
    </row>
    <row r="1302" spans="1:8" x14ac:dyDescent="0.55000000000000004">
      <c r="A1302" s="6">
        <v>1.134540150975931E+19</v>
      </c>
      <c r="B1302">
        <v>1053</v>
      </c>
      <c r="C1302">
        <v>2</v>
      </c>
      <c r="D1302">
        <v>5399</v>
      </c>
      <c r="E1302">
        <f t="shared" si="84"/>
        <v>2</v>
      </c>
      <c r="F1302">
        <f t="shared" si="85"/>
        <v>2</v>
      </c>
      <c r="G1302">
        <f t="shared" si="86"/>
        <v>3</v>
      </c>
      <c r="H1302">
        <f t="shared" si="87"/>
        <v>223</v>
      </c>
    </row>
    <row r="1303" spans="1:8" x14ac:dyDescent="0.55000000000000004">
      <c r="A1303" s="6">
        <v>1.1358988740140071E+19</v>
      </c>
      <c r="B1303">
        <v>36</v>
      </c>
      <c r="C1303">
        <v>1</v>
      </c>
      <c r="D1303">
        <v>19170</v>
      </c>
      <c r="E1303">
        <f t="shared" si="84"/>
        <v>5</v>
      </c>
      <c r="F1303">
        <f t="shared" si="85"/>
        <v>1</v>
      </c>
      <c r="G1303">
        <f t="shared" si="86"/>
        <v>3</v>
      </c>
      <c r="H1303">
        <f t="shared" si="87"/>
        <v>513</v>
      </c>
    </row>
    <row r="1304" spans="1:8" x14ac:dyDescent="0.55000000000000004">
      <c r="A1304" s="6">
        <v>1.1360906724565379E+19</v>
      </c>
      <c r="B1304">
        <v>32</v>
      </c>
      <c r="C1304">
        <v>2</v>
      </c>
      <c r="D1304">
        <v>3540</v>
      </c>
      <c r="E1304">
        <f t="shared" si="84"/>
        <v>5</v>
      </c>
      <c r="F1304">
        <f t="shared" si="85"/>
        <v>2</v>
      </c>
      <c r="G1304">
        <f t="shared" si="86"/>
        <v>3</v>
      </c>
      <c r="H1304">
        <f t="shared" si="87"/>
        <v>523</v>
      </c>
    </row>
    <row r="1305" spans="1:8" x14ac:dyDescent="0.55000000000000004">
      <c r="A1305" s="6">
        <v>1.1372774529424939E+19</v>
      </c>
      <c r="B1305">
        <v>103</v>
      </c>
      <c r="C1305">
        <v>1</v>
      </c>
      <c r="D1305">
        <v>9672</v>
      </c>
      <c r="E1305">
        <f t="shared" si="84"/>
        <v>5</v>
      </c>
      <c r="F1305">
        <f t="shared" si="85"/>
        <v>1</v>
      </c>
      <c r="G1305">
        <f t="shared" si="86"/>
        <v>3</v>
      </c>
      <c r="H1305">
        <f t="shared" si="87"/>
        <v>513</v>
      </c>
    </row>
    <row r="1306" spans="1:8" x14ac:dyDescent="0.55000000000000004">
      <c r="A1306" s="6">
        <v>1.137483445246679E+19</v>
      </c>
      <c r="B1306">
        <v>300</v>
      </c>
      <c r="C1306">
        <v>2</v>
      </c>
      <c r="D1306">
        <v>2476</v>
      </c>
      <c r="E1306">
        <f t="shared" si="84"/>
        <v>4</v>
      </c>
      <c r="F1306">
        <f t="shared" si="85"/>
        <v>2</v>
      </c>
      <c r="G1306">
        <f t="shared" si="86"/>
        <v>3</v>
      </c>
      <c r="H1306">
        <f t="shared" si="87"/>
        <v>423</v>
      </c>
    </row>
    <row r="1307" spans="1:8" x14ac:dyDescent="0.55000000000000004">
      <c r="A1307" s="6">
        <v>1.1385402060610189E+19</v>
      </c>
      <c r="B1307">
        <v>670</v>
      </c>
      <c r="C1307">
        <v>1</v>
      </c>
      <c r="D1307">
        <v>6856</v>
      </c>
      <c r="E1307">
        <f t="shared" si="84"/>
        <v>3</v>
      </c>
      <c r="F1307">
        <f t="shared" si="85"/>
        <v>1</v>
      </c>
      <c r="G1307">
        <f t="shared" si="86"/>
        <v>3</v>
      </c>
      <c r="H1307">
        <f t="shared" si="87"/>
        <v>313</v>
      </c>
    </row>
    <row r="1308" spans="1:8" x14ac:dyDescent="0.55000000000000004">
      <c r="A1308" s="6">
        <v>1.142685925263751E+19</v>
      </c>
      <c r="B1308">
        <v>886</v>
      </c>
      <c r="C1308">
        <v>2</v>
      </c>
      <c r="D1308">
        <v>1221</v>
      </c>
      <c r="E1308">
        <f t="shared" si="84"/>
        <v>2</v>
      </c>
      <c r="F1308">
        <f t="shared" si="85"/>
        <v>2</v>
      </c>
      <c r="G1308">
        <f t="shared" si="86"/>
        <v>2</v>
      </c>
      <c r="H1308">
        <f t="shared" si="87"/>
        <v>222</v>
      </c>
    </row>
    <row r="1309" spans="1:8" x14ac:dyDescent="0.55000000000000004">
      <c r="A1309" s="6">
        <v>1.1427219249676179E+19</v>
      </c>
      <c r="B1309">
        <v>419</v>
      </c>
      <c r="C1309">
        <v>1</v>
      </c>
      <c r="D1309">
        <v>476</v>
      </c>
      <c r="E1309">
        <f t="shared" si="84"/>
        <v>4</v>
      </c>
      <c r="F1309">
        <f t="shared" si="85"/>
        <v>1</v>
      </c>
      <c r="G1309">
        <f t="shared" si="86"/>
        <v>1</v>
      </c>
      <c r="H1309">
        <f t="shared" si="87"/>
        <v>411</v>
      </c>
    </row>
    <row r="1310" spans="1:8" x14ac:dyDescent="0.55000000000000004">
      <c r="A1310" s="6">
        <v>1.143367781385737E+19</v>
      </c>
      <c r="B1310">
        <v>252</v>
      </c>
      <c r="C1310">
        <v>1</v>
      </c>
      <c r="D1310">
        <v>13140</v>
      </c>
      <c r="E1310">
        <f t="shared" si="84"/>
        <v>5</v>
      </c>
      <c r="F1310">
        <f t="shared" si="85"/>
        <v>1</v>
      </c>
      <c r="G1310">
        <f t="shared" si="86"/>
        <v>3</v>
      </c>
      <c r="H1310">
        <f t="shared" si="87"/>
        <v>513</v>
      </c>
    </row>
    <row r="1311" spans="1:8" x14ac:dyDescent="0.55000000000000004">
      <c r="A1311" s="6">
        <v>1.145588362923189E+19</v>
      </c>
      <c r="B1311">
        <v>600</v>
      </c>
      <c r="C1311">
        <v>3</v>
      </c>
      <c r="D1311">
        <v>3125</v>
      </c>
      <c r="E1311">
        <f t="shared" si="84"/>
        <v>3</v>
      </c>
      <c r="F1311">
        <f t="shared" si="85"/>
        <v>3</v>
      </c>
      <c r="G1311">
        <f t="shared" si="86"/>
        <v>3</v>
      </c>
      <c r="H1311">
        <f t="shared" si="87"/>
        <v>333</v>
      </c>
    </row>
    <row r="1312" spans="1:8" x14ac:dyDescent="0.55000000000000004">
      <c r="A1312" s="6">
        <v>1.1459300322875841E+19</v>
      </c>
      <c r="B1312">
        <v>502</v>
      </c>
      <c r="C1312">
        <v>1</v>
      </c>
      <c r="D1312">
        <v>2187</v>
      </c>
      <c r="E1312">
        <f t="shared" si="84"/>
        <v>4</v>
      </c>
      <c r="F1312">
        <f t="shared" si="85"/>
        <v>1</v>
      </c>
      <c r="G1312">
        <f t="shared" si="86"/>
        <v>2</v>
      </c>
      <c r="H1312">
        <f t="shared" si="87"/>
        <v>412</v>
      </c>
    </row>
    <row r="1313" spans="1:8" x14ac:dyDescent="0.55000000000000004">
      <c r="A1313" s="6">
        <v>1.1460152469481581E+19</v>
      </c>
      <c r="B1313">
        <v>37</v>
      </c>
      <c r="C1313">
        <v>1</v>
      </c>
      <c r="D1313">
        <v>4163</v>
      </c>
      <c r="E1313">
        <f t="shared" si="84"/>
        <v>5</v>
      </c>
      <c r="F1313">
        <f t="shared" si="85"/>
        <v>1</v>
      </c>
      <c r="G1313">
        <f t="shared" si="86"/>
        <v>3</v>
      </c>
      <c r="H1313">
        <f t="shared" si="87"/>
        <v>513</v>
      </c>
    </row>
    <row r="1314" spans="1:8" x14ac:dyDescent="0.55000000000000004">
      <c r="A1314" s="6">
        <v>1.1466666695778251E+19</v>
      </c>
      <c r="B1314">
        <v>26</v>
      </c>
      <c r="C1314">
        <v>2</v>
      </c>
      <c r="D1314">
        <v>1019</v>
      </c>
      <c r="E1314">
        <f t="shared" si="84"/>
        <v>5</v>
      </c>
      <c r="F1314">
        <f t="shared" si="85"/>
        <v>2</v>
      </c>
      <c r="G1314">
        <f t="shared" si="86"/>
        <v>2</v>
      </c>
      <c r="H1314">
        <f t="shared" si="87"/>
        <v>522</v>
      </c>
    </row>
    <row r="1315" spans="1:8" x14ac:dyDescent="0.55000000000000004">
      <c r="A1315" s="6">
        <v>1.146959185110059E+19</v>
      </c>
      <c r="B1315">
        <v>452</v>
      </c>
      <c r="C1315">
        <v>1</v>
      </c>
      <c r="D1315">
        <v>287</v>
      </c>
      <c r="E1315">
        <f t="shared" si="84"/>
        <v>4</v>
      </c>
      <c r="F1315">
        <f t="shared" si="85"/>
        <v>1</v>
      </c>
      <c r="G1315">
        <f t="shared" si="86"/>
        <v>1</v>
      </c>
      <c r="H1315">
        <f t="shared" si="87"/>
        <v>411</v>
      </c>
    </row>
    <row r="1316" spans="1:8" x14ac:dyDescent="0.55000000000000004">
      <c r="A1316" s="6">
        <v>1.14696528733557E+19</v>
      </c>
      <c r="B1316">
        <v>445</v>
      </c>
      <c r="C1316">
        <v>1</v>
      </c>
      <c r="D1316">
        <v>776</v>
      </c>
      <c r="E1316">
        <f t="shared" si="84"/>
        <v>4</v>
      </c>
      <c r="F1316">
        <f t="shared" si="85"/>
        <v>1</v>
      </c>
      <c r="G1316">
        <f t="shared" si="86"/>
        <v>2</v>
      </c>
      <c r="H1316">
        <f t="shared" si="87"/>
        <v>412</v>
      </c>
    </row>
    <row r="1317" spans="1:8" x14ac:dyDescent="0.55000000000000004">
      <c r="A1317" s="6">
        <v>1.14714685135289E+19</v>
      </c>
      <c r="B1317">
        <v>549</v>
      </c>
      <c r="C1317">
        <v>2</v>
      </c>
      <c r="D1317">
        <v>3003</v>
      </c>
      <c r="E1317">
        <f t="shared" si="84"/>
        <v>4</v>
      </c>
      <c r="F1317">
        <f t="shared" si="85"/>
        <v>2</v>
      </c>
      <c r="G1317">
        <f t="shared" si="86"/>
        <v>3</v>
      </c>
      <c r="H1317">
        <f t="shared" si="87"/>
        <v>423</v>
      </c>
    </row>
    <row r="1318" spans="1:8" x14ac:dyDescent="0.55000000000000004">
      <c r="A1318" s="6">
        <v>1.147967475040103E+19</v>
      </c>
      <c r="B1318">
        <v>157</v>
      </c>
      <c r="C1318">
        <v>3</v>
      </c>
      <c r="D1318">
        <v>5568</v>
      </c>
      <c r="E1318">
        <f t="shared" si="84"/>
        <v>5</v>
      </c>
      <c r="F1318">
        <f t="shared" si="85"/>
        <v>3</v>
      </c>
      <c r="G1318">
        <f t="shared" si="86"/>
        <v>3</v>
      </c>
      <c r="H1318">
        <f t="shared" si="87"/>
        <v>533</v>
      </c>
    </row>
    <row r="1319" spans="1:8" x14ac:dyDescent="0.55000000000000004">
      <c r="A1319" s="6">
        <v>1.148626856843024E+19</v>
      </c>
      <c r="B1319">
        <v>984</v>
      </c>
      <c r="C1319">
        <v>1</v>
      </c>
      <c r="D1319">
        <v>162</v>
      </c>
      <c r="E1319">
        <f t="shared" si="84"/>
        <v>2</v>
      </c>
      <c r="F1319">
        <f t="shared" si="85"/>
        <v>1</v>
      </c>
      <c r="G1319">
        <f t="shared" si="86"/>
        <v>1</v>
      </c>
      <c r="H1319">
        <f t="shared" si="87"/>
        <v>211</v>
      </c>
    </row>
    <row r="1320" spans="1:8" x14ac:dyDescent="0.55000000000000004">
      <c r="A1320" s="6">
        <v>1.1491400822540571E+19</v>
      </c>
      <c r="B1320">
        <v>220</v>
      </c>
      <c r="C1320">
        <v>2</v>
      </c>
      <c r="D1320">
        <v>4256</v>
      </c>
      <c r="E1320">
        <f t="shared" si="84"/>
        <v>5</v>
      </c>
      <c r="F1320">
        <f t="shared" si="85"/>
        <v>2</v>
      </c>
      <c r="G1320">
        <f t="shared" si="86"/>
        <v>3</v>
      </c>
      <c r="H1320">
        <f t="shared" si="87"/>
        <v>523</v>
      </c>
    </row>
    <row r="1321" spans="1:8" x14ac:dyDescent="0.55000000000000004">
      <c r="A1321" s="6">
        <v>1.1493028239600341E+19</v>
      </c>
      <c r="B1321">
        <v>121</v>
      </c>
      <c r="C1321">
        <v>2</v>
      </c>
      <c r="D1321">
        <v>2836</v>
      </c>
      <c r="E1321">
        <f t="shared" si="84"/>
        <v>5</v>
      </c>
      <c r="F1321">
        <f t="shared" si="85"/>
        <v>2</v>
      </c>
      <c r="G1321">
        <f t="shared" si="86"/>
        <v>3</v>
      </c>
      <c r="H1321">
        <f t="shared" si="87"/>
        <v>523</v>
      </c>
    </row>
    <row r="1322" spans="1:8" x14ac:dyDescent="0.55000000000000004">
      <c r="A1322" s="6">
        <v>1.149354572414932E+19</v>
      </c>
      <c r="B1322">
        <v>48</v>
      </c>
      <c r="C1322">
        <v>1</v>
      </c>
      <c r="D1322">
        <v>2220</v>
      </c>
      <c r="E1322">
        <f t="shared" si="84"/>
        <v>5</v>
      </c>
      <c r="F1322">
        <f t="shared" si="85"/>
        <v>1</v>
      </c>
      <c r="G1322">
        <f t="shared" si="86"/>
        <v>2</v>
      </c>
      <c r="H1322">
        <f t="shared" si="87"/>
        <v>512</v>
      </c>
    </row>
    <row r="1323" spans="1:8" x14ac:dyDescent="0.55000000000000004">
      <c r="A1323" s="6">
        <v>1.152119540767922E+19</v>
      </c>
      <c r="B1323">
        <v>599</v>
      </c>
      <c r="C1323">
        <v>1</v>
      </c>
      <c r="D1323">
        <v>4130</v>
      </c>
      <c r="E1323">
        <f t="shared" si="84"/>
        <v>3</v>
      </c>
      <c r="F1323">
        <f t="shared" si="85"/>
        <v>1</v>
      </c>
      <c r="G1323">
        <f t="shared" si="86"/>
        <v>3</v>
      </c>
      <c r="H1323">
        <f t="shared" si="87"/>
        <v>313</v>
      </c>
    </row>
    <row r="1324" spans="1:8" x14ac:dyDescent="0.55000000000000004">
      <c r="A1324" s="6">
        <v>1.1521822572636701E+19</v>
      </c>
      <c r="B1324">
        <v>1143</v>
      </c>
      <c r="C1324">
        <v>1</v>
      </c>
      <c r="D1324">
        <v>154</v>
      </c>
      <c r="E1324">
        <f t="shared" si="84"/>
        <v>2</v>
      </c>
      <c r="F1324">
        <f t="shared" si="85"/>
        <v>1</v>
      </c>
      <c r="G1324">
        <f t="shared" si="86"/>
        <v>1</v>
      </c>
      <c r="H1324">
        <f t="shared" si="87"/>
        <v>211</v>
      </c>
    </row>
    <row r="1325" spans="1:8" x14ac:dyDescent="0.55000000000000004">
      <c r="A1325" s="6">
        <v>1.1523051514952149E+19</v>
      </c>
      <c r="B1325">
        <v>85</v>
      </c>
      <c r="C1325">
        <v>1</v>
      </c>
      <c r="D1325">
        <v>1125</v>
      </c>
      <c r="E1325">
        <f t="shared" si="84"/>
        <v>5</v>
      </c>
      <c r="F1325">
        <f t="shared" si="85"/>
        <v>1</v>
      </c>
      <c r="G1325">
        <f t="shared" si="86"/>
        <v>2</v>
      </c>
      <c r="H1325">
        <f t="shared" si="87"/>
        <v>512</v>
      </c>
    </row>
    <row r="1326" spans="1:8" x14ac:dyDescent="0.55000000000000004">
      <c r="A1326" s="6">
        <v>1.1528292962030739E+19</v>
      </c>
      <c r="B1326">
        <v>984</v>
      </c>
      <c r="C1326">
        <v>1</v>
      </c>
      <c r="D1326">
        <v>1053</v>
      </c>
      <c r="E1326">
        <f t="shared" si="84"/>
        <v>2</v>
      </c>
      <c r="F1326">
        <f t="shared" si="85"/>
        <v>1</v>
      </c>
      <c r="G1326">
        <f t="shared" si="86"/>
        <v>2</v>
      </c>
      <c r="H1326">
        <f t="shared" si="87"/>
        <v>212</v>
      </c>
    </row>
    <row r="1327" spans="1:8" x14ac:dyDescent="0.55000000000000004">
      <c r="A1327" s="6">
        <v>1.153629071735875E+19</v>
      </c>
      <c r="B1327">
        <v>37</v>
      </c>
      <c r="C1327">
        <v>1</v>
      </c>
      <c r="D1327">
        <v>897</v>
      </c>
      <c r="E1327">
        <f t="shared" si="84"/>
        <v>5</v>
      </c>
      <c r="F1327">
        <f t="shared" si="85"/>
        <v>1</v>
      </c>
      <c r="G1327">
        <f t="shared" si="86"/>
        <v>2</v>
      </c>
      <c r="H1327">
        <f t="shared" si="87"/>
        <v>512</v>
      </c>
    </row>
    <row r="1328" spans="1:8" x14ac:dyDescent="0.55000000000000004">
      <c r="A1328" s="6">
        <v>1.154366778486877E+19</v>
      </c>
      <c r="B1328">
        <v>825</v>
      </c>
      <c r="C1328">
        <v>2</v>
      </c>
      <c r="D1328">
        <v>1914</v>
      </c>
      <c r="E1328">
        <f t="shared" si="84"/>
        <v>3</v>
      </c>
      <c r="F1328">
        <f t="shared" si="85"/>
        <v>2</v>
      </c>
      <c r="G1328">
        <f t="shared" si="86"/>
        <v>2</v>
      </c>
      <c r="H1328">
        <f t="shared" si="87"/>
        <v>322</v>
      </c>
    </row>
    <row r="1329" spans="1:8" x14ac:dyDescent="0.55000000000000004">
      <c r="A1329" s="6">
        <v>1.1544241182249429E+19</v>
      </c>
      <c r="B1329">
        <v>333</v>
      </c>
      <c r="C1329">
        <v>1</v>
      </c>
      <c r="D1329">
        <v>597</v>
      </c>
      <c r="E1329">
        <f t="shared" si="84"/>
        <v>4</v>
      </c>
      <c r="F1329">
        <f t="shared" si="85"/>
        <v>1</v>
      </c>
      <c r="G1329">
        <f t="shared" si="86"/>
        <v>1</v>
      </c>
      <c r="H1329">
        <f t="shared" si="87"/>
        <v>411</v>
      </c>
    </row>
    <row r="1330" spans="1:8" x14ac:dyDescent="0.55000000000000004">
      <c r="A1330" s="6">
        <v>1.154938793058756E+19</v>
      </c>
      <c r="B1330">
        <v>547</v>
      </c>
      <c r="C1330">
        <v>1</v>
      </c>
      <c r="D1330">
        <v>567</v>
      </c>
      <c r="E1330">
        <f t="shared" si="84"/>
        <v>4</v>
      </c>
      <c r="F1330">
        <f t="shared" si="85"/>
        <v>1</v>
      </c>
      <c r="G1330">
        <f t="shared" si="86"/>
        <v>1</v>
      </c>
      <c r="H1330">
        <f t="shared" si="87"/>
        <v>411</v>
      </c>
    </row>
    <row r="1331" spans="1:8" x14ac:dyDescent="0.55000000000000004">
      <c r="A1331" s="6">
        <v>1.1550104643117511E+19</v>
      </c>
      <c r="B1331">
        <v>295</v>
      </c>
      <c r="C1331">
        <v>2</v>
      </c>
      <c r="D1331">
        <v>1663</v>
      </c>
      <c r="E1331">
        <f t="shared" si="84"/>
        <v>4</v>
      </c>
      <c r="F1331">
        <f t="shared" si="85"/>
        <v>2</v>
      </c>
      <c r="G1331">
        <f t="shared" si="86"/>
        <v>2</v>
      </c>
      <c r="H1331">
        <f t="shared" si="87"/>
        <v>422</v>
      </c>
    </row>
    <row r="1332" spans="1:8" x14ac:dyDescent="0.55000000000000004">
      <c r="A1332" s="6">
        <v>1.1557647190012129E+19</v>
      </c>
      <c r="B1332">
        <v>197</v>
      </c>
      <c r="C1332">
        <v>1</v>
      </c>
      <c r="D1332">
        <v>38.65</v>
      </c>
      <c r="E1332">
        <f t="shared" si="84"/>
        <v>5</v>
      </c>
      <c r="F1332">
        <f t="shared" si="85"/>
        <v>1</v>
      </c>
      <c r="G1332">
        <f t="shared" si="86"/>
        <v>1</v>
      </c>
      <c r="H1332">
        <f t="shared" si="87"/>
        <v>511</v>
      </c>
    </row>
    <row r="1333" spans="1:8" x14ac:dyDescent="0.55000000000000004">
      <c r="A1333" s="6">
        <v>1.1568497718834631E+19</v>
      </c>
      <c r="B1333">
        <v>987</v>
      </c>
      <c r="C1333">
        <v>1</v>
      </c>
      <c r="D1333">
        <v>1266</v>
      </c>
      <c r="E1333">
        <f t="shared" si="84"/>
        <v>2</v>
      </c>
      <c r="F1333">
        <f t="shared" si="85"/>
        <v>1</v>
      </c>
      <c r="G1333">
        <f t="shared" si="86"/>
        <v>2</v>
      </c>
      <c r="H1333">
        <f t="shared" si="87"/>
        <v>212</v>
      </c>
    </row>
    <row r="1334" spans="1:8" x14ac:dyDescent="0.55000000000000004">
      <c r="A1334" s="6">
        <v>1.1574956872702231E+19</v>
      </c>
      <c r="B1334">
        <v>11</v>
      </c>
      <c r="C1334">
        <v>1</v>
      </c>
      <c r="D1334">
        <v>2785</v>
      </c>
      <c r="E1334">
        <f t="shared" si="84"/>
        <v>5</v>
      </c>
      <c r="F1334">
        <f t="shared" si="85"/>
        <v>1</v>
      </c>
      <c r="G1334">
        <f t="shared" si="86"/>
        <v>3</v>
      </c>
      <c r="H1334">
        <f t="shared" si="87"/>
        <v>513</v>
      </c>
    </row>
    <row r="1335" spans="1:8" x14ac:dyDescent="0.55000000000000004">
      <c r="A1335" s="6">
        <v>1.158674241786845E+19</v>
      </c>
      <c r="B1335">
        <v>531</v>
      </c>
      <c r="C1335">
        <v>1</v>
      </c>
      <c r="D1335">
        <v>513</v>
      </c>
      <c r="E1335">
        <f t="shared" si="84"/>
        <v>4</v>
      </c>
      <c r="F1335">
        <f t="shared" si="85"/>
        <v>1</v>
      </c>
      <c r="G1335">
        <f t="shared" si="86"/>
        <v>1</v>
      </c>
      <c r="H1335">
        <f t="shared" si="87"/>
        <v>411</v>
      </c>
    </row>
    <row r="1336" spans="1:8" x14ac:dyDescent="0.55000000000000004">
      <c r="A1336" s="6">
        <v>1.1605953265774209E+19</v>
      </c>
      <c r="B1336">
        <v>32</v>
      </c>
      <c r="C1336">
        <v>1</v>
      </c>
      <c r="D1336">
        <v>1074</v>
      </c>
      <c r="E1336">
        <f t="shared" si="84"/>
        <v>5</v>
      </c>
      <c r="F1336">
        <f t="shared" si="85"/>
        <v>1</v>
      </c>
      <c r="G1336">
        <f t="shared" si="86"/>
        <v>2</v>
      </c>
      <c r="H1336">
        <f t="shared" si="87"/>
        <v>512</v>
      </c>
    </row>
    <row r="1337" spans="1:8" x14ac:dyDescent="0.55000000000000004">
      <c r="A1337" s="6">
        <v>1.160766389248658E+19</v>
      </c>
      <c r="B1337">
        <v>317</v>
      </c>
      <c r="C1337">
        <v>2</v>
      </c>
      <c r="D1337">
        <v>879</v>
      </c>
      <c r="E1337">
        <f t="shared" si="84"/>
        <v>4</v>
      </c>
      <c r="F1337">
        <f t="shared" si="85"/>
        <v>2</v>
      </c>
      <c r="G1337">
        <f t="shared" si="86"/>
        <v>2</v>
      </c>
      <c r="H1337">
        <f t="shared" si="87"/>
        <v>422</v>
      </c>
    </row>
    <row r="1338" spans="1:8" x14ac:dyDescent="0.55000000000000004">
      <c r="A1338" s="6">
        <v>1.161247205855633E+19</v>
      </c>
      <c r="B1338">
        <v>252</v>
      </c>
      <c r="C1338">
        <v>1</v>
      </c>
      <c r="D1338">
        <v>32</v>
      </c>
      <c r="E1338">
        <f t="shared" si="84"/>
        <v>5</v>
      </c>
      <c r="F1338">
        <f t="shared" si="85"/>
        <v>1</v>
      </c>
      <c r="G1338">
        <f t="shared" si="86"/>
        <v>1</v>
      </c>
      <c r="H1338">
        <f t="shared" si="87"/>
        <v>511</v>
      </c>
    </row>
    <row r="1339" spans="1:8" x14ac:dyDescent="0.55000000000000004">
      <c r="A1339" s="6">
        <v>1.16270284136449E+19</v>
      </c>
      <c r="B1339">
        <v>708</v>
      </c>
      <c r="C1339">
        <v>1</v>
      </c>
      <c r="D1339">
        <v>2157</v>
      </c>
      <c r="E1339">
        <f t="shared" si="84"/>
        <v>3</v>
      </c>
      <c r="F1339">
        <f t="shared" si="85"/>
        <v>1</v>
      </c>
      <c r="G1339">
        <f t="shared" si="86"/>
        <v>2</v>
      </c>
      <c r="H1339">
        <f t="shared" si="87"/>
        <v>312</v>
      </c>
    </row>
    <row r="1340" spans="1:8" x14ac:dyDescent="0.55000000000000004">
      <c r="A1340" s="6">
        <v>1.162860962495036E+19</v>
      </c>
      <c r="B1340">
        <v>371</v>
      </c>
      <c r="C1340">
        <v>1</v>
      </c>
      <c r="D1340">
        <v>4390</v>
      </c>
      <c r="E1340">
        <f t="shared" si="84"/>
        <v>4</v>
      </c>
      <c r="F1340">
        <f t="shared" si="85"/>
        <v>1</v>
      </c>
      <c r="G1340">
        <f t="shared" si="86"/>
        <v>3</v>
      </c>
      <c r="H1340">
        <f t="shared" si="87"/>
        <v>413</v>
      </c>
    </row>
    <row r="1341" spans="1:8" x14ac:dyDescent="0.55000000000000004">
      <c r="A1341" s="6">
        <v>1.164141837793793E+19</v>
      </c>
      <c r="B1341">
        <v>366</v>
      </c>
      <c r="C1341">
        <v>2</v>
      </c>
      <c r="D1341">
        <v>3819</v>
      </c>
      <c r="E1341">
        <f t="shared" si="84"/>
        <v>4</v>
      </c>
      <c r="F1341">
        <f t="shared" si="85"/>
        <v>2</v>
      </c>
      <c r="G1341">
        <f t="shared" si="86"/>
        <v>3</v>
      </c>
      <c r="H1341">
        <f t="shared" si="87"/>
        <v>423</v>
      </c>
    </row>
    <row r="1342" spans="1:8" x14ac:dyDescent="0.55000000000000004">
      <c r="A1342" s="6">
        <v>1.1647961490567899E+19</v>
      </c>
      <c r="B1342">
        <v>703</v>
      </c>
      <c r="C1342">
        <v>1</v>
      </c>
      <c r="D1342">
        <v>645</v>
      </c>
      <c r="E1342">
        <f t="shared" si="84"/>
        <v>3</v>
      </c>
      <c r="F1342">
        <f t="shared" si="85"/>
        <v>1</v>
      </c>
      <c r="G1342">
        <f t="shared" si="86"/>
        <v>1</v>
      </c>
      <c r="H1342">
        <f t="shared" si="87"/>
        <v>311</v>
      </c>
    </row>
    <row r="1343" spans="1:8" x14ac:dyDescent="0.55000000000000004">
      <c r="A1343" s="6">
        <v>1.165017654819591E+19</v>
      </c>
      <c r="B1343">
        <v>602</v>
      </c>
      <c r="C1343">
        <v>1</v>
      </c>
      <c r="D1343">
        <v>209</v>
      </c>
      <c r="E1343">
        <f t="shared" si="84"/>
        <v>3</v>
      </c>
      <c r="F1343">
        <f t="shared" si="85"/>
        <v>1</v>
      </c>
      <c r="G1343">
        <f t="shared" si="86"/>
        <v>1</v>
      </c>
      <c r="H1343">
        <f t="shared" si="87"/>
        <v>311</v>
      </c>
    </row>
    <row r="1344" spans="1:8" x14ac:dyDescent="0.55000000000000004">
      <c r="A1344" s="6">
        <v>1.1655005617193689E+19</v>
      </c>
      <c r="B1344">
        <v>152</v>
      </c>
      <c r="C1344">
        <v>1</v>
      </c>
      <c r="D1344">
        <v>6096</v>
      </c>
      <c r="E1344">
        <f t="shared" si="84"/>
        <v>5</v>
      </c>
      <c r="F1344">
        <f t="shared" si="85"/>
        <v>1</v>
      </c>
      <c r="G1344">
        <f t="shared" si="86"/>
        <v>3</v>
      </c>
      <c r="H1344">
        <f t="shared" si="87"/>
        <v>513</v>
      </c>
    </row>
    <row r="1345" spans="1:8" x14ac:dyDescent="0.55000000000000004">
      <c r="A1345" s="6">
        <v>1.16581003153309E+19</v>
      </c>
      <c r="B1345">
        <v>888</v>
      </c>
      <c r="C1345">
        <v>1</v>
      </c>
      <c r="D1345">
        <v>2325</v>
      </c>
      <c r="E1345">
        <f t="shared" si="84"/>
        <v>2</v>
      </c>
      <c r="F1345">
        <f t="shared" si="85"/>
        <v>1</v>
      </c>
      <c r="G1345">
        <f t="shared" si="86"/>
        <v>3</v>
      </c>
      <c r="H1345">
        <f t="shared" si="87"/>
        <v>213</v>
      </c>
    </row>
    <row r="1346" spans="1:8" x14ac:dyDescent="0.55000000000000004">
      <c r="A1346" s="6">
        <v>1.168101444233914E+19</v>
      </c>
      <c r="B1346">
        <v>138</v>
      </c>
      <c r="C1346">
        <v>3</v>
      </c>
      <c r="D1346">
        <v>1402</v>
      </c>
      <c r="E1346">
        <f t="shared" si="84"/>
        <v>5</v>
      </c>
      <c r="F1346">
        <f t="shared" si="85"/>
        <v>3</v>
      </c>
      <c r="G1346">
        <f t="shared" si="86"/>
        <v>2</v>
      </c>
      <c r="H1346">
        <f t="shared" si="87"/>
        <v>532</v>
      </c>
    </row>
    <row r="1347" spans="1:8" x14ac:dyDescent="0.55000000000000004">
      <c r="A1347" s="6">
        <v>1.16829863872798E+19</v>
      </c>
      <c r="B1347">
        <v>574</v>
      </c>
      <c r="C1347">
        <v>1</v>
      </c>
      <c r="D1347">
        <v>969</v>
      </c>
      <c r="E1347">
        <f t="shared" ref="E1347:E1410" si="88">VLOOKUP(B1347,$K$5:$L$9,2,1)</f>
        <v>4</v>
      </c>
      <c r="F1347">
        <f t="shared" ref="F1347:F1410" si="89">VLOOKUP(C1347,$K$15:$L$17,2,1)</f>
        <v>1</v>
      </c>
      <c r="G1347">
        <f t="shared" ref="G1347:G1410" si="90">VLOOKUP(D1347,$K$24:$L$26,2,1)</f>
        <v>2</v>
      </c>
      <c r="H1347">
        <f t="shared" ref="H1347:H1410" si="91">E1347*100+F1347*10+G1347</f>
        <v>412</v>
      </c>
    </row>
    <row r="1348" spans="1:8" x14ac:dyDescent="0.55000000000000004">
      <c r="A1348" s="6">
        <v>1.1684577053237201E+19</v>
      </c>
      <c r="B1348">
        <v>474</v>
      </c>
      <c r="C1348">
        <v>1</v>
      </c>
      <c r="D1348">
        <v>509</v>
      </c>
      <c r="E1348">
        <f t="shared" si="88"/>
        <v>4</v>
      </c>
      <c r="F1348">
        <f t="shared" si="89"/>
        <v>1</v>
      </c>
      <c r="G1348">
        <f t="shared" si="90"/>
        <v>1</v>
      </c>
      <c r="H1348">
        <f t="shared" si="91"/>
        <v>411</v>
      </c>
    </row>
    <row r="1349" spans="1:8" x14ac:dyDescent="0.55000000000000004">
      <c r="A1349" s="6">
        <v>1.169399923837425E+19</v>
      </c>
      <c r="B1349">
        <v>472</v>
      </c>
      <c r="C1349">
        <v>2</v>
      </c>
      <c r="D1349">
        <v>3006</v>
      </c>
      <c r="E1349">
        <f t="shared" si="88"/>
        <v>4</v>
      </c>
      <c r="F1349">
        <f t="shared" si="89"/>
        <v>2</v>
      </c>
      <c r="G1349">
        <f t="shared" si="90"/>
        <v>3</v>
      </c>
      <c r="H1349">
        <f t="shared" si="91"/>
        <v>423</v>
      </c>
    </row>
    <row r="1350" spans="1:8" x14ac:dyDescent="0.55000000000000004">
      <c r="A1350" s="6">
        <v>1.169476368133078E+19</v>
      </c>
      <c r="B1350">
        <v>42</v>
      </c>
      <c r="C1350">
        <v>1</v>
      </c>
      <c r="D1350">
        <v>3122</v>
      </c>
      <c r="E1350">
        <f t="shared" si="88"/>
        <v>5</v>
      </c>
      <c r="F1350">
        <f t="shared" si="89"/>
        <v>1</v>
      </c>
      <c r="G1350">
        <f t="shared" si="90"/>
        <v>3</v>
      </c>
      <c r="H1350">
        <f t="shared" si="91"/>
        <v>513</v>
      </c>
    </row>
    <row r="1351" spans="1:8" x14ac:dyDescent="0.55000000000000004">
      <c r="A1351" s="6">
        <v>1.1702806551466799E+19</v>
      </c>
      <c r="B1351">
        <v>970</v>
      </c>
      <c r="C1351">
        <v>1</v>
      </c>
      <c r="D1351">
        <v>64</v>
      </c>
      <c r="E1351">
        <f t="shared" si="88"/>
        <v>2</v>
      </c>
      <c r="F1351">
        <f t="shared" si="89"/>
        <v>1</v>
      </c>
      <c r="G1351">
        <f t="shared" si="90"/>
        <v>1</v>
      </c>
      <c r="H1351">
        <f t="shared" si="91"/>
        <v>211</v>
      </c>
    </row>
    <row r="1352" spans="1:8" x14ac:dyDescent="0.55000000000000004">
      <c r="A1352" s="6">
        <v>1.170635260655601E+19</v>
      </c>
      <c r="B1352">
        <v>745</v>
      </c>
      <c r="C1352">
        <v>1</v>
      </c>
      <c r="D1352">
        <v>30</v>
      </c>
      <c r="E1352">
        <f t="shared" si="88"/>
        <v>3</v>
      </c>
      <c r="F1352">
        <f t="shared" si="89"/>
        <v>1</v>
      </c>
      <c r="G1352">
        <f t="shared" si="90"/>
        <v>1</v>
      </c>
      <c r="H1352">
        <f t="shared" si="91"/>
        <v>311</v>
      </c>
    </row>
    <row r="1353" spans="1:8" x14ac:dyDescent="0.55000000000000004">
      <c r="A1353" s="6">
        <v>1.1707371591004559E+19</v>
      </c>
      <c r="B1353">
        <v>303</v>
      </c>
      <c r="C1353">
        <v>1</v>
      </c>
      <c r="D1353">
        <v>442</v>
      </c>
      <c r="E1353">
        <f t="shared" si="88"/>
        <v>4</v>
      </c>
      <c r="F1353">
        <f t="shared" si="89"/>
        <v>1</v>
      </c>
      <c r="G1353">
        <f t="shared" si="90"/>
        <v>1</v>
      </c>
      <c r="H1353">
        <f t="shared" si="91"/>
        <v>411</v>
      </c>
    </row>
    <row r="1354" spans="1:8" x14ac:dyDescent="0.55000000000000004">
      <c r="A1354" s="6">
        <v>1.17134894204842E+19</v>
      </c>
      <c r="B1354">
        <v>1021</v>
      </c>
      <c r="C1354">
        <v>1</v>
      </c>
      <c r="D1354">
        <v>2150</v>
      </c>
      <c r="E1354">
        <f t="shared" si="88"/>
        <v>2</v>
      </c>
      <c r="F1354">
        <f t="shared" si="89"/>
        <v>1</v>
      </c>
      <c r="G1354">
        <f t="shared" si="90"/>
        <v>2</v>
      </c>
      <c r="H1354">
        <f t="shared" si="91"/>
        <v>212</v>
      </c>
    </row>
    <row r="1355" spans="1:8" x14ac:dyDescent="0.55000000000000004">
      <c r="A1355" s="6">
        <v>1.1738439999794471E+19</v>
      </c>
      <c r="B1355">
        <v>104</v>
      </c>
      <c r="C1355">
        <v>1</v>
      </c>
      <c r="D1355">
        <v>3684</v>
      </c>
      <c r="E1355">
        <f t="shared" si="88"/>
        <v>5</v>
      </c>
      <c r="F1355">
        <f t="shared" si="89"/>
        <v>1</v>
      </c>
      <c r="G1355">
        <f t="shared" si="90"/>
        <v>3</v>
      </c>
      <c r="H1355">
        <f t="shared" si="91"/>
        <v>513</v>
      </c>
    </row>
    <row r="1356" spans="1:8" x14ac:dyDescent="0.55000000000000004">
      <c r="A1356" s="6">
        <v>1.1747066878444419E+19</v>
      </c>
      <c r="B1356">
        <v>146</v>
      </c>
      <c r="C1356">
        <v>2</v>
      </c>
      <c r="D1356">
        <v>539</v>
      </c>
      <c r="E1356">
        <f t="shared" si="88"/>
        <v>5</v>
      </c>
      <c r="F1356">
        <f t="shared" si="89"/>
        <v>2</v>
      </c>
      <c r="G1356">
        <f t="shared" si="90"/>
        <v>1</v>
      </c>
      <c r="H1356">
        <f t="shared" si="91"/>
        <v>521</v>
      </c>
    </row>
    <row r="1357" spans="1:8" x14ac:dyDescent="0.55000000000000004">
      <c r="A1357" s="6">
        <v>1.1747785999368579E+19</v>
      </c>
      <c r="B1357">
        <v>1063</v>
      </c>
      <c r="C1357">
        <v>1</v>
      </c>
      <c r="D1357">
        <v>1256</v>
      </c>
      <c r="E1357">
        <f t="shared" si="88"/>
        <v>2</v>
      </c>
      <c r="F1357">
        <f t="shared" si="89"/>
        <v>1</v>
      </c>
      <c r="G1357">
        <f t="shared" si="90"/>
        <v>2</v>
      </c>
      <c r="H1357">
        <f t="shared" si="91"/>
        <v>212</v>
      </c>
    </row>
    <row r="1358" spans="1:8" x14ac:dyDescent="0.55000000000000004">
      <c r="A1358" s="6">
        <v>1.1748387589311001E+19</v>
      </c>
      <c r="B1358">
        <v>39</v>
      </c>
      <c r="C1358">
        <v>1</v>
      </c>
      <c r="D1358">
        <v>636</v>
      </c>
      <c r="E1358">
        <f t="shared" si="88"/>
        <v>5</v>
      </c>
      <c r="F1358">
        <f t="shared" si="89"/>
        <v>1</v>
      </c>
      <c r="G1358">
        <f t="shared" si="90"/>
        <v>1</v>
      </c>
      <c r="H1358">
        <f t="shared" si="91"/>
        <v>511</v>
      </c>
    </row>
    <row r="1359" spans="1:8" x14ac:dyDescent="0.55000000000000004">
      <c r="A1359" s="6">
        <v>1.175758375020364E+19</v>
      </c>
      <c r="B1359">
        <v>637</v>
      </c>
      <c r="C1359">
        <v>1</v>
      </c>
      <c r="D1359">
        <v>229</v>
      </c>
      <c r="E1359">
        <f t="shared" si="88"/>
        <v>3</v>
      </c>
      <c r="F1359">
        <f t="shared" si="89"/>
        <v>1</v>
      </c>
      <c r="G1359">
        <f t="shared" si="90"/>
        <v>1</v>
      </c>
      <c r="H1359">
        <f t="shared" si="91"/>
        <v>311</v>
      </c>
    </row>
    <row r="1360" spans="1:8" x14ac:dyDescent="0.55000000000000004">
      <c r="A1360" s="6">
        <v>1.178237675493468E+19</v>
      </c>
      <c r="B1360">
        <v>1172</v>
      </c>
      <c r="C1360">
        <v>2</v>
      </c>
      <c r="D1360">
        <v>1236</v>
      </c>
      <c r="E1360">
        <f t="shared" si="88"/>
        <v>1</v>
      </c>
      <c r="F1360">
        <f t="shared" si="89"/>
        <v>2</v>
      </c>
      <c r="G1360">
        <f t="shared" si="90"/>
        <v>2</v>
      </c>
      <c r="H1360">
        <f t="shared" si="91"/>
        <v>122</v>
      </c>
    </row>
    <row r="1361" spans="1:8" x14ac:dyDescent="0.55000000000000004">
      <c r="A1361" s="6">
        <v>1.1785683981004911E+19</v>
      </c>
      <c r="B1361">
        <v>87</v>
      </c>
      <c r="C1361">
        <v>1</v>
      </c>
      <c r="D1361">
        <v>232</v>
      </c>
      <c r="E1361">
        <f t="shared" si="88"/>
        <v>5</v>
      </c>
      <c r="F1361">
        <f t="shared" si="89"/>
        <v>1</v>
      </c>
      <c r="G1361">
        <f t="shared" si="90"/>
        <v>1</v>
      </c>
      <c r="H1361">
        <f t="shared" si="91"/>
        <v>511</v>
      </c>
    </row>
    <row r="1362" spans="1:8" x14ac:dyDescent="0.55000000000000004">
      <c r="A1362" s="6">
        <v>1.178645923819018E+19</v>
      </c>
      <c r="B1362">
        <v>540</v>
      </c>
      <c r="C1362">
        <v>1</v>
      </c>
      <c r="D1362">
        <v>1405</v>
      </c>
      <c r="E1362">
        <f t="shared" si="88"/>
        <v>4</v>
      </c>
      <c r="F1362">
        <f t="shared" si="89"/>
        <v>1</v>
      </c>
      <c r="G1362">
        <f t="shared" si="90"/>
        <v>2</v>
      </c>
      <c r="H1362">
        <f t="shared" si="91"/>
        <v>412</v>
      </c>
    </row>
    <row r="1363" spans="1:8" x14ac:dyDescent="0.55000000000000004">
      <c r="A1363" s="6">
        <v>1.179369254274715E+19</v>
      </c>
      <c r="B1363">
        <v>295</v>
      </c>
      <c r="C1363">
        <v>1</v>
      </c>
      <c r="D1363">
        <v>80</v>
      </c>
      <c r="E1363">
        <f t="shared" si="88"/>
        <v>4</v>
      </c>
      <c r="F1363">
        <f t="shared" si="89"/>
        <v>1</v>
      </c>
      <c r="G1363">
        <f t="shared" si="90"/>
        <v>1</v>
      </c>
      <c r="H1363">
        <f t="shared" si="91"/>
        <v>411</v>
      </c>
    </row>
    <row r="1364" spans="1:8" x14ac:dyDescent="0.55000000000000004">
      <c r="A1364" s="6">
        <v>1.1804135673327311E+19</v>
      </c>
      <c r="B1364">
        <v>22</v>
      </c>
      <c r="C1364">
        <v>1</v>
      </c>
      <c r="D1364">
        <v>4251</v>
      </c>
      <c r="E1364">
        <f t="shared" si="88"/>
        <v>5</v>
      </c>
      <c r="F1364">
        <f t="shared" si="89"/>
        <v>1</v>
      </c>
      <c r="G1364">
        <f t="shared" si="90"/>
        <v>3</v>
      </c>
      <c r="H1364">
        <f t="shared" si="91"/>
        <v>513</v>
      </c>
    </row>
    <row r="1365" spans="1:8" x14ac:dyDescent="0.55000000000000004">
      <c r="A1365" s="6">
        <v>1.1808268645207179E+19</v>
      </c>
      <c r="B1365">
        <v>359</v>
      </c>
      <c r="C1365">
        <v>1</v>
      </c>
      <c r="D1365">
        <v>538</v>
      </c>
      <c r="E1365">
        <f t="shared" si="88"/>
        <v>4</v>
      </c>
      <c r="F1365">
        <f t="shared" si="89"/>
        <v>1</v>
      </c>
      <c r="G1365">
        <f t="shared" si="90"/>
        <v>1</v>
      </c>
      <c r="H1365">
        <f t="shared" si="91"/>
        <v>411</v>
      </c>
    </row>
    <row r="1366" spans="1:8" x14ac:dyDescent="0.55000000000000004">
      <c r="A1366" s="6">
        <v>1.181448947375495E+19</v>
      </c>
      <c r="B1366">
        <v>1161</v>
      </c>
      <c r="C1366">
        <v>1</v>
      </c>
      <c r="D1366">
        <v>5535</v>
      </c>
      <c r="E1366">
        <f t="shared" si="88"/>
        <v>1</v>
      </c>
      <c r="F1366">
        <f t="shared" si="89"/>
        <v>1</v>
      </c>
      <c r="G1366">
        <f t="shared" si="90"/>
        <v>3</v>
      </c>
      <c r="H1366">
        <f t="shared" si="91"/>
        <v>113</v>
      </c>
    </row>
    <row r="1367" spans="1:8" x14ac:dyDescent="0.55000000000000004">
      <c r="A1367" s="6">
        <v>1.1816606548421321E+19</v>
      </c>
      <c r="B1367">
        <v>976</v>
      </c>
      <c r="C1367">
        <v>1</v>
      </c>
      <c r="D1367">
        <v>2086</v>
      </c>
      <c r="E1367">
        <f t="shared" si="88"/>
        <v>2</v>
      </c>
      <c r="F1367">
        <f t="shared" si="89"/>
        <v>1</v>
      </c>
      <c r="G1367">
        <f t="shared" si="90"/>
        <v>2</v>
      </c>
      <c r="H1367">
        <f t="shared" si="91"/>
        <v>212</v>
      </c>
    </row>
    <row r="1368" spans="1:8" x14ac:dyDescent="0.55000000000000004">
      <c r="A1368" s="6">
        <v>1.183332280575514E+19</v>
      </c>
      <c r="B1368">
        <v>1253</v>
      </c>
      <c r="C1368">
        <v>1</v>
      </c>
      <c r="D1368">
        <v>3627</v>
      </c>
      <c r="E1368">
        <f t="shared" si="88"/>
        <v>1</v>
      </c>
      <c r="F1368">
        <f t="shared" si="89"/>
        <v>1</v>
      </c>
      <c r="G1368">
        <f t="shared" si="90"/>
        <v>3</v>
      </c>
      <c r="H1368">
        <f t="shared" si="91"/>
        <v>113</v>
      </c>
    </row>
    <row r="1369" spans="1:8" x14ac:dyDescent="0.55000000000000004">
      <c r="A1369" s="6">
        <v>1.1864184727117269E+19</v>
      </c>
      <c r="B1369">
        <v>84</v>
      </c>
      <c r="C1369">
        <v>2</v>
      </c>
      <c r="D1369">
        <v>1528</v>
      </c>
      <c r="E1369">
        <f t="shared" si="88"/>
        <v>5</v>
      </c>
      <c r="F1369">
        <f t="shared" si="89"/>
        <v>2</v>
      </c>
      <c r="G1369">
        <f t="shared" si="90"/>
        <v>2</v>
      </c>
      <c r="H1369">
        <f t="shared" si="91"/>
        <v>522</v>
      </c>
    </row>
    <row r="1370" spans="1:8" x14ac:dyDescent="0.55000000000000004">
      <c r="A1370" s="6">
        <v>1.1866731439402271E+19</v>
      </c>
      <c r="B1370">
        <v>332</v>
      </c>
      <c r="C1370">
        <v>1</v>
      </c>
      <c r="D1370">
        <v>4593</v>
      </c>
      <c r="E1370">
        <f t="shared" si="88"/>
        <v>4</v>
      </c>
      <c r="F1370">
        <f t="shared" si="89"/>
        <v>1</v>
      </c>
      <c r="G1370">
        <f t="shared" si="90"/>
        <v>3</v>
      </c>
      <c r="H1370">
        <f t="shared" si="91"/>
        <v>413</v>
      </c>
    </row>
    <row r="1371" spans="1:8" x14ac:dyDescent="0.55000000000000004">
      <c r="A1371" s="6">
        <v>1.1868077272663519E+19</v>
      </c>
      <c r="B1371">
        <v>807</v>
      </c>
      <c r="C1371">
        <v>3</v>
      </c>
      <c r="D1371">
        <v>3408</v>
      </c>
      <c r="E1371">
        <f t="shared" si="88"/>
        <v>3</v>
      </c>
      <c r="F1371">
        <f t="shared" si="89"/>
        <v>3</v>
      </c>
      <c r="G1371">
        <f t="shared" si="90"/>
        <v>3</v>
      </c>
      <c r="H1371">
        <f t="shared" si="91"/>
        <v>333</v>
      </c>
    </row>
    <row r="1372" spans="1:8" x14ac:dyDescent="0.55000000000000004">
      <c r="A1372" s="6">
        <v>1.188150367275085E+19</v>
      </c>
      <c r="B1372">
        <v>1293</v>
      </c>
      <c r="C1372">
        <v>1</v>
      </c>
      <c r="D1372">
        <v>4395</v>
      </c>
      <c r="E1372">
        <f t="shared" si="88"/>
        <v>1</v>
      </c>
      <c r="F1372">
        <f t="shared" si="89"/>
        <v>1</v>
      </c>
      <c r="G1372">
        <f t="shared" si="90"/>
        <v>3</v>
      </c>
      <c r="H1372">
        <f t="shared" si="91"/>
        <v>113</v>
      </c>
    </row>
    <row r="1373" spans="1:8" x14ac:dyDescent="0.55000000000000004">
      <c r="A1373" s="6">
        <v>1.1883551131589671E+19</v>
      </c>
      <c r="B1373">
        <v>940</v>
      </c>
      <c r="C1373">
        <v>1</v>
      </c>
      <c r="D1373">
        <v>399</v>
      </c>
      <c r="E1373">
        <f t="shared" si="88"/>
        <v>2</v>
      </c>
      <c r="F1373">
        <f t="shared" si="89"/>
        <v>1</v>
      </c>
      <c r="G1373">
        <f t="shared" si="90"/>
        <v>1</v>
      </c>
      <c r="H1373">
        <f t="shared" si="91"/>
        <v>211</v>
      </c>
    </row>
    <row r="1374" spans="1:8" x14ac:dyDescent="0.55000000000000004">
      <c r="A1374" s="6">
        <v>1.1886913938454659E+19</v>
      </c>
      <c r="B1374">
        <v>648</v>
      </c>
      <c r="C1374">
        <v>2</v>
      </c>
      <c r="D1374">
        <v>371</v>
      </c>
      <c r="E1374">
        <f t="shared" si="88"/>
        <v>3</v>
      </c>
      <c r="F1374">
        <f t="shared" si="89"/>
        <v>2</v>
      </c>
      <c r="G1374">
        <f t="shared" si="90"/>
        <v>1</v>
      </c>
      <c r="H1374">
        <f t="shared" si="91"/>
        <v>321</v>
      </c>
    </row>
    <row r="1375" spans="1:8" x14ac:dyDescent="0.55000000000000004">
      <c r="A1375" s="6">
        <v>1.1886972157497281E+19</v>
      </c>
      <c r="B1375">
        <v>957</v>
      </c>
      <c r="C1375">
        <v>1</v>
      </c>
      <c r="D1375">
        <v>2856</v>
      </c>
      <c r="E1375">
        <f t="shared" si="88"/>
        <v>2</v>
      </c>
      <c r="F1375">
        <f t="shared" si="89"/>
        <v>1</v>
      </c>
      <c r="G1375">
        <f t="shared" si="90"/>
        <v>3</v>
      </c>
      <c r="H1375">
        <f t="shared" si="91"/>
        <v>213</v>
      </c>
    </row>
    <row r="1376" spans="1:8" x14ac:dyDescent="0.55000000000000004">
      <c r="A1376" s="6">
        <v>1.1892397586174779E+19</v>
      </c>
      <c r="B1376">
        <v>191</v>
      </c>
      <c r="C1376">
        <v>1</v>
      </c>
      <c r="D1376">
        <v>1306</v>
      </c>
      <c r="E1376">
        <f t="shared" si="88"/>
        <v>5</v>
      </c>
      <c r="F1376">
        <f t="shared" si="89"/>
        <v>1</v>
      </c>
      <c r="G1376">
        <f t="shared" si="90"/>
        <v>2</v>
      </c>
      <c r="H1376">
        <f t="shared" si="91"/>
        <v>512</v>
      </c>
    </row>
    <row r="1377" spans="1:8" x14ac:dyDescent="0.55000000000000004">
      <c r="A1377" s="6">
        <v>1.189424107996723E+19</v>
      </c>
      <c r="B1377">
        <v>938</v>
      </c>
      <c r="C1377">
        <v>1</v>
      </c>
      <c r="D1377">
        <v>240</v>
      </c>
      <c r="E1377">
        <f t="shared" si="88"/>
        <v>2</v>
      </c>
      <c r="F1377">
        <f t="shared" si="89"/>
        <v>1</v>
      </c>
      <c r="G1377">
        <f t="shared" si="90"/>
        <v>1</v>
      </c>
      <c r="H1377">
        <f t="shared" si="91"/>
        <v>211</v>
      </c>
    </row>
    <row r="1378" spans="1:8" x14ac:dyDescent="0.55000000000000004">
      <c r="A1378" s="6">
        <v>1.1903747901253439E+19</v>
      </c>
      <c r="B1378">
        <v>160</v>
      </c>
      <c r="C1378">
        <v>1</v>
      </c>
      <c r="D1378">
        <v>0</v>
      </c>
      <c r="E1378">
        <f t="shared" si="88"/>
        <v>5</v>
      </c>
      <c r="F1378">
        <f t="shared" si="89"/>
        <v>1</v>
      </c>
      <c r="G1378">
        <f t="shared" si="90"/>
        <v>1</v>
      </c>
      <c r="H1378">
        <f t="shared" si="91"/>
        <v>511</v>
      </c>
    </row>
    <row r="1379" spans="1:8" x14ac:dyDescent="0.55000000000000004">
      <c r="A1379" s="6">
        <v>1.190565954692455E+19</v>
      </c>
      <c r="B1379">
        <v>47</v>
      </c>
      <c r="C1379">
        <v>1</v>
      </c>
      <c r="D1379">
        <v>9140</v>
      </c>
      <c r="E1379">
        <f t="shared" si="88"/>
        <v>5</v>
      </c>
      <c r="F1379">
        <f t="shared" si="89"/>
        <v>1</v>
      </c>
      <c r="G1379">
        <f t="shared" si="90"/>
        <v>3</v>
      </c>
      <c r="H1379">
        <f t="shared" si="91"/>
        <v>513</v>
      </c>
    </row>
    <row r="1380" spans="1:8" x14ac:dyDescent="0.55000000000000004">
      <c r="A1380" s="6">
        <v>1.190775768037523E+19</v>
      </c>
      <c r="B1380">
        <v>254</v>
      </c>
      <c r="C1380">
        <v>1</v>
      </c>
      <c r="D1380">
        <v>435</v>
      </c>
      <c r="E1380">
        <f t="shared" si="88"/>
        <v>5</v>
      </c>
      <c r="F1380">
        <f t="shared" si="89"/>
        <v>1</v>
      </c>
      <c r="G1380">
        <f t="shared" si="90"/>
        <v>1</v>
      </c>
      <c r="H1380">
        <f t="shared" si="91"/>
        <v>511</v>
      </c>
    </row>
    <row r="1381" spans="1:8" x14ac:dyDescent="0.55000000000000004">
      <c r="A1381" s="6">
        <v>1.192291517149329E+19</v>
      </c>
      <c r="B1381">
        <v>794</v>
      </c>
      <c r="C1381">
        <v>1</v>
      </c>
      <c r="D1381">
        <v>1871</v>
      </c>
      <c r="E1381">
        <f t="shared" si="88"/>
        <v>3</v>
      </c>
      <c r="F1381">
        <f t="shared" si="89"/>
        <v>1</v>
      </c>
      <c r="G1381">
        <f t="shared" si="90"/>
        <v>2</v>
      </c>
      <c r="H1381">
        <f t="shared" si="91"/>
        <v>312</v>
      </c>
    </row>
    <row r="1382" spans="1:8" x14ac:dyDescent="0.55000000000000004">
      <c r="A1382" s="6">
        <v>1.1925262759840299E+19</v>
      </c>
      <c r="B1382">
        <v>506</v>
      </c>
      <c r="C1382">
        <v>1</v>
      </c>
      <c r="D1382">
        <v>78</v>
      </c>
      <c r="E1382">
        <f t="shared" si="88"/>
        <v>4</v>
      </c>
      <c r="F1382">
        <f t="shared" si="89"/>
        <v>1</v>
      </c>
      <c r="G1382">
        <f t="shared" si="90"/>
        <v>1</v>
      </c>
      <c r="H1382">
        <f t="shared" si="91"/>
        <v>411</v>
      </c>
    </row>
    <row r="1383" spans="1:8" x14ac:dyDescent="0.55000000000000004">
      <c r="A1383" s="6">
        <v>1.193444999446759E+19</v>
      </c>
      <c r="B1383">
        <v>165</v>
      </c>
      <c r="C1383">
        <v>2</v>
      </c>
      <c r="D1383">
        <v>1032</v>
      </c>
      <c r="E1383">
        <f t="shared" si="88"/>
        <v>5</v>
      </c>
      <c r="F1383">
        <f t="shared" si="89"/>
        <v>2</v>
      </c>
      <c r="G1383">
        <f t="shared" si="90"/>
        <v>2</v>
      </c>
      <c r="H1383">
        <f t="shared" si="91"/>
        <v>522</v>
      </c>
    </row>
    <row r="1384" spans="1:8" x14ac:dyDescent="0.55000000000000004">
      <c r="A1384" s="6">
        <v>1.194566090307909E+19</v>
      </c>
      <c r="B1384">
        <v>690</v>
      </c>
      <c r="C1384">
        <v>1</v>
      </c>
      <c r="D1384">
        <v>2223</v>
      </c>
      <c r="E1384">
        <f t="shared" si="88"/>
        <v>3</v>
      </c>
      <c r="F1384">
        <f t="shared" si="89"/>
        <v>1</v>
      </c>
      <c r="G1384">
        <f t="shared" si="90"/>
        <v>2</v>
      </c>
      <c r="H1384">
        <f t="shared" si="91"/>
        <v>312</v>
      </c>
    </row>
    <row r="1385" spans="1:8" x14ac:dyDescent="0.55000000000000004">
      <c r="A1385" s="6">
        <v>1.1955962298200941E+19</v>
      </c>
      <c r="B1385">
        <v>564</v>
      </c>
      <c r="C1385">
        <v>1</v>
      </c>
      <c r="D1385">
        <v>655</v>
      </c>
      <c r="E1385">
        <f t="shared" si="88"/>
        <v>4</v>
      </c>
      <c r="F1385">
        <f t="shared" si="89"/>
        <v>1</v>
      </c>
      <c r="G1385">
        <f t="shared" si="90"/>
        <v>2</v>
      </c>
      <c r="H1385">
        <f t="shared" si="91"/>
        <v>412</v>
      </c>
    </row>
    <row r="1386" spans="1:8" x14ac:dyDescent="0.55000000000000004">
      <c r="A1386" s="6">
        <v>1.195913589439642E+19</v>
      </c>
      <c r="B1386">
        <v>881</v>
      </c>
      <c r="C1386">
        <v>1</v>
      </c>
      <c r="D1386">
        <v>1933</v>
      </c>
      <c r="E1386">
        <f t="shared" si="88"/>
        <v>2</v>
      </c>
      <c r="F1386">
        <f t="shared" si="89"/>
        <v>1</v>
      </c>
      <c r="G1386">
        <f t="shared" si="90"/>
        <v>2</v>
      </c>
      <c r="H1386">
        <f t="shared" si="91"/>
        <v>212</v>
      </c>
    </row>
    <row r="1387" spans="1:8" x14ac:dyDescent="0.55000000000000004">
      <c r="A1387" s="6">
        <v>1.196519488682964E+19</v>
      </c>
      <c r="B1387">
        <v>806</v>
      </c>
      <c r="C1387">
        <v>2</v>
      </c>
      <c r="D1387">
        <v>1631</v>
      </c>
      <c r="E1387">
        <f t="shared" si="88"/>
        <v>3</v>
      </c>
      <c r="F1387">
        <f t="shared" si="89"/>
        <v>2</v>
      </c>
      <c r="G1387">
        <f t="shared" si="90"/>
        <v>2</v>
      </c>
      <c r="H1387">
        <f t="shared" si="91"/>
        <v>322</v>
      </c>
    </row>
    <row r="1388" spans="1:8" x14ac:dyDescent="0.55000000000000004">
      <c r="A1388" s="6">
        <v>1.1982221732938629E+19</v>
      </c>
      <c r="B1388">
        <v>491</v>
      </c>
      <c r="C1388">
        <v>1</v>
      </c>
      <c r="D1388">
        <v>7250</v>
      </c>
      <c r="E1388">
        <f t="shared" si="88"/>
        <v>4</v>
      </c>
      <c r="F1388">
        <f t="shared" si="89"/>
        <v>1</v>
      </c>
      <c r="G1388">
        <f t="shared" si="90"/>
        <v>3</v>
      </c>
      <c r="H1388">
        <f t="shared" si="91"/>
        <v>413</v>
      </c>
    </row>
    <row r="1389" spans="1:8" x14ac:dyDescent="0.55000000000000004">
      <c r="A1389" s="6">
        <v>1.19876887863512E+19</v>
      </c>
      <c r="B1389">
        <v>18</v>
      </c>
      <c r="C1389">
        <v>3</v>
      </c>
      <c r="D1389">
        <v>3092</v>
      </c>
      <c r="E1389">
        <f t="shared" si="88"/>
        <v>5</v>
      </c>
      <c r="F1389">
        <f t="shared" si="89"/>
        <v>3</v>
      </c>
      <c r="G1389">
        <f t="shared" si="90"/>
        <v>3</v>
      </c>
      <c r="H1389">
        <f t="shared" si="91"/>
        <v>533</v>
      </c>
    </row>
    <row r="1390" spans="1:8" x14ac:dyDescent="0.55000000000000004">
      <c r="A1390" s="6">
        <v>1.1993843456880841E+19</v>
      </c>
      <c r="B1390">
        <v>825</v>
      </c>
      <c r="C1390">
        <v>2</v>
      </c>
      <c r="D1390">
        <v>1960</v>
      </c>
      <c r="E1390">
        <f t="shared" si="88"/>
        <v>3</v>
      </c>
      <c r="F1390">
        <f t="shared" si="89"/>
        <v>2</v>
      </c>
      <c r="G1390">
        <f t="shared" si="90"/>
        <v>2</v>
      </c>
      <c r="H1390">
        <f t="shared" si="91"/>
        <v>322</v>
      </c>
    </row>
    <row r="1391" spans="1:8" x14ac:dyDescent="0.55000000000000004">
      <c r="A1391" s="6">
        <v>1.2023383622054459E+19</v>
      </c>
      <c r="B1391">
        <v>757</v>
      </c>
      <c r="C1391">
        <v>1</v>
      </c>
      <c r="D1391">
        <v>834</v>
      </c>
      <c r="E1391">
        <f t="shared" si="88"/>
        <v>3</v>
      </c>
      <c r="F1391">
        <f t="shared" si="89"/>
        <v>1</v>
      </c>
      <c r="G1391">
        <f t="shared" si="90"/>
        <v>2</v>
      </c>
      <c r="H1391">
        <f t="shared" si="91"/>
        <v>312</v>
      </c>
    </row>
    <row r="1392" spans="1:8" x14ac:dyDescent="0.55000000000000004">
      <c r="A1392" s="6">
        <v>1.2036271954815109E+19</v>
      </c>
      <c r="B1392">
        <v>1178</v>
      </c>
      <c r="C1392">
        <v>1</v>
      </c>
      <c r="D1392">
        <v>259</v>
      </c>
      <c r="E1392">
        <f t="shared" si="88"/>
        <v>1</v>
      </c>
      <c r="F1392">
        <f t="shared" si="89"/>
        <v>1</v>
      </c>
      <c r="G1392">
        <f t="shared" si="90"/>
        <v>1</v>
      </c>
      <c r="H1392">
        <f t="shared" si="91"/>
        <v>111</v>
      </c>
    </row>
    <row r="1393" spans="1:8" x14ac:dyDescent="0.55000000000000004">
      <c r="A1393" s="6">
        <v>1.2044647442963249E+19</v>
      </c>
      <c r="B1393">
        <v>41</v>
      </c>
      <c r="C1393">
        <v>1</v>
      </c>
      <c r="D1393">
        <v>759</v>
      </c>
      <c r="E1393">
        <f t="shared" si="88"/>
        <v>5</v>
      </c>
      <c r="F1393">
        <f t="shared" si="89"/>
        <v>1</v>
      </c>
      <c r="G1393">
        <f t="shared" si="90"/>
        <v>2</v>
      </c>
      <c r="H1393">
        <f t="shared" si="91"/>
        <v>512</v>
      </c>
    </row>
    <row r="1394" spans="1:8" x14ac:dyDescent="0.55000000000000004">
      <c r="A1394" s="6">
        <v>1.2061853660397591E+19</v>
      </c>
      <c r="B1394">
        <v>1139</v>
      </c>
      <c r="C1394">
        <v>1</v>
      </c>
      <c r="D1394">
        <v>282</v>
      </c>
      <c r="E1394">
        <f t="shared" si="88"/>
        <v>2</v>
      </c>
      <c r="F1394">
        <f t="shared" si="89"/>
        <v>1</v>
      </c>
      <c r="G1394">
        <f t="shared" si="90"/>
        <v>1</v>
      </c>
      <c r="H1394">
        <f t="shared" si="91"/>
        <v>211</v>
      </c>
    </row>
    <row r="1395" spans="1:8" x14ac:dyDescent="0.55000000000000004">
      <c r="A1395" s="6">
        <v>1.2061880677718579E+19</v>
      </c>
      <c r="B1395">
        <v>358</v>
      </c>
      <c r="C1395">
        <v>2</v>
      </c>
      <c r="D1395">
        <v>13185</v>
      </c>
      <c r="E1395">
        <f t="shared" si="88"/>
        <v>4</v>
      </c>
      <c r="F1395">
        <f t="shared" si="89"/>
        <v>2</v>
      </c>
      <c r="G1395">
        <f t="shared" si="90"/>
        <v>3</v>
      </c>
      <c r="H1395">
        <f t="shared" si="91"/>
        <v>423</v>
      </c>
    </row>
    <row r="1396" spans="1:8" x14ac:dyDescent="0.55000000000000004">
      <c r="A1396" s="6">
        <v>1.2067782144635619E+19</v>
      </c>
      <c r="B1396">
        <v>337</v>
      </c>
      <c r="C1396">
        <v>1</v>
      </c>
      <c r="D1396">
        <v>580</v>
      </c>
      <c r="E1396">
        <f t="shared" si="88"/>
        <v>4</v>
      </c>
      <c r="F1396">
        <f t="shared" si="89"/>
        <v>1</v>
      </c>
      <c r="G1396">
        <f t="shared" si="90"/>
        <v>1</v>
      </c>
      <c r="H1396">
        <f t="shared" si="91"/>
        <v>411</v>
      </c>
    </row>
    <row r="1397" spans="1:8" x14ac:dyDescent="0.55000000000000004">
      <c r="A1397" s="6">
        <v>1.207189860297103E+19</v>
      </c>
      <c r="B1397">
        <v>247</v>
      </c>
      <c r="C1397">
        <v>1</v>
      </c>
      <c r="D1397">
        <v>1752</v>
      </c>
      <c r="E1397">
        <f t="shared" si="88"/>
        <v>5</v>
      </c>
      <c r="F1397">
        <f t="shared" si="89"/>
        <v>1</v>
      </c>
      <c r="G1397">
        <f t="shared" si="90"/>
        <v>2</v>
      </c>
      <c r="H1397">
        <f t="shared" si="91"/>
        <v>512</v>
      </c>
    </row>
    <row r="1398" spans="1:8" x14ac:dyDescent="0.55000000000000004">
      <c r="A1398" s="6">
        <v>1.207683323886489E+19</v>
      </c>
      <c r="B1398">
        <v>12</v>
      </c>
      <c r="C1398">
        <v>2</v>
      </c>
      <c r="D1398">
        <v>2957</v>
      </c>
      <c r="E1398">
        <f t="shared" si="88"/>
        <v>5</v>
      </c>
      <c r="F1398">
        <f t="shared" si="89"/>
        <v>2</v>
      </c>
      <c r="G1398">
        <f t="shared" si="90"/>
        <v>3</v>
      </c>
      <c r="H1398">
        <f t="shared" si="91"/>
        <v>523</v>
      </c>
    </row>
    <row r="1399" spans="1:8" x14ac:dyDescent="0.55000000000000004">
      <c r="A1399" s="6">
        <v>1.207908146795667E+19</v>
      </c>
      <c r="B1399">
        <v>929</v>
      </c>
      <c r="C1399">
        <v>2</v>
      </c>
      <c r="D1399">
        <v>390</v>
      </c>
      <c r="E1399">
        <f t="shared" si="88"/>
        <v>2</v>
      </c>
      <c r="F1399">
        <f t="shared" si="89"/>
        <v>2</v>
      </c>
      <c r="G1399">
        <f t="shared" si="90"/>
        <v>1</v>
      </c>
      <c r="H1399">
        <f t="shared" si="91"/>
        <v>221</v>
      </c>
    </row>
    <row r="1400" spans="1:8" x14ac:dyDescent="0.55000000000000004">
      <c r="A1400" s="6">
        <v>1.2110034943482069E+19</v>
      </c>
      <c r="B1400">
        <v>40</v>
      </c>
      <c r="C1400">
        <v>1</v>
      </c>
      <c r="D1400">
        <v>4047</v>
      </c>
      <c r="E1400">
        <f t="shared" si="88"/>
        <v>5</v>
      </c>
      <c r="F1400">
        <f t="shared" si="89"/>
        <v>1</v>
      </c>
      <c r="G1400">
        <f t="shared" si="90"/>
        <v>3</v>
      </c>
      <c r="H1400">
        <f t="shared" si="91"/>
        <v>513</v>
      </c>
    </row>
    <row r="1401" spans="1:8" x14ac:dyDescent="0.55000000000000004">
      <c r="A1401" s="6">
        <v>1.211089913460737E+19</v>
      </c>
      <c r="B1401">
        <v>510</v>
      </c>
      <c r="C1401">
        <v>1</v>
      </c>
      <c r="D1401">
        <v>248</v>
      </c>
      <c r="E1401">
        <f t="shared" si="88"/>
        <v>4</v>
      </c>
      <c r="F1401">
        <f t="shared" si="89"/>
        <v>1</v>
      </c>
      <c r="G1401">
        <f t="shared" si="90"/>
        <v>1</v>
      </c>
      <c r="H1401">
        <f t="shared" si="91"/>
        <v>411</v>
      </c>
    </row>
    <row r="1402" spans="1:8" x14ac:dyDescent="0.55000000000000004">
      <c r="A1402" s="6">
        <v>1.211195581225029E+19</v>
      </c>
      <c r="B1402">
        <v>361</v>
      </c>
      <c r="C1402">
        <v>3</v>
      </c>
      <c r="D1402">
        <v>24452</v>
      </c>
      <c r="E1402">
        <f t="shared" si="88"/>
        <v>4</v>
      </c>
      <c r="F1402">
        <f t="shared" si="89"/>
        <v>3</v>
      </c>
      <c r="G1402">
        <f t="shared" si="90"/>
        <v>3</v>
      </c>
      <c r="H1402">
        <f t="shared" si="91"/>
        <v>433</v>
      </c>
    </row>
    <row r="1403" spans="1:8" x14ac:dyDescent="0.55000000000000004">
      <c r="A1403" s="6">
        <v>1.2135474904153309E+19</v>
      </c>
      <c r="B1403">
        <v>42</v>
      </c>
      <c r="C1403">
        <v>2</v>
      </c>
      <c r="D1403">
        <v>6410</v>
      </c>
      <c r="E1403">
        <f t="shared" si="88"/>
        <v>5</v>
      </c>
      <c r="F1403">
        <f t="shared" si="89"/>
        <v>2</v>
      </c>
      <c r="G1403">
        <f t="shared" si="90"/>
        <v>3</v>
      </c>
      <c r="H1403">
        <f t="shared" si="91"/>
        <v>523</v>
      </c>
    </row>
    <row r="1404" spans="1:8" x14ac:dyDescent="0.55000000000000004">
      <c r="A1404" s="6">
        <v>1.21417257486778E+19</v>
      </c>
      <c r="B1404">
        <v>564</v>
      </c>
      <c r="C1404">
        <v>1</v>
      </c>
      <c r="D1404">
        <v>673</v>
      </c>
      <c r="E1404">
        <f t="shared" si="88"/>
        <v>4</v>
      </c>
      <c r="F1404">
        <f t="shared" si="89"/>
        <v>1</v>
      </c>
      <c r="G1404">
        <f t="shared" si="90"/>
        <v>2</v>
      </c>
      <c r="H1404">
        <f t="shared" si="91"/>
        <v>412</v>
      </c>
    </row>
    <row r="1405" spans="1:8" x14ac:dyDescent="0.55000000000000004">
      <c r="A1405" s="6">
        <v>1.215655521005091E+19</v>
      </c>
      <c r="B1405">
        <v>111</v>
      </c>
      <c r="C1405">
        <v>1</v>
      </c>
      <c r="D1405">
        <v>1790</v>
      </c>
      <c r="E1405">
        <f t="shared" si="88"/>
        <v>5</v>
      </c>
      <c r="F1405">
        <f t="shared" si="89"/>
        <v>1</v>
      </c>
      <c r="G1405">
        <f t="shared" si="90"/>
        <v>2</v>
      </c>
      <c r="H1405">
        <f t="shared" si="91"/>
        <v>512</v>
      </c>
    </row>
    <row r="1406" spans="1:8" x14ac:dyDescent="0.55000000000000004">
      <c r="A1406" s="6">
        <v>1.2160854978433571E+19</v>
      </c>
      <c r="B1406">
        <v>386</v>
      </c>
      <c r="C1406">
        <v>1</v>
      </c>
      <c r="D1406">
        <v>2572</v>
      </c>
      <c r="E1406">
        <f t="shared" si="88"/>
        <v>4</v>
      </c>
      <c r="F1406">
        <f t="shared" si="89"/>
        <v>1</v>
      </c>
      <c r="G1406">
        <f t="shared" si="90"/>
        <v>3</v>
      </c>
      <c r="H1406">
        <f t="shared" si="91"/>
        <v>413</v>
      </c>
    </row>
    <row r="1407" spans="1:8" x14ac:dyDescent="0.55000000000000004">
      <c r="A1407" s="6">
        <v>1.216474359270146E+19</v>
      </c>
      <c r="B1407">
        <v>37</v>
      </c>
      <c r="C1407">
        <v>1</v>
      </c>
      <c r="D1407">
        <v>2592</v>
      </c>
      <c r="E1407">
        <f t="shared" si="88"/>
        <v>5</v>
      </c>
      <c r="F1407">
        <f t="shared" si="89"/>
        <v>1</v>
      </c>
      <c r="G1407">
        <f t="shared" si="90"/>
        <v>3</v>
      </c>
      <c r="H1407">
        <f t="shared" si="91"/>
        <v>513</v>
      </c>
    </row>
    <row r="1408" spans="1:8" x14ac:dyDescent="0.55000000000000004">
      <c r="A1408" s="6">
        <v>1.216780842409685E+19</v>
      </c>
      <c r="B1408">
        <v>1107</v>
      </c>
      <c r="C1408">
        <v>1</v>
      </c>
      <c r="D1408">
        <v>349</v>
      </c>
      <c r="E1408">
        <f t="shared" si="88"/>
        <v>2</v>
      </c>
      <c r="F1408">
        <f t="shared" si="89"/>
        <v>1</v>
      </c>
      <c r="G1408">
        <f t="shared" si="90"/>
        <v>1</v>
      </c>
      <c r="H1408">
        <f t="shared" si="91"/>
        <v>211</v>
      </c>
    </row>
    <row r="1409" spans="1:8" x14ac:dyDescent="0.55000000000000004">
      <c r="A1409" s="6">
        <v>1.218819727349224E+19</v>
      </c>
      <c r="B1409">
        <v>384</v>
      </c>
      <c r="C1409">
        <v>2</v>
      </c>
      <c r="D1409">
        <v>371</v>
      </c>
      <c r="E1409">
        <f t="shared" si="88"/>
        <v>4</v>
      </c>
      <c r="F1409">
        <f t="shared" si="89"/>
        <v>2</v>
      </c>
      <c r="G1409">
        <f t="shared" si="90"/>
        <v>1</v>
      </c>
      <c r="H1409">
        <f t="shared" si="91"/>
        <v>421</v>
      </c>
    </row>
    <row r="1410" spans="1:8" x14ac:dyDescent="0.55000000000000004">
      <c r="A1410" s="6">
        <v>1.22051270992175E+19</v>
      </c>
      <c r="B1410">
        <v>8</v>
      </c>
      <c r="C1410">
        <v>1</v>
      </c>
      <c r="D1410">
        <v>3900</v>
      </c>
      <c r="E1410">
        <f t="shared" si="88"/>
        <v>5</v>
      </c>
      <c r="F1410">
        <f t="shared" si="89"/>
        <v>1</v>
      </c>
      <c r="G1410">
        <f t="shared" si="90"/>
        <v>3</v>
      </c>
      <c r="H1410">
        <f t="shared" si="91"/>
        <v>513</v>
      </c>
    </row>
    <row r="1411" spans="1:8" x14ac:dyDescent="0.55000000000000004">
      <c r="A1411" s="6">
        <v>1.2231084717582371E+19</v>
      </c>
      <c r="B1411">
        <v>659</v>
      </c>
      <c r="C1411">
        <v>1</v>
      </c>
      <c r="D1411">
        <v>906</v>
      </c>
      <c r="E1411">
        <f t="shared" ref="E1411:E1474" si="92">VLOOKUP(B1411,$K$5:$L$9,2,1)</f>
        <v>3</v>
      </c>
      <c r="F1411">
        <f t="shared" ref="F1411:F1474" si="93">VLOOKUP(C1411,$K$15:$L$17,2,1)</f>
        <v>1</v>
      </c>
      <c r="G1411">
        <f t="shared" ref="G1411:G1474" si="94">VLOOKUP(D1411,$K$24:$L$26,2,1)</f>
        <v>2</v>
      </c>
      <c r="H1411">
        <f t="shared" ref="H1411:H1474" si="95">E1411*100+F1411*10+G1411</f>
        <v>312</v>
      </c>
    </row>
    <row r="1412" spans="1:8" x14ac:dyDescent="0.55000000000000004">
      <c r="A1412" s="6">
        <v>1.2242322411880839E+19</v>
      </c>
      <c r="B1412">
        <v>74</v>
      </c>
      <c r="C1412">
        <v>3</v>
      </c>
      <c r="D1412">
        <v>13019</v>
      </c>
      <c r="E1412">
        <f t="shared" si="92"/>
        <v>5</v>
      </c>
      <c r="F1412">
        <f t="shared" si="93"/>
        <v>3</v>
      </c>
      <c r="G1412">
        <f t="shared" si="94"/>
        <v>3</v>
      </c>
      <c r="H1412">
        <f t="shared" si="95"/>
        <v>533</v>
      </c>
    </row>
    <row r="1413" spans="1:8" x14ac:dyDescent="0.55000000000000004">
      <c r="A1413" s="6">
        <v>1.2278171695575269E+19</v>
      </c>
      <c r="B1413">
        <v>724</v>
      </c>
      <c r="C1413">
        <v>1</v>
      </c>
      <c r="D1413">
        <v>722</v>
      </c>
      <c r="E1413">
        <f t="shared" si="92"/>
        <v>3</v>
      </c>
      <c r="F1413">
        <f t="shared" si="93"/>
        <v>1</v>
      </c>
      <c r="G1413">
        <f t="shared" si="94"/>
        <v>2</v>
      </c>
      <c r="H1413">
        <f t="shared" si="95"/>
        <v>312</v>
      </c>
    </row>
    <row r="1414" spans="1:8" x14ac:dyDescent="0.55000000000000004">
      <c r="A1414" s="6">
        <v>1.22809657059362E+19</v>
      </c>
      <c r="B1414">
        <v>435</v>
      </c>
      <c r="C1414">
        <v>1</v>
      </c>
      <c r="D1414">
        <v>1730</v>
      </c>
      <c r="E1414">
        <f t="shared" si="92"/>
        <v>4</v>
      </c>
      <c r="F1414">
        <f t="shared" si="93"/>
        <v>1</v>
      </c>
      <c r="G1414">
        <f t="shared" si="94"/>
        <v>2</v>
      </c>
      <c r="H1414">
        <f t="shared" si="95"/>
        <v>412</v>
      </c>
    </row>
    <row r="1415" spans="1:8" x14ac:dyDescent="0.55000000000000004">
      <c r="A1415" s="6">
        <v>1.228500511889546E+19</v>
      </c>
      <c r="B1415">
        <v>1228</v>
      </c>
      <c r="C1415">
        <v>1</v>
      </c>
      <c r="D1415">
        <v>385</v>
      </c>
      <c r="E1415">
        <f t="shared" si="92"/>
        <v>1</v>
      </c>
      <c r="F1415">
        <f t="shared" si="93"/>
        <v>1</v>
      </c>
      <c r="G1415">
        <f t="shared" si="94"/>
        <v>1</v>
      </c>
      <c r="H1415">
        <f t="shared" si="95"/>
        <v>111</v>
      </c>
    </row>
    <row r="1416" spans="1:8" x14ac:dyDescent="0.55000000000000004">
      <c r="A1416" s="6">
        <v>1.229276804746035E+19</v>
      </c>
      <c r="B1416">
        <v>1120</v>
      </c>
      <c r="C1416">
        <v>1</v>
      </c>
      <c r="D1416">
        <v>224</v>
      </c>
      <c r="E1416">
        <f t="shared" si="92"/>
        <v>2</v>
      </c>
      <c r="F1416">
        <f t="shared" si="93"/>
        <v>1</v>
      </c>
      <c r="G1416">
        <f t="shared" si="94"/>
        <v>1</v>
      </c>
      <c r="H1416">
        <f t="shared" si="95"/>
        <v>211</v>
      </c>
    </row>
    <row r="1417" spans="1:8" x14ac:dyDescent="0.55000000000000004">
      <c r="A1417" s="6">
        <v>1.2294883668211849E+19</v>
      </c>
      <c r="B1417">
        <v>1240</v>
      </c>
      <c r="C1417">
        <v>1</v>
      </c>
      <c r="D1417">
        <v>15714</v>
      </c>
      <c r="E1417">
        <f t="shared" si="92"/>
        <v>1</v>
      </c>
      <c r="F1417">
        <f t="shared" si="93"/>
        <v>1</v>
      </c>
      <c r="G1417">
        <f t="shared" si="94"/>
        <v>3</v>
      </c>
      <c r="H1417">
        <f t="shared" si="95"/>
        <v>113</v>
      </c>
    </row>
    <row r="1418" spans="1:8" x14ac:dyDescent="0.55000000000000004">
      <c r="A1418" s="6">
        <v>1.2302739047481971E+19</v>
      </c>
      <c r="B1418">
        <v>594</v>
      </c>
      <c r="C1418">
        <v>1</v>
      </c>
      <c r="D1418">
        <v>1359</v>
      </c>
      <c r="E1418">
        <f t="shared" si="92"/>
        <v>3</v>
      </c>
      <c r="F1418">
        <f t="shared" si="93"/>
        <v>1</v>
      </c>
      <c r="G1418">
        <f t="shared" si="94"/>
        <v>2</v>
      </c>
      <c r="H1418">
        <f t="shared" si="95"/>
        <v>312</v>
      </c>
    </row>
    <row r="1419" spans="1:8" x14ac:dyDescent="0.55000000000000004">
      <c r="A1419" s="6">
        <v>1.2325779343734329E+19</v>
      </c>
      <c r="B1419">
        <v>40</v>
      </c>
      <c r="C1419">
        <v>2</v>
      </c>
      <c r="D1419">
        <v>3567</v>
      </c>
      <c r="E1419">
        <f t="shared" si="92"/>
        <v>5</v>
      </c>
      <c r="F1419">
        <f t="shared" si="93"/>
        <v>2</v>
      </c>
      <c r="G1419">
        <f t="shared" si="94"/>
        <v>3</v>
      </c>
      <c r="H1419">
        <f t="shared" si="95"/>
        <v>523</v>
      </c>
    </row>
    <row r="1420" spans="1:8" x14ac:dyDescent="0.55000000000000004">
      <c r="A1420" s="6">
        <v>1.234620301174427E+19</v>
      </c>
      <c r="B1420">
        <v>265</v>
      </c>
      <c r="C1420">
        <v>2</v>
      </c>
      <c r="D1420">
        <v>1859</v>
      </c>
      <c r="E1420">
        <f t="shared" si="92"/>
        <v>5</v>
      </c>
      <c r="F1420">
        <f t="shared" si="93"/>
        <v>2</v>
      </c>
      <c r="G1420">
        <f t="shared" si="94"/>
        <v>2</v>
      </c>
      <c r="H1420">
        <f t="shared" si="95"/>
        <v>522</v>
      </c>
    </row>
    <row r="1421" spans="1:8" x14ac:dyDescent="0.55000000000000004">
      <c r="A1421" s="6">
        <v>1.2350054782657731E+19</v>
      </c>
      <c r="B1421">
        <v>959</v>
      </c>
      <c r="C1421">
        <v>1</v>
      </c>
      <c r="D1421">
        <v>661</v>
      </c>
      <c r="E1421">
        <f t="shared" si="92"/>
        <v>2</v>
      </c>
      <c r="F1421">
        <f t="shared" si="93"/>
        <v>1</v>
      </c>
      <c r="G1421">
        <f t="shared" si="94"/>
        <v>2</v>
      </c>
      <c r="H1421">
        <f t="shared" si="95"/>
        <v>212</v>
      </c>
    </row>
    <row r="1422" spans="1:8" x14ac:dyDescent="0.55000000000000004">
      <c r="A1422" s="6">
        <v>1.2356092702888061E+19</v>
      </c>
      <c r="B1422">
        <v>153</v>
      </c>
      <c r="C1422">
        <v>2</v>
      </c>
      <c r="D1422">
        <v>7393</v>
      </c>
      <c r="E1422">
        <f t="shared" si="92"/>
        <v>5</v>
      </c>
      <c r="F1422">
        <f t="shared" si="93"/>
        <v>2</v>
      </c>
      <c r="G1422">
        <f t="shared" si="94"/>
        <v>3</v>
      </c>
      <c r="H1422">
        <f t="shared" si="95"/>
        <v>523</v>
      </c>
    </row>
    <row r="1423" spans="1:8" x14ac:dyDescent="0.55000000000000004">
      <c r="A1423" s="6">
        <v>1.23702259131362E+19</v>
      </c>
      <c r="B1423">
        <v>31</v>
      </c>
      <c r="C1423">
        <v>1</v>
      </c>
      <c r="D1423">
        <v>2352</v>
      </c>
      <c r="E1423">
        <f t="shared" si="92"/>
        <v>5</v>
      </c>
      <c r="F1423">
        <f t="shared" si="93"/>
        <v>1</v>
      </c>
      <c r="G1423">
        <f t="shared" si="94"/>
        <v>3</v>
      </c>
      <c r="H1423">
        <f t="shared" si="95"/>
        <v>513</v>
      </c>
    </row>
    <row r="1424" spans="1:8" x14ac:dyDescent="0.55000000000000004">
      <c r="A1424" s="6">
        <v>1.23873043178089E+19</v>
      </c>
      <c r="B1424">
        <v>533</v>
      </c>
      <c r="C1424">
        <v>1</v>
      </c>
      <c r="D1424">
        <v>586</v>
      </c>
      <c r="E1424">
        <f t="shared" si="92"/>
        <v>4</v>
      </c>
      <c r="F1424">
        <f t="shared" si="93"/>
        <v>1</v>
      </c>
      <c r="G1424">
        <f t="shared" si="94"/>
        <v>1</v>
      </c>
      <c r="H1424">
        <f t="shared" si="95"/>
        <v>411</v>
      </c>
    </row>
    <row r="1425" spans="1:8" x14ac:dyDescent="0.55000000000000004">
      <c r="A1425" s="6">
        <v>1.2388158799828779E+19</v>
      </c>
      <c r="B1425">
        <v>735</v>
      </c>
      <c r="C1425">
        <v>1</v>
      </c>
      <c r="D1425">
        <v>269</v>
      </c>
      <c r="E1425">
        <f t="shared" si="92"/>
        <v>3</v>
      </c>
      <c r="F1425">
        <f t="shared" si="93"/>
        <v>1</v>
      </c>
      <c r="G1425">
        <f t="shared" si="94"/>
        <v>1</v>
      </c>
      <c r="H1425">
        <f t="shared" si="95"/>
        <v>311</v>
      </c>
    </row>
    <row r="1426" spans="1:8" x14ac:dyDescent="0.55000000000000004">
      <c r="A1426" s="6">
        <v>1.238916070570668E+19</v>
      </c>
      <c r="B1426">
        <v>607</v>
      </c>
      <c r="C1426">
        <v>2</v>
      </c>
      <c r="D1426">
        <v>2146</v>
      </c>
      <c r="E1426">
        <f t="shared" si="92"/>
        <v>3</v>
      </c>
      <c r="F1426">
        <f t="shared" si="93"/>
        <v>2</v>
      </c>
      <c r="G1426">
        <f t="shared" si="94"/>
        <v>2</v>
      </c>
      <c r="H1426">
        <f t="shared" si="95"/>
        <v>322</v>
      </c>
    </row>
    <row r="1427" spans="1:8" x14ac:dyDescent="0.55000000000000004">
      <c r="A1427" s="6">
        <v>1.239974817970707E+19</v>
      </c>
      <c r="B1427">
        <v>1072</v>
      </c>
      <c r="C1427">
        <v>1</v>
      </c>
      <c r="D1427">
        <v>490</v>
      </c>
      <c r="E1427">
        <f t="shared" si="92"/>
        <v>2</v>
      </c>
      <c r="F1427">
        <f t="shared" si="93"/>
        <v>1</v>
      </c>
      <c r="G1427">
        <f t="shared" si="94"/>
        <v>1</v>
      </c>
      <c r="H1427">
        <f t="shared" si="95"/>
        <v>211</v>
      </c>
    </row>
    <row r="1428" spans="1:8" x14ac:dyDescent="0.55000000000000004">
      <c r="A1428" s="6">
        <v>1.24032174026972E+19</v>
      </c>
      <c r="B1428">
        <v>134</v>
      </c>
      <c r="C1428">
        <v>1</v>
      </c>
      <c r="D1428">
        <v>1696</v>
      </c>
      <c r="E1428">
        <f t="shared" si="92"/>
        <v>5</v>
      </c>
      <c r="F1428">
        <f t="shared" si="93"/>
        <v>1</v>
      </c>
      <c r="G1428">
        <f t="shared" si="94"/>
        <v>2</v>
      </c>
      <c r="H1428">
        <f t="shared" si="95"/>
        <v>512</v>
      </c>
    </row>
    <row r="1429" spans="1:8" x14ac:dyDescent="0.55000000000000004">
      <c r="A1429" s="6">
        <v>1.240325528226262E+19</v>
      </c>
      <c r="B1429">
        <v>719</v>
      </c>
      <c r="C1429">
        <v>1</v>
      </c>
      <c r="D1429">
        <v>939</v>
      </c>
      <c r="E1429">
        <f t="shared" si="92"/>
        <v>3</v>
      </c>
      <c r="F1429">
        <f t="shared" si="93"/>
        <v>1</v>
      </c>
      <c r="G1429">
        <f t="shared" si="94"/>
        <v>2</v>
      </c>
      <c r="H1429">
        <f t="shared" si="95"/>
        <v>312</v>
      </c>
    </row>
    <row r="1430" spans="1:8" x14ac:dyDescent="0.55000000000000004">
      <c r="A1430" s="6">
        <v>1.2405799779277251E+19</v>
      </c>
      <c r="B1430">
        <v>713</v>
      </c>
      <c r="C1430">
        <v>2</v>
      </c>
      <c r="D1430">
        <v>7390</v>
      </c>
      <c r="E1430">
        <f t="shared" si="92"/>
        <v>3</v>
      </c>
      <c r="F1430">
        <f t="shared" si="93"/>
        <v>2</v>
      </c>
      <c r="G1430">
        <f t="shared" si="94"/>
        <v>3</v>
      </c>
      <c r="H1430">
        <f t="shared" si="95"/>
        <v>323</v>
      </c>
    </row>
    <row r="1431" spans="1:8" x14ac:dyDescent="0.55000000000000004">
      <c r="A1431" s="6">
        <v>1.2418058850637941E+19</v>
      </c>
      <c r="B1431">
        <v>203</v>
      </c>
      <c r="C1431">
        <v>3</v>
      </c>
      <c r="D1431">
        <v>8487</v>
      </c>
      <c r="E1431">
        <f t="shared" si="92"/>
        <v>5</v>
      </c>
      <c r="F1431">
        <f t="shared" si="93"/>
        <v>3</v>
      </c>
      <c r="G1431">
        <f t="shared" si="94"/>
        <v>3</v>
      </c>
      <c r="H1431">
        <f t="shared" si="95"/>
        <v>533</v>
      </c>
    </row>
    <row r="1432" spans="1:8" x14ac:dyDescent="0.55000000000000004">
      <c r="A1432" s="6">
        <v>1.2420661798939331E+19</v>
      </c>
      <c r="B1432">
        <v>1053</v>
      </c>
      <c r="C1432">
        <v>1</v>
      </c>
      <c r="D1432">
        <v>180</v>
      </c>
      <c r="E1432">
        <f t="shared" si="92"/>
        <v>2</v>
      </c>
      <c r="F1432">
        <f t="shared" si="93"/>
        <v>1</v>
      </c>
      <c r="G1432">
        <f t="shared" si="94"/>
        <v>1</v>
      </c>
      <c r="H1432">
        <f t="shared" si="95"/>
        <v>211</v>
      </c>
    </row>
    <row r="1433" spans="1:8" x14ac:dyDescent="0.55000000000000004">
      <c r="A1433" s="6">
        <v>1.2425575693366991E+19</v>
      </c>
      <c r="B1433">
        <v>839</v>
      </c>
      <c r="C1433">
        <v>1</v>
      </c>
      <c r="D1433">
        <v>117</v>
      </c>
      <c r="E1433">
        <f t="shared" si="92"/>
        <v>3</v>
      </c>
      <c r="F1433">
        <f t="shared" si="93"/>
        <v>1</v>
      </c>
      <c r="G1433">
        <f t="shared" si="94"/>
        <v>1</v>
      </c>
      <c r="H1433">
        <f t="shared" si="95"/>
        <v>311</v>
      </c>
    </row>
    <row r="1434" spans="1:8" x14ac:dyDescent="0.55000000000000004">
      <c r="A1434" s="6">
        <v>1.243201166146015E+19</v>
      </c>
      <c r="B1434">
        <v>289</v>
      </c>
      <c r="C1434">
        <v>1</v>
      </c>
      <c r="D1434">
        <v>824</v>
      </c>
      <c r="E1434">
        <f t="shared" si="92"/>
        <v>5</v>
      </c>
      <c r="F1434">
        <f t="shared" si="93"/>
        <v>1</v>
      </c>
      <c r="G1434">
        <f t="shared" si="94"/>
        <v>2</v>
      </c>
      <c r="H1434">
        <f t="shared" si="95"/>
        <v>512</v>
      </c>
    </row>
    <row r="1435" spans="1:8" x14ac:dyDescent="0.55000000000000004">
      <c r="A1435" s="6">
        <v>1.2438126385230721E+19</v>
      </c>
      <c r="B1435">
        <v>440</v>
      </c>
      <c r="C1435">
        <v>1</v>
      </c>
      <c r="D1435">
        <v>862</v>
      </c>
      <c r="E1435">
        <f t="shared" si="92"/>
        <v>4</v>
      </c>
      <c r="F1435">
        <f t="shared" si="93"/>
        <v>1</v>
      </c>
      <c r="G1435">
        <f t="shared" si="94"/>
        <v>2</v>
      </c>
      <c r="H1435">
        <f t="shared" si="95"/>
        <v>412</v>
      </c>
    </row>
    <row r="1436" spans="1:8" x14ac:dyDescent="0.55000000000000004">
      <c r="A1436" s="6">
        <v>1.2443034443621161E+19</v>
      </c>
      <c r="B1436">
        <v>48</v>
      </c>
      <c r="C1436">
        <v>1</v>
      </c>
      <c r="D1436">
        <v>633</v>
      </c>
      <c r="E1436">
        <f t="shared" si="92"/>
        <v>5</v>
      </c>
      <c r="F1436">
        <f t="shared" si="93"/>
        <v>1</v>
      </c>
      <c r="G1436">
        <f t="shared" si="94"/>
        <v>1</v>
      </c>
      <c r="H1436">
        <f t="shared" si="95"/>
        <v>511</v>
      </c>
    </row>
    <row r="1437" spans="1:8" x14ac:dyDescent="0.55000000000000004">
      <c r="A1437" s="6">
        <v>1.24462809513251E+19</v>
      </c>
      <c r="B1437">
        <v>396</v>
      </c>
      <c r="C1437">
        <v>1</v>
      </c>
      <c r="D1437">
        <v>1890</v>
      </c>
      <c r="E1437">
        <f t="shared" si="92"/>
        <v>4</v>
      </c>
      <c r="F1437">
        <f t="shared" si="93"/>
        <v>1</v>
      </c>
      <c r="G1437">
        <f t="shared" si="94"/>
        <v>2</v>
      </c>
      <c r="H1437">
        <f t="shared" si="95"/>
        <v>412</v>
      </c>
    </row>
    <row r="1438" spans="1:8" x14ac:dyDescent="0.55000000000000004">
      <c r="A1438" s="6">
        <v>1.24468035397837E+19</v>
      </c>
      <c r="B1438">
        <v>1094</v>
      </c>
      <c r="C1438">
        <v>1</v>
      </c>
      <c r="D1438">
        <v>846</v>
      </c>
      <c r="E1438">
        <f t="shared" si="92"/>
        <v>2</v>
      </c>
      <c r="F1438">
        <f t="shared" si="93"/>
        <v>1</v>
      </c>
      <c r="G1438">
        <f t="shared" si="94"/>
        <v>2</v>
      </c>
      <c r="H1438">
        <f t="shared" si="95"/>
        <v>212</v>
      </c>
    </row>
    <row r="1439" spans="1:8" x14ac:dyDescent="0.55000000000000004">
      <c r="A1439" s="6">
        <v>1.2447460537077559E+19</v>
      </c>
      <c r="B1439">
        <v>50</v>
      </c>
      <c r="C1439">
        <v>1</v>
      </c>
      <c r="D1439">
        <v>249</v>
      </c>
      <c r="E1439">
        <f t="shared" si="92"/>
        <v>5</v>
      </c>
      <c r="F1439">
        <f t="shared" si="93"/>
        <v>1</v>
      </c>
      <c r="G1439">
        <f t="shared" si="94"/>
        <v>1</v>
      </c>
      <c r="H1439">
        <f t="shared" si="95"/>
        <v>511</v>
      </c>
    </row>
    <row r="1440" spans="1:8" x14ac:dyDescent="0.55000000000000004">
      <c r="A1440" s="6">
        <v>1.2447495074817901E+19</v>
      </c>
      <c r="B1440">
        <v>1255</v>
      </c>
      <c r="C1440">
        <v>1</v>
      </c>
      <c r="D1440">
        <v>138</v>
      </c>
      <c r="E1440">
        <f t="shared" si="92"/>
        <v>1</v>
      </c>
      <c r="F1440">
        <f t="shared" si="93"/>
        <v>1</v>
      </c>
      <c r="G1440">
        <f t="shared" si="94"/>
        <v>1</v>
      </c>
      <c r="H1440">
        <f t="shared" si="95"/>
        <v>111</v>
      </c>
    </row>
    <row r="1441" spans="1:8" x14ac:dyDescent="0.55000000000000004">
      <c r="A1441" s="6">
        <v>1.244898343219859E+19</v>
      </c>
      <c r="B1441">
        <v>820</v>
      </c>
      <c r="C1441">
        <v>1</v>
      </c>
      <c r="D1441">
        <v>919</v>
      </c>
      <c r="E1441">
        <f t="shared" si="92"/>
        <v>3</v>
      </c>
      <c r="F1441">
        <f t="shared" si="93"/>
        <v>1</v>
      </c>
      <c r="G1441">
        <f t="shared" si="94"/>
        <v>2</v>
      </c>
      <c r="H1441">
        <f t="shared" si="95"/>
        <v>312</v>
      </c>
    </row>
    <row r="1442" spans="1:8" x14ac:dyDescent="0.55000000000000004">
      <c r="A1442" s="6">
        <v>1.2470295368778029E+19</v>
      </c>
      <c r="B1442">
        <v>911</v>
      </c>
      <c r="C1442">
        <v>1</v>
      </c>
      <c r="D1442">
        <v>432</v>
      </c>
      <c r="E1442">
        <f t="shared" si="92"/>
        <v>2</v>
      </c>
      <c r="F1442">
        <f t="shared" si="93"/>
        <v>1</v>
      </c>
      <c r="G1442">
        <f t="shared" si="94"/>
        <v>1</v>
      </c>
      <c r="H1442">
        <f t="shared" si="95"/>
        <v>211</v>
      </c>
    </row>
    <row r="1443" spans="1:8" x14ac:dyDescent="0.55000000000000004">
      <c r="A1443" s="6">
        <v>1.247375959022874E+19</v>
      </c>
      <c r="B1443">
        <v>505</v>
      </c>
      <c r="C1443">
        <v>1</v>
      </c>
      <c r="D1443">
        <v>99</v>
      </c>
      <c r="E1443">
        <f t="shared" si="92"/>
        <v>4</v>
      </c>
      <c r="F1443">
        <f t="shared" si="93"/>
        <v>1</v>
      </c>
      <c r="G1443">
        <f t="shared" si="94"/>
        <v>1</v>
      </c>
      <c r="H1443">
        <f t="shared" si="95"/>
        <v>411</v>
      </c>
    </row>
    <row r="1444" spans="1:8" x14ac:dyDescent="0.55000000000000004">
      <c r="A1444" s="6">
        <v>1.2480650001792049E+19</v>
      </c>
      <c r="B1444">
        <v>338</v>
      </c>
      <c r="C1444">
        <v>1</v>
      </c>
      <c r="D1444">
        <v>226</v>
      </c>
      <c r="E1444">
        <f t="shared" si="92"/>
        <v>4</v>
      </c>
      <c r="F1444">
        <f t="shared" si="93"/>
        <v>1</v>
      </c>
      <c r="G1444">
        <f t="shared" si="94"/>
        <v>1</v>
      </c>
      <c r="H1444">
        <f t="shared" si="95"/>
        <v>411</v>
      </c>
    </row>
    <row r="1445" spans="1:8" x14ac:dyDescent="0.55000000000000004">
      <c r="A1445" s="6">
        <v>1.248812592215986E+19</v>
      </c>
      <c r="B1445">
        <v>593</v>
      </c>
      <c r="C1445">
        <v>1</v>
      </c>
      <c r="D1445">
        <v>302</v>
      </c>
      <c r="E1445">
        <f t="shared" si="92"/>
        <v>3</v>
      </c>
      <c r="F1445">
        <f t="shared" si="93"/>
        <v>1</v>
      </c>
      <c r="G1445">
        <f t="shared" si="94"/>
        <v>1</v>
      </c>
      <c r="H1445">
        <f t="shared" si="95"/>
        <v>311</v>
      </c>
    </row>
    <row r="1446" spans="1:8" x14ac:dyDescent="0.55000000000000004">
      <c r="A1446" s="6">
        <v>1.2488241262194881E+19</v>
      </c>
      <c r="B1446">
        <v>652</v>
      </c>
      <c r="C1446">
        <v>1</v>
      </c>
      <c r="D1446">
        <v>69</v>
      </c>
      <c r="E1446">
        <f t="shared" si="92"/>
        <v>3</v>
      </c>
      <c r="F1446">
        <f t="shared" si="93"/>
        <v>1</v>
      </c>
      <c r="G1446">
        <f t="shared" si="94"/>
        <v>1</v>
      </c>
      <c r="H1446">
        <f t="shared" si="95"/>
        <v>311</v>
      </c>
    </row>
    <row r="1447" spans="1:8" x14ac:dyDescent="0.55000000000000004">
      <c r="A1447" s="6">
        <v>1.2491910575003779E+19</v>
      </c>
      <c r="B1447">
        <v>747</v>
      </c>
      <c r="C1447">
        <v>1</v>
      </c>
      <c r="D1447">
        <v>2070</v>
      </c>
      <c r="E1447">
        <f t="shared" si="92"/>
        <v>3</v>
      </c>
      <c r="F1447">
        <f t="shared" si="93"/>
        <v>1</v>
      </c>
      <c r="G1447">
        <f t="shared" si="94"/>
        <v>2</v>
      </c>
      <c r="H1447">
        <f t="shared" si="95"/>
        <v>312</v>
      </c>
    </row>
    <row r="1448" spans="1:8" x14ac:dyDescent="0.55000000000000004">
      <c r="A1448" s="6">
        <v>1.2530939074231751E+19</v>
      </c>
      <c r="B1448">
        <v>470</v>
      </c>
      <c r="C1448">
        <v>2</v>
      </c>
      <c r="D1448">
        <v>52204</v>
      </c>
      <c r="E1448">
        <f t="shared" si="92"/>
        <v>4</v>
      </c>
      <c r="F1448">
        <f t="shared" si="93"/>
        <v>2</v>
      </c>
      <c r="G1448">
        <f t="shared" si="94"/>
        <v>3</v>
      </c>
      <c r="H1448">
        <f t="shared" si="95"/>
        <v>423</v>
      </c>
    </row>
    <row r="1449" spans="1:8" x14ac:dyDescent="0.55000000000000004">
      <c r="A1449" s="6">
        <v>1.2539100529691179E+19</v>
      </c>
      <c r="B1449">
        <v>1215</v>
      </c>
      <c r="C1449">
        <v>1</v>
      </c>
      <c r="D1449">
        <v>443</v>
      </c>
      <c r="E1449">
        <f t="shared" si="92"/>
        <v>1</v>
      </c>
      <c r="F1449">
        <f t="shared" si="93"/>
        <v>1</v>
      </c>
      <c r="G1449">
        <f t="shared" si="94"/>
        <v>1</v>
      </c>
      <c r="H1449">
        <f t="shared" si="95"/>
        <v>111</v>
      </c>
    </row>
    <row r="1450" spans="1:8" x14ac:dyDescent="0.55000000000000004">
      <c r="A1450" s="6">
        <v>1.2557420658904809E+19</v>
      </c>
      <c r="B1450">
        <v>321</v>
      </c>
      <c r="C1450">
        <v>2</v>
      </c>
      <c r="D1450">
        <v>4109</v>
      </c>
      <c r="E1450">
        <f t="shared" si="92"/>
        <v>4</v>
      </c>
      <c r="F1450">
        <f t="shared" si="93"/>
        <v>2</v>
      </c>
      <c r="G1450">
        <f t="shared" si="94"/>
        <v>3</v>
      </c>
      <c r="H1450">
        <f t="shared" si="95"/>
        <v>423</v>
      </c>
    </row>
    <row r="1451" spans="1:8" x14ac:dyDescent="0.55000000000000004">
      <c r="A1451" s="6">
        <v>1.256053743708636E+19</v>
      </c>
      <c r="B1451">
        <v>372</v>
      </c>
      <c r="C1451">
        <v>2</v>
      </c>
      <c r="D1451">
        <v>13666</v>
      </c>
      <c r="E1451">
        <f t="shared" si="92"/>
        <v>4</v>
      </c>
      <c r="F1451">
        <f t="shared" si="93"/>
        <v>2</v>
      </c>
      <c r="G1451">
        <f t="shared" si="94"/>
        <v>3</v>
      </c>
      <c r="H1451">
        <f t="shared" si="95"/>
        <v>423</v>
      </c>
    </row>
    <row r="1452" spans="1:8" x14ac:dyDescent="0.55000000000000004">
      <c r="A1452" s="6">
        <v>1.256304617985765E+19</v>
      </c>
      <c r="B1452">
        <v>796</v>
      </c>
      <c r="C1452">
        <v>2</v>
      </c>
      <c r="D1452">
        <v>1500</v>
      </c>
      <c r="E1452">
        <f t="shared" si="92"/>
        <v>3</v>
      </c>
      <c r="F1452">
        <f t="shared" si="93"/>
        <v>2</v>
      </c>
      <c r="G1452">
        <f t="shared" si="94"/>
        <v>2</v>
      </c>
      <c r="H1452">
        <f t="shared" si="95"/>
        <v>322</v>
      </c>
    </row>
    <row r="1453" spans="1:8" x14ac:dyDescent="0.55000000000000004">
      <c r="A1453" s="6">
        <v>1.2563713193918501E+19</v>
      </c>
      <c r="B1453">
        <v>470</v>
      </c>
      <c r="C1453">
        <v>3</v>
      </c>
      <c r="D1453">
        <v>357</v>
      </c>
      <c r="E1453">
        <f t="shared" si="92"/>
        <v>4</v>
      </c>
      <c r="F1453">
        <f t="shared" si="93"/>
        <v>3</v>
      </c>
      <c r="G1453">
        <f t="shared" si="94"/>
        <v>1</v>
      </c>
      <c r="H1453">
        <f t="shared" si="95"/>
        <v>431</v>
      </c>
    </row>
    <row r="1454" spans="1:8" x14ac:dyDescent="0.55000000000000004">
      <c r="A1454" s="6">
        <v>1.2573059671095509E+19</v>
      </c>
      <c r="B1454">
        <v>121</v>
      </c>
      <c r="C1454">
        <v>1</v>
      </c>
      <c r="D1454">
        <v>713</v>
      </c>
      <c r="E1454">
        <f t="shared" si="92"/>
        <v>5</v>
      </c>
      <c r="F1454">
        <f t="shared" si="93"/>
        <v>1</v>
      </c>
      <c r="G1454">
        <f t="shared" si="94"/>
        <v>2</v>
      </c>
      <c r="H1454">
        <f t="shared" si="95"/>
        <v>512</v>
      </c>
    </row>
    <row r="1455" spans="1:8" x14ac:dyDescent="0.55000000000000004">
      <c r="A1455" s="6">
        <v>1.2590142741476041E+19</v>
      </c>
      <c r="B1455">
        <v>517</v>
      </c>
      <c r="C1455">
        <v>1</v>
      </c>
      <c r="D1455">
        <v>617</v>
      </c>
      <c r="E1455">
        <f t="shared" si="92"/>
        <v>4</v>
      </c>
      <c r="F1455">
        <f t="shared" si="93"/>
        <v>1</v>
      </c>
      <c r="G1455">
        <f t="shared" si="94"/>
        <v>1</v>
      </c>
      <c r="H1455">
        <f t="shared" si="95"/>
        <v>411</v>
      </c>
    </row>
    <row r="1456" spans="1:8" x14ac:dyDescent="0.55000000000000004">
      <c r="A1456" s="6">
        <v>1.25975856000808E+19</v>
      </c>
      <c r="B1456">
        <v>706</v>
      </c>
      <c r="C1456">
        <v>2</v>
      </c>
      <c r="D1456">
        <v>1304</v>
      </c>
      <c r="E1456">
        <f t="shared" si="92"/>
        <v>3</v>
      </c>
      <c r="F1456">
        <f t="shared" si="93"/>
        <v>2</v>
      </c>
      <c r="G1456">
        <f t="shared" si="94"/>
        <v>2</v>
      </c>
      <c r="H1456">
        <f t="shared" si="95"/>
        <v>322</v>
      </c>
    </row>
    <row r="1457" spans="1:8" x14ac:dyDescent="0.55000000000000004">
      <c r="A1457" s="6">
        <v>1.2598501340074549E+19</v>
      </c>
      <c r="B1457">
        <v>101</v>
      </c>
      <c r="C1457">
        <v>1</v>
      </c>
      <c r="D1457">
        <v>1295</v>
      </c>
      <c r="E1457">
        <f t="shared" si="92"/>
        <v>5</v>
      </c>
      <c r="F1457">
        <f t="shared" si="93"/>
        <v>1</v>
      </c>
      <c r="G1457">
        <f t="shared" si="94"/>
        <v>2</v>
      </c>
      <c r="H1457">
        <f t="shared" si="95"/>
        <v>512</v>
      </c>
    </row>
    <row r="1458" spans="1:8" x14ac:dyDescent="0.55000000000000004">
      <c r="A1458" s="6">
        <v>1.261100388683049E+19</v>
      </c>
      <c r="B1458">
        <v>475</v>
      </c>
      <c r="C1458">
        <v>1</v>
      </c>
      <c r="D1458">
        <v>13970</v>
      </c>
      <c r="E1458">
        <f t="shared" si="92"/>
        <v>4</v>
      </c>
      <c r="F1458">
        <f t="shared" si="93"/>
        <v>1</v>
      </c>
      <c r="G1458">
        <f t="shared" si="94"/>
        <v>3</v>
      </c>
      <c r="H1458">
        <f t="shared" si="95"/>
        <v>413</v>
      </c>
    </row>
    <row r="1459" spans="1:8" x14ac:dyDescent="0.55000000000000004">
      <c r="A1459" s="6">
        <v>1.262209318827511E+19</v>
      </c>
      <c r="B1459">
        <v>759</v>
      </c>
      <c r="C1459">
        <v>2</v>
      </c>
      <c r="D1459">
        <v>17513</v>
      </c>
      <c r="E1459">
        <f t="shared" si="92"/>
        <v>3</v>
      </c>
      <c r="F1459">
        <f t="shared" si="93"/>
        <v>2</v>
      </c>
      <c r="G1459">
        <f t="shared" si="94"/>
        <v>3</v>
      </c>
      <c r="H1459">
        <f t="shared" si="95"/>
        <v>323</v>
      </c>
    </row>
    <row r="1460" spans="1:8" x14ac:dyDescent="0.55000000000000004">
      <c r="A1460" s="6">
        <v>1.262800564840045E+19</v>
      </c>
      <c r="B1460">
        <v>409</v>
      </c>
      <c r="C1460">
        <v>2</v>
      </c>
      <c r="D1460">
        <v>776</v>
      </c>
      <c r="E1460">
        <f t="shared" si="92"/>
        <v>4</v>
      </c>
      <c r="F1460">
        <f t="shared" si="93"/>
        <v>2</v>
      </c>
      <c r="G1460">
        <f t="shared" si="94"/>
        <v>2</v>
      </c>
      <c r="H1460">
        <f t="shared" si="95"/>
        <v>422</v>
      </c>
    </row>
    <row r="1461" spans="1:8" x14ac:dyDescent="0.55000000000000004">
      <c r="A1461" s="6">
        <v>1.262989142060767E+19</v>
      </c>
      <c r="B1461">
        <v>552</v>
      </c>
      <c r="C1461">
        <v>1</v>
      </c>
      <c r="D1461">
        <v>1026</v>
      </c>
      <c r="E1461">
        <f t="shared" si="92"/>
        <v>4</v>
      </c>
      <c r="F1461">
        <f t="shared" si="93"/>
        <v>1</v>
      </c>
      <c r="G1461">
        <f t="shared" si="94"/>
        <v>2</v>
      </c>
      <c r="H1461">
        <f t="shared" si="95"/>
        <v>412</v>
      </c>
    </row>
    <row r="1462" spans="1:8" x14ac:dyDescent="0.55000000000000004">
      <c r="A1462" s="6">
        <v>1.263360759711471E+19</v>
      </c>
      <c r="B1462">
        <v>895</v>
      </c>
      <c r="C1462">
        <v>1</v>
      </c>
      <c r="D1462">
        <v>2367</v>
      </c>
      <c r="E1462">
        <f t="shared" si="92"/>
        <v>2</v>
      </c>
      <c r="F1462">
        <f t="shared" si="93"/>
        <v>1</v>
      </c>
      <c r="G1462">
        <f t="shared" si="94"/>
        <v>3</v>
      </c>
      <c r="H1462">
        <f t="shared" si="95"/>
        <v>213</v>
      </c>
    </row>
    <row r="1463" spans="1:8" x14ac:dyDescent="0.55000000000000004">
      <c r="A1463" s="6">
        <v>1.2650068257878211E+19</v>
      </c>
      <c r="B1463">
        <v>292</v>
      </c>
      <c r="C1463">
        <v>1</v>
      </c>
      <c r="D1463">
        <v>498</v>
      </c>
      <c r="E1463">
        <f t="shared" si="92"/>
        <v>4</v>
      </c>
      <c r="F1463">
        <f t="shared" si="93"/>
        <v>1</v>
      </c>
      <c r="G1463">
        <f t="shared" si="94"/>
        <v>1</v>
      </c>
      <c r="H1463">
        <f t="shared" si="95"/>
        <v>411</v>
      </c>
    </row>
    <row r="1464" spans="1:8" x14ac:dyDescent="0.55000000000000004">
      <c r="A1464" s="6">
        <v>1.265391923995298E+19</v>
      </c>
      <c r="B1464">
        <v>205</v>
      </c>
      <c r="C1464">
        <v>2</v>
      </c>
      <c r="D1464">
        <v>2863</v>
      </c>
      <c r="E1464">
        <f t="shared" si="92"/>
        <v>5</v>
      </c>
      <c r="F1464">
        <f t="shared" si="93"/>
        <v>2</v>
      </c>
      <c r="G1464">
        <f t="shared" si="94"/>
        <v>3</v>
      </c>
      <c r="H1464">
        <f t="shared" si="95"/>
        <v>523</v>
      </c>
    </row>
    <row r="1465" spans="1:8" x14ac:dyDescent="0.55000000000000004">
      <c r="A1465" s="6">
        <v>1.266730028235143E+19</v>
      </c>
      <c r="B1465">
        <v>819</v>
      </c>
      <c r="C1465">
        <v>1</v>
      </c>
      <c r="D1465">
        <v>2075</v>
      </c>
      <c r="E1465">
        <f t="shared" si="92"/>
        <v>3</v>
      </c>
      <c r="F1465">
        <f t="shared" si="93"/>
        <v>1</v>
      </c>
      <c r="G1465">
        <f t="shared" si="94"/>
        <v>2</v>
      </c>
      <c r="H1465">
        <f t="shared" si="95"/>
        <v>312</v>
      </c>
    </row>
    <row r="1466" spans="1:8" x14ac:dyDescent="0.55000000000000004">
      <c r="A1466" s="6">
        <v>1.267152939092461E+19</v>
      </c>
      <c r="B1466">
        <v>258</v>
      </c>
      <c r="C1466">
        <v>2</v>
      </c>
      <c r="D1466">
        <v>1795</v>
      </c>
      <c r="E1466">
        <f t="shared" si="92"/>
        <v>5</v>
      </c>
      <c r="F1466">
        <f t="shared" si="93"/>
        <v>2</v>
      </c>
      <c r="G1466">
        <f t="shared" si="94"/>
        <v>2</v>
      </c>
      <c r="H1466">
        <f t="shared" si="95"/>
        <v>522</v>
      </c>
    </row>
    <row r="1467" spans="1:8" x14ac:dyDescent="0.55000000000000004">
      <c r="A1467" s="6">
        <v>1.2672251890430099E+19</v>
      </c>
      <c r="B1467">
        <v>19</v>
      </c>
      <c r="C1467">
        <v>2</v>
      </c>
      <c r="D1467">
        <v>1040</v>
      </c>
      <c r="E1467">
        <f t="shared" si="92"/>
        <v>5</v>
      </c>
      <c r="F1467">
        <f t="shared" si="93"/>
        <v>2</v>
      </c>
      <c r="G1467">
        <f t="shared" si="94"/>
        <v>2</v>
      </c>
      <c r="H1467">
        <f t="shared" si="95"/>
        <v>522</v>
      </c>
    </row>
    <row r="1468" spans="1:8" x14ac:dyDescent="0.55000000000000004">
      <c r="A1468" s="6">
        <v>1.2685288237024381E+19</v>
      </c>
      <c r="B1468">
        <v>162</v>
      </c>
      <c r="C1468">
        <v>4</v>
      </c>
      <c r="D1468">
        <v>18069</v>
      </c>
      <c r="E1468">
        <f t="shared" si="92"/>
        <v>5</v>
      </c>
      <c r="F1468">
        <f t="shared" si="93"/>
        <v>3</v>
      </c>
      <c r="G1468">
        <f t="shared" si="94"/>
        <v>3</v>
      </c>
      <c r="H1468">
        <f t="shared" si="95"/>
        <v>533</v>
      </c>
    </row>
    <row r="1469" spans="1:8" x14ac:dyDescent="0.55000000000000004">
      <c r="A1469" s="6">
        <v>1.268867558013766E+19</v>
      </c>
      <c r="B1469">
        <v>408</v>
      </c>
      <c r="C1469">
        <v>1</v>
      </c>
      <c r="D1469">
        <v>1245</v>
      </c>
      <c r="E1469">
        <f t="shared" si="92"/>
        <v>4</v>
      </c>
      <c r="F1469">
        <f t="shared" si="93"/>
        <v>1</v>
      </c>
      <c r="G1469">
        <f t="shared" si="94"/>
        <v>2</v>
      </c>
      <c r="H1469">
        <f t="shared" si="95"/>
        <v>412</v>
      </c>
    </row>
    <row r="1470" spans="1:8" x14ac:dyDescent="0.55000000000000004">
      <c r="A1470" s="6">
        <v>1.26918699747578E+19</v>
      </c>
      <c r="B1470">
        <v>671</v>
      </c>
      <c r="C1470">
        <v>2</v>
      </c>
      <c r="D1470">
        <v>999</v>
      </c>
      <c r="E1470">
        <f t="shared" si="92"/>
        <v>3</v>
      </c>
      <c r="F1470">
        <f t="shared" si="93"/>
        <v>2</v>
      </c>
      <c r="G1470">
        <f t="shared" si="94"/>
        <v>2</v>
      </c>
      <c r="H1470">
        <f t="shared" si="95"/>
        <v>322</v>
      </c>
    </row>
    <row r="1471" spans="1:8" x14ac:dyDescent="0.55000000000000004">
      <c r="A1471" s="6">
        <v>1.269251105105741E+19</v>
      </c>
      <c r="B1471">
        <v>1008</v>
      </c>
      <c r="C1471">
        <v>1</v>
      </c>
      <c r="D1471">
        <v>699</v>
      </c>
      <c r="E1471">
        <f t="shared" si="92"/>
        <v>2</v>
      </c>
      <c r="F1471">
        <f t="shared" si="93"/>
        <v>1</v>
      </c>
      <c r="G1471">
        <f t="shared" si="94"/>
        <v>2</v>
      </c>
      <c r="H1471">
        <f t="shared" si="95"/>
        <v>212</v>
      </c>
    </row>
    <row r="1472" spans="1:8" x14ac:dyDescent="0.55000000000000004">
      <c r="A1472" s="6">
        <v>1.269263325481158E+19</v>
      </c>
      <c r="B1472">
        <v>657</v>
      </c>
      <c r="C1472">
        <v>1</v>
      </c>
      <c r="D1472">
        <v>276</v>
      </c>
      <c r="E1472">
        <f t="shared" si="92"/>
        <v>3</v>
      </c>
      <c r="F1472">
        <f t="shared" si="93"/>
        <v>1</v>
      </c>
      <c r="G1472">
        <f t="shared" si="94"/>
        <v>1</v>
      </c>
      <c r="H1472">
        <f t="shared" si="95"/>
        <v>311</v>
      </c>
    </row>
    <row r="1473" spans="1:8" x14ac:dyDescent="0.55000000000000004">
      <c r="A1473" s="6">
        <v>1.2695739661829241E+19</v>
      </c>
      <c r="B1473">
        <v>1171</v>
      </c>
      <c r="C1473">
        <v>1</v>
      </c>
      <c r="D1473">
        <v>835</v>
      </c>
      <c r="E1473">
        <f t="shared" si="92"/>
        <v>1</v>
      </c>
      <c r="F1473">
        <f t="shared" si="93"/>
        <v>1</v>
      </c>
      <c r="G1473">
        <f t="shared" si="94"/>
        <v>2</v>
      </c>
      <c r="H1473">
        <f t="shared" si="95"/>
        <v>112</v>
      </c>
    </row>
    <row r="1474" spans="1:8" x14ac:dyDescent="0.55000000000000004">
      <c r="A1474" s="6">
        <v>1.270326170498807E+19</v>
      </c>
      <c r="B1474">
        <v>771</v>
      </c>
      <c r="C1474">
        <v>1</v>
      </c>
      <c r="D1474">
        <v>1314</v>
      </c>
      <c r="E1474">
        <f t="shared" si="92"/>
        <v>3</v>
      </c>
      <c r="F1474">
        <f t="shared" si="93"/>
        <v>1</v>
      </c>
      <c r="G1474">
        <f t="shared" si="94"/>
        <v>2</v>
      </c>
      <c r="H1474">
        <f t="shared" si="95"/>
        <v>312</v>
      </c>
    </row>
    <row r="1475" spans="1:8" x14ac:dyDescent="0.55000000000000004">
      <c r="A1475" s="6">
        <v>1.270633193809956E+19</v>
      </c>
      <c r="B1475">
        <v>506</v>
      </c>
      <c r="C1475">
        <v>1</v>
      </c>
      <c r="D1475">
        <v>11</v>
      </c>
      <c r="E1475">
        <f t="shared" ref="E1475:E1538" si="96">VLOOKUP(B1475,$K$5:$L$9,2,1)</f>
        <v>4</v>
      </c>
      <c r="F1475">
        <f t="shared" ref="F1475:F1538" si="97">VLOOKUP(C1475,$K$15:$L$17,2,1)</f>
        <v>1</v>
      </c>
      <c r="G1475">
        <f t="shared" ref="G1475:G1538" si="98">VLOOKUP(D1475,$K$24:$L$26,2,1)</f>
        <v>1</v>
      </c>
      <c r="H1475">
        <f t="shared" ref="H1475:H1538" si="99">E1475*100+F1475*10+G1475</f>
        <v>411</v>
      </c>
    </row>
    <row r="1476" spans="1:8" x14ac:dyDescent="0.55000000000000004">
      <c r="A1476" s="6">
        <v>1.270745994120286E+19</v>
      </c>
      <c r="B1476">
        <v>718</v>
      </c>
      <c r="C1476">
        <v>1</v>
      </c>
      <c r="D1476">
        <v>2385</v>
      </c>
      <c r="E1476">
        <f t="shared" si="96"/>
        <v>3</v>
      </c>
      <c r="F1476">
        <f t="shared" si="97"/>
        <v>1</v>
      </c>
      <c r="G1476">
        <f t="shared" si="98"/>
        <v>3</v>
      </c>
      <c r="H1476">
        <f t="shared" si="99"/>
        <v>313</v>
      </c>
    </row>
    <row r="1477" spans="1:8" x14ac:dyDescent="0.55000000000000004">
      <c r="A1477" s="6">
        <v>1.2716608980920001E+19</v>
      </c>
      <c r="B1477">
        <v>618</v>
      </c>
      <c r="C1477">
        <v>1</v>
      </c>
      <c r="D1477">
        <v>53</v>
      </c>
      <c r="E1477">
        <f t="shared" si="96"/>
        <v>3</v>
      </c>
      <c r="F1477">
        <f t="shared" si="97"/>
        <v>1</v>
      </c>
      <c r="G1477">
        <f t="shared" si="98"/>
        <v>1</v>
      </c>
      <c r="H1477">
        <f t="shared" si="99"/>
        <v>311</v>
      </c>
    </row>
    <row r="1478" spans="1:8" x14ac:dyDescent="0.55000000000000004">
      <c r="A1478" s="6">
        <v>1.272107029485295E+19</v>
      </c>
      <c r="B1478">
        <v>1127</v>
      </c>
      <c r="C1478">
        <v>1</v>
      </c>
      <c r="D1478">
        <v>440</v>
      </c>
      <c r="E1478">
        <f t="shared" si="96"/>
        <v>2</v>
      </c>
      <c r="F1478">
        <f t="shared" si="97"/>
        <v>1</v>
      </c>
      <c r="G1478">
        <f t="shared" si="98"/>
        <v>1</v>
      </c>
      <c r="H1478">
        <f t="shared" si="99"/>
        <v>211</v>
      </c>
    </row>
    <row r="1479" spans="1:8" x14ac:dyDescent="0.55000000000000004">
      <c r="A1479" s="6">
        <v>1.2726228110193639E+19</v>
      </c>
      <c r="B1479">
        <v>635</v>
      </c>
      <c r="C1479">
        <v>1</v>
      </c>
      <c r="D1479">
        <v>3.99</v>
      </c>
      <c r="E1479">
        <f t="shared" si="96"/>
        <v>3</v>
      </c>
      <c r="F1479">
        <f t="shared" si="97"/>
        <v>1</v>
      </c>
      <c r="G1479">
        <f t="shared" si="98"/>
        <v>1</v>
      </c>
      <c r="H1479">
        <f t="shared" si="99"/>
        <v>311</v>
      </c>
    </row>
    <row r="1480" spans="1:8" x14ac:dyDescent="0.55000000000000004">
      <c r="A1480" s="6">
        <v>1.2730106014305079E+19</v>
      </c>
      <c r="B1480">
        <v>421</v>
      </c>
      <c r="C1480">
        <v>5</v>
      </c>
      <c r="D1480">
        <v>22843</v>
      </c>
      <c r="E1480">
        <f t="shared" si="96"/>
        <v>4</v>
      </c>
      <c r="F1480">
        <f t="shared" si="97"/>
        <v>3</v>
      </c>
      <c r="G1480">
        <f t="shared" si="98"/>
        <v>3</v>
      </c>
      <c r="H1480">
        <f t="shared" si="99"/>
        <v>433</v>
      </c>
    </row>
    <row r="1481" spans="1:8" x14ac:dyDescent="0.55000000000000004">
      <c r="A1481" s="6">
        <v>1.2736719268360391E+19</v>
      </c>
      <c r="B1481">
        <v>3</v>
      </c>
      <c r="C1481">
        <v>1</v>
      </c>
      <c r="D1481">
        <v>1287</v>
      </c>
      <c r="E1481">
        <f t="shared" si="96"/>
        <v>5</v>
      </c>
      <c r="F1481">
        <f t="shared" si="97"/>
        <v>1</v>
      </c>
      <c r="G1481">
        <f t="shared" si="98"/>
        <v>2</v>
      </c>
      <c r="H1481">
        <f t="shared" si="99"/>
        <v>512</v>
      </c>
    </row>
    <row r="1482" spans="1:8" x14ac:dyDescent="0.55000000000000004">
      <c r="A1482" s="6">
        <v>1.2738442788213809E+19</v>
      </c>
      <c r="B1482">
        <v>1321</v>
      </c>
      <c r="C1482">
        <v>1</v>
      </c>
      <c r="D1482">
        <v>774</v>
      </c>
      <c r="E1482">
        <f t="shared" si="96"/>
        <v>1</v>
      </c>
      <c r="F1482">
        <f t="shared" si="97"/>
        <v>1</v>
      </c>
      <c r="G1482">
        <f t="shared" si="98"/>
        <v>2</v>
      </c>
      <c r="H1482">
        <f t="shared" si="99"/>
        <v>112</v>
      </c>
    </row>
    <row r="1483" spans="1:8" x14ac:dyDescent="0.55000000000000004">
      <c r="A1483" s="6">
        <v>1.273884389844678E+19</v>
      </c>
      <c r="B1483">
        <v>187</v>
      </c>
      <c r="C1483">
        <v>1</v>
      </c>
      <c r="D1483">
        <v>692</v>
      </c>
      <c r="E1483">
        <f t="shared" si="96"/>
        <v>5</v>
      </c>
      <c r="F1483">
        <f t="shared" si="97"/>
        <v>1</v>
      </c>
      <c r="G1483">
        <f t="shared" si="98"/>
        <v>2</v>
      </c>
      <c r="H1483">
        <f t="shared" si="99"/>
        <v>512</v>
      </c>
    </row>
    <row r="1484" spans="1:8" x14ac:dyDescent="0.55000000000000004">
      <c r="A1484" s="6">
        <v>1.273897921859062E+19</v>
      </c>
      <c r="B1484">
        <v>723</v>
      </c>
      <c r="C1484">
        <v>1</v>
      </c>
      <c r="D1484">
        <v>894</v>
      </c>
      <c r="E1484">
        <f t="shared" si="96"/>
        <v>3</v>
      </c>
      <c r="F1484">
        <f t="shared" si="97"/>
        <v>1</v>
      </c>
      <c r="G1484">
        <f t="shared" si="98"/>
        <v>2</v>
      </c>
      <c r="H1484">
        <f t="shared" si="99"/>
        <v>312</v>
      </c>
    </row>
    <row r="1485" spans="1:8" x14ac:dyDescent="0.55000000000000004">
      <c r="A1485" s="6">
        <v>1.2743829300151161E+19</v>
      </c>
      <c r="B1485">
        <v>879</v>
      </c>
      <c r="C1485">
        <v>1</v>
      </c>
      <c r="D1485">
        <v>387</v>
      </c>
      <c r="E1485">
        <f t="shared" si="96"/>
        <v>2</v>
      </c>
      <c r="F1485">
        <f t="shared" si="97"/>
        <v>1</v>
      </c>
      <c r="G1485">
        <f t="shared" si="98"/>
        <v>1</v>
      </c>
      <c r="H1485">
        <f t="shared" si="99"/>
        <v>211</v>
      </c>
    </row>
    <row r="1486" spans="1:8" x14ac:dyDescent="0.55000000000000004">
      <c r="A1486" s="6">
        <v>1.2754514533698959E+19</v>
      </c>
      <c r="B1486">
        <v>614</v>
      </c>
      <c r="C1486">
        <v>2</v>
      </c>
      <c r="D1486">
        <v>835</v>
      </c>
      <c r="E1486">
        <f t="shared" si="96"/>
        <v>3</v>
      </c>
      <c r="F1486">
        <f t="shared" si="97"/>
        <v>2</v>
      </c>
      <c r="G1486">
        <f t="shared" si="98"/>
        <v>2</v>
      </c>
      <c r="H1486">
        <f t="shared" si="99"/>
        <v>322</v>
      </c>
    </row>
    <row r="1487" spans="1:8" x14ac:dyDescent="0.55000000000000004">
      <c r="A1487" s="6">
        <v>1.275911687745459E+19</v>
      </c>
      <c r="B1487">
        <v>74</v>
      </c>
      <c r="C1487">
        <v>1</v>
      </c>
      <c r="D1487">
        <v>627</v>
      </c>
      <c r="E1487">
        <f t="shared" si="96"/>
        <v>5</v>
      </c>
      <c r="F1487">
        <f t="shared" si="97"/>
        <v>1</v>
      </c>
      <c r="G1487">
        <f t="shared" si="98"/>
        <v>1</v>
      </c>
      <c r="H1487">
        <f t="shared" si="99"/>
        <v>511</v>
      </c>
    </row>
    <row r="1488" spans="1:8" x14ac:dyDescent="0.55000000000000004">
      <c r="A1488" s="6">
        <v>1.276386496350713E+19</v>
      </c>
      <c r="B1488">
        <v>169</v>
      </c>
      <c r="C1488">
        <v>1</v>
      </c>
      <c r="D1488">
        <v>219</v>
      </c>
      <c r="E1488">
        <f t="shared" si="96"/>
        <v>5</v>
      </c>
      <c r="F1488">
        <f t="shared" si="97"/>
        <v>1</v>
      </c>
      <c r="G1488">
        <f t="shared" si="98"/>
        <v>1</v>
      </c>
      <c r="H1488">
        <f t="shared" si="99"/>
        <v>511</v>
      </c>
    </row>
    <row r="1489" spans="1:8" x14ac:dyDescent="0.55000000000000004">
      <c r="A1489" s="6">
        <v>1.276599846166323E+19</v>
      </c>
      <c r="B1489">
        <v>556</v>
      </c>
      <c r="C1489">
        <v>1</v>
      </c>
      <c r="D1489">
        <v>6732</v>
      </c>
      <c r="E1489">
        <f t="shared" si="96"/>
        <v>4</v>
      </c>
      <c r="F1489">
        <f t="shared" si="97"/>
        <v>1</v>
      </c>
      <c r="G1489">
        <f t="shared" si="98"/>
        <v>3</v>
      </c>
      <c r="H1489">
        <f t="shared" si="99"/>
        <v>413</v>
      </c>
    </row>
    <row r="1490" spans="1:8" x14ac:dyDescent="0.55000000000000004">
      <c r="A1490" s="6">
        <v>1.2805386747322821E+19</v>
      </c>
      <c r="B1490">
        <v>143</v>
      </c>
      <c r="C1490">
        <v>1</v>
      </c>
      <c r="D1490">
        <v>564</v>
      </c>
      <c r="E1490">
        <f t="shared" si="96"/>
        <v>5</v>
      </c>
      <c r="F1490">
        <f t="shared" si="97"/>
        <v>1</v>
      </c>
      <c r="G1490">
        <f t="shared" si="98"/>
        <v>1</v>
      </c>
      <c r="H1490">
        <f t="shared" si="99"/>
        <v>511</v>
      </c>
    </row>
    <row r="1491" spans="1:8" x14ac:dyDescent="0.55000000000000004">
      <c r="A1491" s="6">
        <v>1.2808864611926041E+19</v>
      </c>
      <c r="B1491">
        <v>98</v>
      </c>
      <c r="C1491">
        <v>2</v>
      </c>
      <c r="D1491">
        <v>2107</v>
      </c>
      <c r="E1491">
        <f t="shared" si="96"/>
        <v>5</v>
      </c>
      <c r="F1491">
        <f t="shared" si="97"/>
        <v>2</v>
      </c>
      <c r="G1491">
        <f t="shared" si="98"/>
        <v>2</v>
      </c>
      <c r="H1491">
        <f t="shared" si="99"/>
        <v>522</v>
      </c>
    </row>
    <row r="1492" spans="1:8" x14ac:dyDescent="0.55000000000000004">
      <c r="A1492" s="6">
        <v>1.281723145494827E+19</v>
      </c>
      <c r="B1492">
        <v>27</v>
      </c>
      <c r="C1492">
        <v>2</v>
      </c>
      <c r="D1492">
        <v>4525</v>
      </c>
      <c r="E1492">
        <f t="shared" si="96"/>
        <v>5</v>
      </c>
      <c r="F1492">
        <f t="shared" si="97"/>
        <v>2</v>
      </c>
      <c r="G1492">
        <f t="shared" si="98"/>
        <v>3</v>
      </c>
      <c r="H1492">
        <f t="shared" si="99"/>
        <v>523</v>
      </c>
    </row>
    <row r="1493" spans="1:8" x14ac:dyDescent="0.55000000000000004">
      <c r="A1493" s="6">
        <v>1.2818850421819841E+19</v>
      </c>
      <c r="B1493">
        <v>137</v>
      </c>
      <c r="C1493">
        <v>1</v>
      </c>
      <c r="D1493">
        <v>1402</v>
      </c>
      <c r="E1493">
        <f t="shared" si="96"/>
        <v>5</v>
      </c>
      <c r="F1493">
        <f t="shared" si="97"/>
        <v>1</v>
      </c>
      <c r="G1493">
        <f t="shared" si="98"/>
        <v>2</v>
      </c>
      <c r="H1493">
        <f t="shared" si="99"/>
        <v>512</v>
      </c>
    </row>
    <row r="1494" spans="1:8" x14ac:dyDescent="0.55000000000000004">
      <c r="A1494" s="6">
        <v>1.2844486894458751E+19</v>
      </c>
      <c r="B1494">
        <v>642</v>
      </c>
      <c r="C1494">
        <v>1</v>
      </c>
      <c r="D1494">
        <v>149</v>
      </c>
      <c r="E1494">
        <f t="shared" si="96"/>
        <v>3</v>
      </c>
      <c r="F1494">
        <f t="shared" si="97"/>
        <v>1</v>
      </c>
      <c r="G1494">
        <f t="shared" si="98"/>
        <v>1</v>
      </c>
      <c r="H1494">
        <f t="shared" si="99"/>
        <v>311</v>
      </c>
    </row>
    <row r="1495" spans="1:8" x14ac:dyDescent="0.55000000000000004">
      <c r="A1495" s="6">
        <v>1.2852288836830581E+19</v>
      </c>
      <c r="B1495">
        <v>194</v>
      </c>
      <c r="C1495">
        <v>2</v>
      </c>
      <c r="D1495">
        <v>3989</v>
      </c>
      <c r="E1495">
        <f t="shared" si="96"/>
        <v>5</v>
      </c>
      <c r="F1495">
        <f t="shared" si="97"/>
        <v>2</v>
      </c>
      <c r="G1495">
        <f t="shared" si="98"/>
        <v>3</v>
      </c>
      <c r="H1495">
        <f t="shared" si="99"/>
        <v>523</v>
      </c>
    </row>
    <row r="1496" spans="1:8" x14ac:dyDescent="0.55000000000000004">
      <c r="A1496" s="6">
        <v>1.28522957187927E+19</v>
      </c>
      <c r="B1496">
        <v>281</v>
      </c>
      <c r="C1496">
        <v>1</v>
      </c>
      <c r="D1496">
        <v>960</v>
      </c>
      <c r="E1496">
        <f t="shared" si="96"/>
        <v>5</v>
      </c>
      <c r="F1496">
        <f t="shared" si="97"/>
        <v>1</v>
      </c>
      <c r="G1496">
        <f t="shared" si="98"/>
        <v>2</v>
      </c>
      <c r="H1496">
        <f t="shared" si="99"/>
        <v>512</v>
      </c>
    </row>
    <row r="1497" spans="1:8" x14ac:dyDescent="0.55000000000000004">
      <c r="A1497" s="6">
        <v>1.28627772289622E+19</v>
      </c>
      <c r="B1497">
        <v>86</v>
      </c>
      <c r="C1497">
        <v>1</v>
      </c>
      <c r="D1497">
        <v>1516</v>
      </c>
      <c r="E1497">
        <f t="shared" si="96"/>
        <v>5</v>
      </c>
      <c r="F1497">
        <f t="shared" si="97"/>
        <v>1</v>
      </c>
      <c r="G1497">
        <f t="shared" si="98"/>
        <v>2</v>
      </c>
      <c r="H1497">
        <f t="shared" si="99"/>
        <v>512</v>
      </c>
    </row>
    <row r="1498" spans="1:8" x14ac:dyDescent="0.55000000000000004">
      <c r="A1498" s="6">
        <v>1.28650095445998E+19</v>
      </c>
      <c r="B1498">
        <v>596</v>
      </c>
      <c r="C1498">
        <v>1</v>
      </c>
      <c r="D1498">
        <v>1350</v>
      </c>
      <c r="E1498">
        <f t="shared" si="96"/>
        <v>3</v>
      </c>
      <c r="F1498">
        <f t="shared" si="97"/>
        <v>1</v>
      </c>
      <c r="G1498">
        <f t="shared" si="98"/>
        <v>2</v>
      </c>
      <c r="H1498">
        <f t="shared" si="99"/>
        <v>312</v>
      </c>
    </row>
    <row r="1499" spans="1:8" x14ac:dyDescent="0.55000000000000004">
      <c r="A1499" s="6">
        <v>1.287657497340611E+19</v>
      </c>
      <c r="B1499">
        <v>229</v>
      </c>
      <c r="C1499">
        <v>1</v>
      </c>
      <c r="D1499">
        <v>687</v>
      </c>
      <c r="E1499">
        <f t="shared" si="96"/>
        <v>5</v>
      </c>
      <c r="F1499">
        <f t="shared" si="97"/>
        <v>1</v>
      </c>
      <c r="G1499">
        <f t="shared" si="98"/>
        <v>2</v>
      </c>
      <c r="H1499">
        <f t="shared" si="99"/>
        <v>512</v>
      </c>
    </row>
    <row r="1500" spans="1:8" x14ac:dyDescent="0.55000000000000004">
      <c r="A1500" s="6">
        <v>1.2889165404705249E+19</v>
      </c>
      <c r="B1500">
        <v>18</v>
      </c>
      <c r="C1500">
        <v>1</v>
      </c>
      <c r="D1500">
        <v>1563</v>
      </c>
      <c r="E1500">
        <f t="shared" si="96"/>
        <v>5</v>
      </c>
      <c r="F1500">
        <f t="shared" si="97"/>
        <v>1</v>
      </c>
      <c r="G1500">
        <f t="shared" si="98"/>
        <v>2</v>
      </c>
      <c r="H1500">
        <f t="shared" si="99"/>
        <v>512</v>
      </c>
    </row>
    <row r="1501" spans="1:8" x14ac:dyDescent="0.55000000000000004">
      <c r="A1501" s="6">
        <v>1.2896180721199911E+19</v>
      </c>
      <c r="B1501">
        <v>801</v>
      </c>
      <c r="C1501">
        <v>1</v>
      </c>
      <c r="D1501">
        <v>1329</v>
      </c>
      <c r="E1501">
        <f t="shared" si="96"/>
        <v>3</v>
      </c>
      <c r="F1501">
        <f t="shared" si="97"/>
        <v>1</v>
      </c>
      <c r="G1501">
        <f t="shared" si="98"/>
        <v>2</v>
      </c>
      <c r="H1501">
        <f t="shared" si="99"/>
        <v>312</v>
      </c>
    </row>
    <row r="1502" spans="1:8" x14ac:dyDescent="0.55000000000000004">
      <c r="A1502" s="6">
        <v>1.289825933655253E+19</v>
      </c>
      <c r="B1502">
        <v>63</v>
      </c>
      <c r="C1502">
        <v>1</v>
      </c>
      <c r="D1502">
        <v>1978</v>
      </c>
      <c r="E1502">
        <f t="shared" si="96"/>
        <v>5</v>
      </c>
      <c r="F1502">
        <f t="shared" si="97"/>
        <v>1</v>
      </c>
      <c r="G1502">
        <f t="shared" si="98"/>
        <v>2</v>
      </c>
      <c r="H1502">
        <f t="shared" si="99"/>
        <v>512</v>
      </c>
    </row>
    <row r="1503" spans="1:8" x14ac:dyDescent="0.55000000000000004">
      <c r="A1503" s="6">
        <v>1.289848425206467E+19</v>
      </c>
      <c r="B1503">
        <v>303</v>
      </c>
      <c r="C1503">
        <v>1</v>
      </c>
      <c r="D1503">
        <v>292</v>
      </c>
      <c r="E1503">
        <f t="shared" si="96"/>
        <v>4</v>
      </c>
      <c r="F1503">
        <f t="shared" si="97"/>
        <v>1</v>
      </c>
      <c r="G1503">
        <f t="shared" si="98"/>
        <v>1</v>
      </c>
      <c r="H1503">
        <f t="shared" si="99"/>
        <v>411</v>
      </c>
    </row>
    <row r="1504" spans="1:8" x14ac:dyDescent="0.55000000000000004">
      <c r="A1504" s="6">
        <v>1.291041474171733E+19</v>
      </c>
      <c r="B1504">
        <v>340</v>
      </c>
      <c r="C1504">
        <v>1</v>
      </c>
      <c r="D1504">
        <v>790</v>
      </c>
      <c r="E1504">
        <f t="shared" si="96"/>
        <v>4</v>
      </c>
      <c r="F1504">
        <f t="shared" si="97"/>
        <v>1</v>
      </c>
      <c r="G1504">
        <f t="shared" si="98"/>
        <v>2</v>
      </c>
      <c r="H1504">
        <f t="shared" si="99"/>
        <v>412</v>
      </c>
    </row>
    <row r="1505" spans="1:8" x14ac:dyDescent="0.55000000000000004">
      <c r="A1505" s="6">
        <v>1.2922861665473069E+19</v>
      </c>
      <c r="B1505">
        <v>554</v>
      </c>
      <c r="C1505">
        <v>1</v>
      </c>
      <c r="D1505">
        <v>795</v>
      </c>
      <c r="E1505">
        <f t="shared" si="96"/>
        <v>4</v>
      </c>
      <c r="F1505">
        <f t="shared" si="97"/>
        <v>1</v>
      </c>
      <c r="G1505">
        <f t="shared" si="98"/>
        <v>2</v>
      </c>
      <c r="H1505">
        <f t="shared" si="99"/>
        <v>412</v>
      </c>
    </row>
    <row r="1506" spans="1:8" x14ac:dyDescent="0.55000000000000004">
      <c r="A1506" s="6">
        <v>1.293280590820709E+19</v>
      </c>
      <c r="B1506">
        <v>595</v>
      </c>
      <c r="C1506">
        <v>1</v>
      </c>
      <c r="D1506">
        <v>348</v>
      </c>
      <c r="E1506">
        <f t="shared" si="96"/>
        <v>3</v>
      </c>
      <c r="F1506">
        <f t="shared" si="97"/>
        <v>1</v>
      </c>
      <c r="G1506">
        <f t="shared" si="98"/>
        <v>1</v>
      </c>
      <c r="H1506">
        <f t="shared" si="99"/>
        <v>311</v>
      </c>
    </row>
    <row r="1507" spans="1:8" x14ac:dyDescent="0.55000000000000004">
      <c r="A1507" s="6">
        <v>1.2939000922525149E+19</v>
      </c>
      <c r="B1507">
        <v>935</v>
      </c>
      <c r="C1507">
        <v>1</v>
      </c>
      <c r="D1507">
        <v>138</v>
      </c>
      <c r="E1507">
        <f t="shared" si="96"/>
        <v>2</v>
      </c>
      <c r="F1507">
        <f t="shared" si="97"/>
        <v>1</v>
      </c>
      <c r="G1507">
        <f t="shared" si="98"/>
        <v>1</v>
      </c>
      <c r="H1507">
        <f t="shared" si="99"/>
        <v>211</v>
      </c>
    </row>
    <row r="1508" spans="1:8" x14ac:dyDescent="0.55000000000000004">
      <c r="A1508" s="6">
        <v>1.294689804642237E+19</v>
      </c>
      <c r="B1508">
        <v>161</v>
      </c>
      <c r="C1508">
        <v>1</v>
      </c>
      <c r="D1508">
        <v>1484</v>
      </c>
      <c r="E1508">
        <f t="shared" si="96"/>
        <v>5</v>
      </c>
      <c r="F1508">
        <f t="shared" si="97"/>
        <v>1</v>
      </c>
      <c r="G1508">
        <f t="shared" si="98"/>
        <v>2</v>
      </c>
      <c r="H1508">
        <f t="shared" si="99"/>
        <v>512</v>
      </c>
    </row>
    <row r="1509" spans="1:8" x14ac:dyDescent="0.55000000000000004">
      <c r="A1509" s="6">
        <v>1.294715336550305E+19</v>
      </c>
      <c r="B1509">
        <v>818</v>
      </c>
      <c r="C1509">
        <v>1</v>
      </c>
      <c r="D1509">
        <v>39</v>
      </c>
      <c r="E1509">
        <f t="shared" si="96"/>
        <v>3</v>
      </c>
      <c r="F1509">
        <f t="shared" si="97"/>
        <v>1</v>
      </c>
      <c r="G1509">
        <f t="shared" si="98"/>
        <v>1</v>
      </c>
      <c r="H1509">
        <f t="shared" si="99"/>
        <v>311</v>
      </c>
    </row>
    <row r="1510" spans="1:8" x14ac:dyDescent="0.55000000000000004">
      <c r="A1510" s="6">
        <v>1.2948961008024771E+19</v>
      </c>
      <c r="B1510">
        <v>1249</v>
      </c>
      <c r="C1510">
        <v>1</v>
      </c>
      <c r="D1510">
        <v>312</v>
      </c>
      <c r="E1510">
        <f t="shared" si="96"/>
        <v>1</v>
      </c>
      <c r="F1510">
        <f t="shared" si="97"/>
        <v>1</v>
      </c>
      <c r="G1510">
        <f t="shared" si="98"/>
        <v>1</v>
      </c>
      <c r="H1510">
        <f t="shared" si="99"/>
        <v>111</v>
      </c>
    </row>
    <row r="1511" spans="1:8" x14ac:dyDescent="0.55000000000000004">
      <c r="A1511" s="6">
        <v>1.298848756181147E+19</v>
      </c>
      <c r="B1511">
        <v>104</v>
      </c>
      <c r="C1511">
        <v>1</v>
      </c>
      <c r="D1511">
        <v>6832</v>
      </c>
      <c r="E1511">
        <f t="shared" si="96"/>
        <v>5</v>
      </c>
      <c r="F1511">
        <f t="shared" si="97"/>
        <v>1</v>
      </c>
      <c r="G1511">
        <f t="shared" si="98"/>
        <v>3</v>
      </c>
      <c r="H1511">
        <f t="shared" si="99"/>
        <v>513</v>
      </c>
    </row>
    <row r="1512" spans="1:8" x14ac:dyDescent="0.55000000000000004">
      <c r="A1512" s="6">
        <v>1.299057148355362E+19</v>
      </c>
      <c r="B1512">
        <v>722</v>
      </c>
      <c r="C1512">
        <v>1</v>
      </c>
      <c r="D1512">
        <v>537</v>
      </c>
      <c r="E1512">
        <f t="shared" si="96"/>
        <v>3</v>
      </c>
      <c r="F1512">
        <f t="shared" si="97"/>
        <v>1</v>
      </c>
      <c r="G1512">
        <f t="shared" si="98"/>
        <v>1</v>
      </c>
      <c r="H1512">
        <f t="shared" si="99"/>
        <v>311</v>
      </c>
    </row>
    <row r="1513" spans="1:8" x14ac:dyDescent="0.55000000000000004">
      <c r="A1513" s="6">
        <v>1.300146662164583E+19</v>
      </c>
      <c r="B1513">
        <v>783</v>
      </c>
      <c r="C1513">
        <v>2</v>
      </c>
      <c r="D1513">
        <v>1410</v>
      </c>
      <c r="E1513">
        <f t="shared" si="96"/>
        <v>3</v>
      </c>
      <c r="F1513">
        <f t="shared" si="97"/>
        <v>2</v>
      </c>
      <c r="G1513">
        <f t="shared" si="98"/>
        <v>2</v>
      </c>
      <c r="H1513">
        <f t="shared" si="99"/>
        <v>322</v>
      </c>
    </row>
    <row r="1514" spans="1:8" x14ac:dyDescent="0.55000000000000004">
      <c r="A1514" s="6">
        <v>1.3004957136399131E+19</v>
      </c>
      <c r="B1514">
        <v>615</v>
      </c>
      <c r="C1514">
        <v>1</v>
      </c>
      <c r="D1514">
        <v>1890</v>
      </c>
      <c r="E1514">
        <f t="shared" si="96"/>
        <v>3</v>
      </c>
      <c r="F1514">
        <f t="shared" si="97"/>
        <v>1</v>
      </c>
      <c r="G1514">
        <f t="shared" si="98"/>
        <v>2</v>
      </c>
      <c r="H1514">
        <f t="shared" si="99"/>
        <v>312</v>
      </c>
    </row>
    <row r="1515" spans="1:8" x14ac:dyDescent="0.55000000000000004">
      <c r="A1515" s="6">
        <v>1.3015883032061481E+19</v>
      </c>
      <c r="B1515">
        <v>710</v>
      </c>
      <c r="C1515">
        <v>1</v>
      </c>
      <c r="D1515">
        <v>304</v>
      </c>
      <c r="E1515">
        <f t="shared" si="96"/>
        <v>3</v>
      </c>
      <c r="F1515">
        <f t="shared" si="97"/>
        <v>1</v>
      </c>
      <c r="G1515">
        <f t="shared" si="98"/>
        <v>1</v>
      </c>
      <c r="H1515">
        <f t="shared" si="99"/>
        <v>311</v>
      </c>
    </row>
    <row r="1516" spans="1:8" x14ac:dyDescent="0.55000000000000004">
      <c r="A1516" s="6">
        <v>1.301594127393486E+19</v>
      </c>
      <c r="B1516">
        <v>47</v>
      </c>
      <c r="C1516">
        <v>1</v>
      </c>
      <c r="D1516">
        <v>398</v>
      </c>
      <c r="E1516">
        <f t="shared" si="96"/>
        <v>5</v>
      </c>
      <c r="F1516">
        <f t="shared" si="97"/>
        <v>1</v>
      </c>
      <c r="G1516">
        <f t="shared" si="98"/>
        <v>1</v>
      </c>
      <c r="H1516">
        <f t="shared" si="99"/>
        <v>511</v>
      </c>
    </row>
    <row r="1517" spans="1:8" x14ac:dyDescent="0.55000000000000004">
      <c r="A1517" s="6">
        <v>1.301611376028535E+19</v>
      </c>
      <c r="B1517">
        <v>1221</v>
      </c>
      <c r="C1517">
        <v>1</v>
      </c>
      <c r="D1517">
        <v>786</v>
      </c>
      <c r="E1517">
        <f t="shared" si="96"/>
        <v>1</v>
      </c>
      <c r="F1517">
        <f t="shared" si="97"/>
        <v>1</v>
      </c>
      <c r="G1517">
        <f t="shared" si="98"/>
        <v>2</v>
      </c>
      <c r="H1517">
        <f t="shared" si="99"/>
        <v>112</v>
      </c>
    </row>
    <row r="1518" spans="1:8" x14ac:dyDescent="0.55000000000000004">
      <c r="A1518" s="6">
        <v>1.302438137576739E+19</v>
      </c>
      <c r="B1518">
        <v>49</v>
      </c>
      <c r="C1518">
        <v>2</v>
      </c>
      <c r="D1518">
        <v>1371</v>
      </c>
      <c r="E1518">
        <f t="shared" si="96"/>
        <v>5</v>
      </c>
      <c r="F1518">
        <f t="shared" si="97"/>
        <v>2</v>
      </c>
      <c r="G1518">
        <f t="shared" si="98"/>
        <v>2</v>
      </c>
      <c r="H1518">
        <f t="shared" si="99"/>
        <v>522</v>
      </c>
    </row>
    <row r="1519" spans="1:8" x14ac:dyDescent="0.55000000000000004">
      <c r="A1519" s="6">
        <v>1.302942212458215E+19</v>
      </c>
      <c r="B1519">
        <v>1071</v>
      </c>
      <c r="C1519">
        <v>1</v>
      </c>
      <c r="D1519">
        <v>11070</v>
      </c>
      <c r="E1519">
        <f t="shared" si="96"/>
        <v>2</v>
      </c>
      <c r="F1519">
        <f t="shared" si="97"/>
        <v>1</v>
      </c>
      <c r="G1519">
        <f t="shared" si="98"/>
        <v>3</v>
      </c>
      <c r="H1519">
        <f t="shared" si="99"/>
        <v>213</v>
      </c>
    </row>
    <row r="1520" spans="1:8" x14ac:dyDescent="0.55000000000000004">
      <c r="A1520" s="6">
        <v>1.3030830290680691E+19</v>
      </c>
      <c r="B1520">
        <v>1218</v>
      </c>
      <c r="C1520">
        <v>1</v>
      </c>
      <c r="D1520">
        <v>158</v>
      </c>
      <c r="E1520">
        <f t="shared" si="96"/>
        <v>1</v>
      </c>
      <c r="F1520">
        <f t="shared" si="97"/>
        <v>1</v>
      </c>
      <c r="G1520">
        <f t="shared" si="98"/>
        <v>1</v>
      </c>
      <c r="H1520">
        <f t="shared" si="99"/>
        <v>111</v>
      </c>
    </row>
    <row r="1521" spans="1:8" x14ac:dyDescent="0.55000000000000004">
      <c r="A1521" s="6">
        <v>1.3041268512318099E+19</v>
      </c>
      <c r="B1521">
        <v>712</v>
      </c>
      <c r="C1521">
        <v>2</v>
      </c>
      <c r="D1521">
        <v>4245</v>
      </c>
      <c r="E1521">
        <f t="shared" si="96"/>
        <v>3</v>
      </c>
      <c r="F1521">
        <f t="shared" si="97"/>
        <v>2</v>
      </c>
      <c r="G1521">
        <f t="shared" si="98"/>
        <v>3</v>
      </c>
      <c r="H1521">
        <f t="shared" si="99"/>
        <v>323</v>
      </c>
    </row>
    <row r="1522" spans="1:8" x14ac:dyDescent="0.55000000000000004">
      <c r="A1522" s="6">
        <v>1.3044049217928221E+19</v>
      </c>
      <c r="B1522">
        <v>439</v>
      </c>
      <c r="C1522">
        <v>1</v>
      </c>
      <c r="D1522">
        <v>389</v>
      </c>
      <c r="E1522">
        <f t="shared" si="96"/>
        <v>4</v>
      </c>
      <c r="F1522">
        <f t="shared" si="97"/>
        <v>1</v>
      </c>
      <c r="G1522">
        <f t="shared" si="98"/>
        <v>1</v>
      </c>
      <c r="H1522">
        <f t="shared" si="99"/>
        <v>411</v>
      </c>
    </row>
    <row r="1523" spans="1:8" x14ac:dyDescent="0.55000000000000004">
      <c r="A1523" s="6">
        <v>1.305184232615619E+19</v>
      </c>
      <c r="B1523">
        <v>82</v>
      </c>
      <c r="C1523">
        <v>1</v>
      </c>
      <c r="D1523">
        <v>1037</v>
      </c>
      <c r="E1523">
        <f t="shared" si="96"/>
        <v>5</v>
      </c>
      <c r="F1523">
        <f t="shared" si="97"/>
        <v>1</v>
      </c>
      <c r="G1523">
        <f t="shared" si="98"/>
        <v>2</v>
      </c>
      <c r="H1523">
        <f t="shared" si="99"/>
        <v>512</v>
      </c>
    </row>
    <row r="1524" spans="1:8" x14ac:dyDescent="0.55000000000000004">
      <c r="A1524" s="6">
        <v>1.307591437459559E+19</v>
      </c>
      <c r="B1524">
        <v>132</v>
      </c>
      <c r="C1524">
        <v>1</v>
      </c>
      <c r="D1524">
        <v>1368</v>
      </c>
      <c r="E1524">
        <f t="shared" si="96"/>
        <v>5</v>
      </c>
      <c r="F1524">
        <f t="shared" si="97"/>
        <v>1</v>
      </c>
      <c r="G1524">
        <f t="shared" si="98"/>
        <v>2</v>
      </c>
      <c r="H1524">
        <f t="shared" si="99"/>
        <v>512</v>
      </c>
    </row>
    <row r="1525" spans="1:8" x14ac:dyDescent="0.55000000000000004">
      <c r="A1525" s="6">
        <v>1.307994815668879E+19</v>
      </c>
      <c r="B1525">
        <v>870</v>
      </c>
      <c r="C1525">
        <v>1</v>
      </c>
      <c r="D1525">
        <v>766</v>
      </c>
      <c r="E1525">
        <f t="shared" si="96"/>
        <v>2</v>
      </c>
      <c r="F1525">
        <f t="shared" si="97"/>
        <v>1</v>
      </c>
      <c r="G1525">
        <f t="shared" si="98"/>
        <v>2</v>
      </c>
      <c r="H1525">
        <f t="shared" si="99"/>
        <v>212</v>
      </c>
    </row>
    <row r="1526" spans="1:8" x14ac:dyDescent="0.55000000000000004">
      <c r="A1526" s="6">
        <v>1.310069109594565E+19</v>
      </c>
      <c r="B1526">
        <v>224</v>
      </c>
      <c r="C1526">
        <v>1</v>
      </c>
      <c r="D1526">
        <v>84</v>
      </c>
      <c r="E1526">
        <f t="shared" si="96"/>
        <v>5</v>
      </c>
      <c r="F1526">
        <f t="shared" si="97"/>
        <v>1</v>
      </c>
      <c r="G1526">
        <f t="shared" si="98"/>
        <v>1</v>
      </c>
      <c r="H1526">
        <f t="shared" si="99"/>
        <v>511</v>
      </c>
    </row>
    <row r="1527" spans="1:8" x14ac:dyDescent="0.55000000000000004">
      <c r="A1527" s="6">
        <v>1.31032362952053E+19</v>
      </c>
      <c r="B1527">
        <v>1114</v>
      </c>
      <c r="C1527">
        <v>1</v>
      </c>
      <c r="D1527">
        <v>588</v>
      </c>
      <c r="E1527">
        <f t="shared" si="96"/>
        <v>2</v>
      </c>
      <c r="F1527">
        <f t="shared" si="97"/>
        <v>1</v>
      </c>
      <c r="G1527">
        <f t="shared" si="98"/>
        <v>1</v>
      </c>
      <c r="H1527">
        <f t="shared" si="99"/>
        <v>211</v>
      </c>
    </row>
    <row r="1528" spans="1:8" x14ac:dyDescent="0.55000000000000004">
      <c r="A1528" s="6">
        <v>1.3108019832869581E+19</v>
      </c>
      <c r="B1528">
        <v>579</v>
      </c>
      <c r="C1528">
        <v>1</v>
      </c>
      <c r="D1528">
        <v>809</v>
      </c>
      <c r="E1528">
        <f t="shared" si="96"/>
        <v>3</v>
      </c>
      <c r="F1528">
        <f t="shared" si="97"/>
        <v>1</v>
      </c>
      <c r="G1528">
        <f t="shared" si="98"/>
        <v>2</v>
      </c>
      <c r="H1528">
        <f t="shared" si="99"/>
        <v>312</v>
      </c>
    </row>
    <row r="1529" spans="1:8" x14ac:dyDescent="0.55000000000000004">
      <c r="A1529" s="6">
        <v>1.3114024756188649E+19</v>
      </c>
      <c r="B1529">
        <v>229</v>
      </c>
      <c r="C1529">
        <v>1</v>
      </c>
      <c r="D1529">
        <v>426</v>
      </c>
      <c r="E1529">
        <f t="shared" si="96"/>
        <v>5</v>
      </c>
      <c r="F1529">
        <f t="shared" si="97"/>
        <v>1</v>
      </c>
      <c r="G1529">
        <f t="shared" si="98"/>
        <v>1</v>
      </c>
      <c r="H1529">
        <f t="shared" si="99"/>
        <v>511</v>
      </c>
    </row>
    <row r="1530" spans="1:8" x14ac:dyDescent="0.55000000000000004">
      <c r="A1530" s="6">
        <v>1.3123330818423609E+19</v>
      </c>
      <c r="B1530">
        <v>16</v>
      </c>
      <c r="C1530">
        <v>2</v>
      </c>
      <c r="D1530">
        <v>1104</v>
      </c>
      <c r="E1530">
        <f t="shared" si="96"/>
        <v>5</v>
      </c>
      <c r="F1530">
        <f t="shared" si="97"/>
        <v>2</v>
      </c>
      <c r="G1530">
        <f t="shared" si="98"/>
        <v>2</v>
      </c>
      <c r="H1530">
        <f t="shared" si="99"/>
        <v>522</v>
      </c>
    </row>
    <row r="1531" spans="1:8" x14ac:dyDescent="0.55000000000000004">
      <c r="A1531" s="6">
        <v>1.3124075437308191E+19</v>
      </c>
      <c r="B1531">
        <v>764</v>
      </c>
      <c r="C1531">
        <v>2</v>
      </c>
      <c r="D1531">
        <v>565</v>
      </c>
      <c r="E1531">
        <f t="shared" si="96"/>
        <v>3</v>
      </c>
      <c r="F1531">
        <f t="shared" si="97"/>
        <v>2</v>
      </c>
      <c r="G1531">
        <f t="shared" si="98"/>
        <v>1</v>
      </c>
      <c r="H1531">
        <f t="shared" si="99"/>
        <v>321</v>
      </c>
    </row>
    <row r="1532" spans="1:8" x14ac:dyDescent="0.55000000000000004">
      <c r="A1532" s="6">
        <v>1.313444682683271E+19</v>
      </c>
      <c r="B1532">
        <v>329</v>
      </c>
      <c r="C1532">
        <v>1</v>
      </c>
      <c r="D1532">
        <v>3033</v>
      </c>
      <c r="E1532">
        <f t="shared" si="96"/>
        <v>4</v>
      </c>
      <c r="F1532">
        <f t="shared" si="97"/>
        <v>1</v>
      </c>
      <c r="G1532">
        <f t="shared" si="98"/>
        <v>3</v>
      </c>
      <c r="H1532">
        <f t="shared" si="99"/>
        <v>413</v>
      </c>
    </row>
    <row r="1533" spans="1:8" x14ac:dyDescent="0.55000000000000004">
      <c r="A1533" s="6">
        <v>1.313918294808908E+19</v>
      </c>
      <c r="B1533">
        <v>670</v>
      </c>
      <c r="C1533">
        <v>1</v>
      </c>
      <c r="D1533">
        <v>837</v>
      </c>
      <c r="E1533">
        <f t="shared" si="96"/>
        <v>3</v>
      </c>
      <c r="F1533">
        <f t="shared" si="97"/>
        <v>1</v>
      </c>
      <c r="G1533">
        <f t="shared" si="98"/>
        <v>2</v>
      </c>
      <c r="H1533">
        <f t="shared" si="99"/>
        <v>312</v>
      </c>
    </row>
    <row r="1534" spans="1:8" x14ac:dyDescent="0.55000000000000004">
      <c r="A1534" s="6">
        <v>1.3143191489421359E+19</v>
      </c>
      <c r="B1534">
        <v>280</v>
      </c>
      <c r="C1534">
        <v>1</v>
      </c>
      <c r="D1534">
        <v>670</v>
      </c>
      <c r="E1534">
        <f t="shared" si="96"/>
        <v>5</v>
      </c>
      <c r="F1534">
        <f t="shared" si="97"/>
        <v>1</v>
      </c>
      <c r="G1534">
        <f t="shared" si="98"/>
        <v>2</v>
      </c>
      <c r="H1534">
        <f t="shared" si="99"/>
        <v>512</v>
      </c>
    </row>
    <row r="1535" spans="1:8" x14ac:dyDescent="0.55000000000000004">
      <c r="A1535" s="6">
        <v>1.3153809842568221E+19</v>
      </c>
      <c r="B1535">
        <v>1128</v>
      </c>
      <c r="C1535">
        <v>2</v>
      </c>
      <c r="D1535">
        <v>287</v>
      </c>
      <c r="E1535">
        <f t="shared" si="96"/>
        <v>2</v>
      </c>
      <c r="F1535">
        <f t="shared" si="97"/>
        <v>2</v>
      </c>
      <c r="G1535">
        <f t="shared" si="98"/>
        <v>1</v>
      </c>
      <c r="H1535">
        <f t="shared" si="99"/>
        <v>221</v>
      </c>
    </row>
    <row r="1536" spans="1:8" x14ac:dyDescent="0.55000000000000004">
      <c r="A1536" s="6">
        <v>1.3195827660689961E+19</v>
      </c>
      <c r="B1536">
        <v>635</v>
      </c>
      <c r="C1536">
        <v>1</v>
      </c>
      <c r="D1536">
        <v>572</v>
      </c>
      <c r="E1536">
        <f t="shared" si="96"/>
        <v>3</v>
      </c>
      <c r="F1536">
        <f t="shared" si="97"/>
        <v>1</v>
      </c>
      <c r="G1536">
        <f t="shared" si="98"/>
        <v>1</v>
      </c>
      <c r="H1536">
        <f t="shared" si="99"/>
        <v>311</v>
      </c>
    </row>
    <row r="1537" spans="1:8" x14ac:dyDescent="0.55000000000000004">
      <c r="A1537" s="6">
        <v>1.3197254341847869E+19</v>
      </c>
      <c r="B1537">
        <v>442</v>
      </c>
      <c r="C1537">
        <v>1</v>
      </c>
      <c r="D1537">
        <v>173</v>
      </c>
      <c r="E1537">
        <f t="shared" si="96"/>
        <v>4</v>
      </c>
      <c r="F1537">
        <f t="shared" si="97"/>
        <v>1</v>
      </c>
      <c r="G1537">
        <f t="shared" si="98"/>
        <v>1</v>
      </c>
      <c r="H1537">
        <f t="shared" si="99"/>
        <v>411</v>
      </c>
    </row>
    <row r="1538" spans="1:8" x14ac:dyDescent="0.55000000000000004">
      <c r="A1538" s="6">
        <v>1.319782341275196E+19</v>
      </c>
      <c r="B1538">
        <v>228</v>
      </c>
      <c r="C1538">
        <v>2</v>
      </c>
      <c r="D1538">
        <v>1020</v>
      </c>
      <c r="E1538">
        <f t="shared" si="96"/>
        <v>5</v>
      </c>
      <c r="F1538">
        <f t="shared" si="97"/>
        <v>2</v>
      </c>
      <c r="G1538">
        <f t="shared" si="98"/>
        <v>2</v>
      </c>
      <c r="H1538">
        <f t="shared" si="99"/>
        <v>522</v>
      </c>
    </row>
    <row r="1539" spans="1:8" x14ac:dyDescent="0.55000000000000004">
      <c r="A1539" s="6">
        <v>1.3198046627891401E+19</v>
      </c>
      <c r="B1539">
        <v>353</v>
      </c>
      <c r="C1539">
        <v>1</v>
      </c>
      <c r="D1539">
        <v>1175</v>
      </c>
      <c r="E1539">
        <f t="shared" ref="E1539:E1602" si="100">VLOOKUP(B1539,$K$5:$L$9,2,1)</f>
        <v>4</v>
      </c>
      <c r="F1539">
        <f t="shared" ref="F1539:F1602" si="101">VLOOKUP(C1539,$K$15:$L$17,2,1)</f>
        <v>1</v>
      </c>
      <c r="G1539">
        <f t="shared" ref="G1539:G1602" si="102">VLOOKUP(D1539,$K$24:$L$26,2,1)</f>
        <v>2</v>
      </c>
      <c r="H1539">
        <f t="shared" ref="H1539:H1602" si="103">E1539*100+F1539*10+G1539</f>
        <v>412</v>
      </c>
    </row>
    <row r="1540" spans="1:8" x14ac:dyDescent="0.55000000000000004">
      <c r="A1540" s="6">
        <v>1.3203014623844721E+19</v>
      </c>
      <c r="B1540">
        <v>182</v>
      </c>
      <c r="C1540">
        <v>1</v>
      </c>
      <c r="D1540">
        <v>445</v>
      </c>
      <c r="E1540">
        <f t="shared" si="100"/>
        <v>5</v>
      </c>
      <c r="F1540">
        <f t="shared" si="101"/>
        <v>1</v>
      </c>
      <c r="G1540">
        <f t="shared" si="102"/>
        <v>1</v>
      </c>
      <c r="H1540">
        <f t="shared" si="103"/>
        <v>511</v>
      </c>
    </row>
    <row r="1541" spans="1:8" x14ac:dyDescent="0.55000000000000004">
      <c r="A1541" s="6">
        <v>1.321291921617748E+19</v>
      </c>
      <c r="B1541">
        <v>747</v>
      </c>
      <c r="C1541">
        <v>2</v>
      </c>
      <c r="D1541">
        <v>3933</v>
      </c>
      <c r="E1541">
        <f t="shared" si="100"/>
        <v>3</v>
      </c>
      <c r="F1541">
        <f t="shared" si="101"/>
        <v>2</v>
      </c>
      <c r="G1541">
        <f t="shared" si="102"/>
        <v>3</v>
      </c>
      <c r="H1541">
        <f t="shared" si="103"/>
        <v>323</v>
      </c>
    </row>
    <row r="1542" spans="1:8" x14ac:dyDescent="0.55000000000000004">
      <c r="A1542" s="6">
        <v>1.323533584187331E+19</v>
      </c>
      <c r="B1542">
        <v>320</v>
      </c>
      <c r="C1542">
        <v>1</v>
      </c>
      <c r="D1542">
        <v>398</v>
      </c>
      <c r="E1542">
        <f t="shared" si="100"/>
        <v>4</v>
      </c>
      <c r="F1542">
        <f t="shared" si="101"/>
        <v>1</v>
      </c>
      <c r="G1542">
        <f t="shared" si="102"/>
        <v>1</v>
      </c>
      <c r="H1542">
        <f t="shared" si="103"/>
        <v>411</v>
      </c>
    </row>
    <row r="1543" spans="1:8" x14ac:dyDescent="0.55000000000000004">
      <c r="A1543" s="6">
        <v>1.324897053317523E+19</v>
      </c>
      <c r="B1543">
        <v>18</v>
      </c>
      <c r="C1543">
        <v>1</v>
      </c>
      <c r="D1543">
        <v>691</v>
      </c>
      <c r="E1543">
        <f t="shared" si="100"/>
        <v>5</v>
      </c>
      <c r="F1543">
        <f t="shared" si="101"/>
        <v>1</v>
      </c>
      <c r="G1543">
        <f t="shared" si="102"/>
        <v>2</v>
      </c>
      <c r="H1543">
        <f t="shared" si="103"/>
        <v>512</v>
      </c>
    </row>
    <row r="1544" spans="1:8" x14ac:dyDescent="0.55000000000000004">
      <c r="A1544" s="6">
        <v>1.325729311291033E+19</v>
      </c>
      <c r="B1544">
        <v>166</v>
      </c>
      <c r="C1544">
        <v>1</v>
      </c>
      <c r="D1544">
        <v>660</v>
      </c>
      <c r="E1544">
        <f t="shared" si="100"/>
        <v>5</v>
      </c>
      <c r="F1544">
        <f t="shared" si="101"/>
        <v>1</v>
      </c>
      <c r="G1544">
        <f t="shared" si="102"/>
        <v>2</v>
      </c>
      <c r="H1544">
        <f t="shared" si="103"/>
        <v>512</v>
      </c>
    </row>
    <row r="1545" spans="1:8" x14ac:dyDescent="0.55000000000000004">
      <c r="A1545" s="6">
        <v>1.326544154431404E+19</v>
      </c>
      <c r="B1545">
        <v>37</v>
      </c>
      <c r="C1545">
        <v>1</v>
      </c>
      <c r="D1545">
        <v>684</v>
      </c>
      <c r="E1545">
        <f t="shared" si="100"/>
        <v>5</v>
      </c>
      <c r="F1545">
        <f t="shared" si="101"/>
        <v>1</v>
      </c>
      <c r="G1545">
        <f t="shared" si="102"/>
        <v>2</v>
      </c>
      <c r="H1545">
        <f t="shared" si="103"/>
        <v>512</v>
      </c>
    </row>
    <row r="1546" spans="1:8" x14ac:dyDescent="0.55000000000000004">
      <c r="A1546" s="6">
        <v>1.3281688634325961E+19</v>
      </c>
      <c r="B1546">
        <v>5</v>
      </c>
      <c r="C1546">
        <v>2</v>
      </c>
      <c r="D1546">
        <v>8930</v>
      </c>
      <c r="E1546">
        <f t="shared" si="100"/>
        <v>5</v>
      </c>
      <c r="F1546">
        <f t="shared" si="101"/>
        <v>2</v>
      </c>
      <c r="G1546">
        <f t="shared" si="102"/>
        <v>3</v>
      </c>
      <c r="H1546">
        <f t="shared" si="103"/>
        <v>523</v>
      </c>
    </row>
    <row r="1547" spans="1:8" x14ac:dyDescent="0.55000000000000004">
      <c r="A1547" s="6">
        <v>1.3286129435852599E+19</v>
      </c>
      <c r="B1547">
        <v>879</v>
      </c>
      <c r="C1547">
        <v>1</v>
      </c>
      <c r="D1547">
        <v>191</v>
      </c>
      <c r="E1547">
        <f t="shared" si="100"/>
        <v>2</v>
      </c>
      <c r="F1547">
        <f t="shared" si="101"/>
        <v>1</v>
      </c>
      <c r="G1547">
        <f t="shared" si="102"/>
        <v>1</v>
      </c>
      <c r="H1547">
        <f t="shared" si="103"/>
        <v>211</v>
      </c>
    </row>
    <row r="1548" spans="1:8" x14ac:dyDescent="0.55000000000000004">
      <c r="A1548" s="6">
        <v>1.3315643414881509E+19</v>
      </c>
      <c r="B1548">
        <v>1175</v>
      </c>
      <c r="C1548">
        <v>1</v>
      </c>
      <c r="D1548">
        <v>18</v>
      </c>
      <c r="E1548">
        <f t="shared" si="100"/>
        <v>1</v>
      </c>
      <c r="F1548">
        <f t="shared" si="101"/>
        <v>1</v>
      </c>
      <c r="G1548">
        <f t="shared" si="102"/>
        <v>1</v>
      </c>
      <c r="H1548">
        <f t="shared" si="103"/>
        <v>111</v>
      </c>
    </row>
    <row r="1549" spans="1:8" x14ac:dyDescent="0.55000000000000004">
      <c r="A1549" s="6">
        <v>1.334069472886059E+19</v>
      </c>
      <c r="B1549">
        <v>171</v>
      </c>
      <c r="C1549">
        <v>1</v>
      </c>
      <c r="D1549">
        <v>640</v>
      </c>
      <c r="E1549">
        <f t="shared" si="100"/>
        <v>5</v>
      </c>
      <c r="F1549">
        <f t="shared" si="101"/>
        <v>1</v>
      </c>
      <c r="G1549">
        <f t="shared" si="102"/>
        <v>1</v>
      </c>
      <c r="H1549">
        <f t="shared" si="103"/>
        <v>511</v>
      </c>
    </row>
    <row r="1550" spans="1:8" x14ac:dyDescent="0.55000000000000004">
      <c r="A1550" s="6">
        <v>1.3342965500931351E+19</v>
      </c>
      <c r="B1550">
        <v>561</v>
      </c>
      <c r="C1550">
        <v>1</v>
      </c>
      <c r="D1550">
        <v>113</v>
      </c>
      <c r="E1550">
        <f t="shared" si="100"/>
        <v>4</v>
      </c>
      <c r="F1550">
        <f t="shared" si="101"/>
        <v>1</v>
      </c>
      <c r="G1550">
        <f t="shared" si="102"/>
        <v>1</v>
      </c>
      <c r="H1550">
        <f t="shared" si="103"/>
        <v>411</v>
      </c>
    </row>
    <row r="1551" spans="1:8" x14ac:dyDescent="0.55000000000000004">
      <c r="A1551" s="6">
        <v>1.3349420789637599E+19</v>
      </c>
      <c r="B1551">
        <v>393</v>
      </c>
      <c r="C1551">
        <v>1</v>
      </c>
      <c r="D1551">
        <v>5198</v>
      </c>
      <c r="E1551">
        <f t="shared" si="100"/>
        <v>4</v>
      </c>
      <c r="F1551">
        <f t="shared" si="101"/>
        <v>1</v>
      </c>
      <c r="G1551">
        <f t="shared" si="102"/>
        <v>3</v>
      </c>
      <c r="H1551">
        <f t="shared" si="103"/>
        <v>413</v>
      </c>
    </row>
    <row r="1552" spans="1:8" x14ac:dyDescent="0.55000000000000004">
      <c r="A1552" s="6">
        <v>1.334954948546442E+19</v>
      </c>
      <c r="B1552">
        <v>606</v>
      </c>
      <c r="C1552">
        <v>1</v>
      </c>
      <c r="D1552">
        <v>3519</v>
      </c>
      <c r="E1552">
        <f t="shared" si="100"/>
        <v>3</v>
      </c>
      <c r="F1552">
        <f t="shared" si="101"/>
        <v>1</v>
      </c>
      <c r="G1552">
        <f t="shared" si="102"/>
        <v>3</v>
      </c>
      <c r="H1552">
        <f t="shared" si="103"/>
        <v>313</v>
      </c>
    </row>
    <row r="1553" spans="1:8" x14ac:dyDescent="0.55000000000000004">
      <c r="A1553" s="6">
        <v>1.3351036816645151E+19</v>
      </c>
      <c r="B1553">
        <v>729</v>
      </c>
      <c r="C1553">
        <v>1</v>
      </c>
      <c r="D1553">
        <v>0</v>
      </c>
      <c r="E1553">
        <f t="shared" si="100"/>
        <v>3</v>
      </c>
      <c r="F1553">
        <f t="shared" si="101"/>
        <v>1</v>
      </c>
      <c r="G1553">
        <f t="shared" si="102"/>
        <v>1</v>
      </c>
      <c r="H1553">
        <f t="shared" si="103"/>
        <v>311</v>
      </c>
    </row>
    <row r="1554" spans="1:8" x14ac:dyDescent="0.55000000000000004">
      <c r="A1554" s="6">
        <v>1.336821147565943E+19</v>
      </c>
      <c r="B1554">
        <v>302</v>
      </c>
      <c r="C1554">
        <v>1</v>
      </c>
      <c r="D1554">
        <v>744</v>
      </c>
      <c r="E1554">
        <f t="shared" si="100"/>
        <v>4</v>
      </c>
      <c r="F1554">
        <f t="shared" si="101"/>
        <v>1</v>
      </c>
      <c r="G1554">
        <f t="shared" si="102"/>
        <v>2</v>
      </c>
      <c r="H1554">
        <f t="shared" si="103"/>
        <v>412</v>
      </c>
    </row>
    <row r="1555" spans="1:8" x14ac:dyDescent="0.55000000000000004">
      <c r="A1555" s="6">
        <v>1.3371768346152149E+19</v>
      </c>
      <c r="B1555">
        <v>507</v>
      </c>
      <c r="C1555">
        <v>1</v>
      </c>
      <c r="D1555">
        <v>4341</v>
      </c>
      <c r="E1555">
        <f t="shared" si="100"/>
        <v>4</v>
      </c>
      <c r="F1555">
        <f t="shared" si="101"/>
        <v>1</v>
      </c>
      <c r="G1555">
        <f t="shared" si="102"/>
        <v>3</v>
      </c>
      <c r="H1555">
        <f t="shared" si="103"/>
        <v>413</v>
      </c>
    </row>
    <row r="1556" spans="1:8" x14ac:dyDescent="0.55000000000000004">
      <c r="A1556" s="6">
        <v>1.33750832693039E+19</v>
      </c>
      <c r="B1556">
        <v>267</v>
      </c>
      <c r="C1556">
        <v>1</v>
      </c>
      <c r="D1556">
        <v>378</v>
      </c>
      <c r="E1556">
        <f t="shared" si="100"/>
        <v>5</v>
      </c>
      <c r="F1556">
        <f t="shared" si="101"/>
        <v>1</v>
      </c>
      <c r="G1556">
        <f t="shared" si="102"/>
        <v>1</v>
      </c>
      <c r="H1556">
        <f t="shared" si="103"/>
        <v>511</v>
      </c>
    </row>
    <row r="1557" spans="1:8" x14ac:dyDescent="0.55000000000000004">
      <c r="A1557" s="6">
        <v>1.337976826338816E+19</v>
      </c>
      <c r="B1557">
        <v>738</v>
      </c>
      <c r="C1557">
        <v>1</v>
      </c>
      <c r="D1557">
        <v>4743</v>
      </c>
      <c r="E1557">
        <f t="shared" si="100"/>
        <v>3</v>
      </c>
      <c r="F1557">
        <f t="shared" si="101"/>
        <v>1</v>
      </c>
      <c r="G1557">
        <f t="shared" si="102"/>
        <v>3</v>
      </c>
      <c r="H1557">
        <f t="shared" si="103"/>
        <v>313</v>
      </c>
    </row>
    <row r="1558" spans="1:8" x14ac:dyDescent="0.55000000000000004">
      <c r="A1558" s="6">
        <v>1.3397401790747869E+19</v>
      </c>
      <c r="B1558">
        <v>267</v>
      </c>
      <c r="C1558">
        <v>2</v>
      </c>
      <c r="D1558">
        <v>2396</v>
      </c>
      <c r="E1558">
        <f t="shared" si="100"/>
        <v>5</v>
      </c>
      <c r="F1558">
        <f t="shared" si="101"/>
        <v>2</v>
      </c>
      <c r="G1558">
        <f t="shared" si="102"/>
        <v>3</v>
      </c>
      <c r="H1558">
        <f t="shared" si="103"/>
        <v>523</v>
      </c>
    </row>
    <row r="1559" spans="1:8" x14ac:dyDescent="0.55000000000000004">
      <c r="A1559" s="6">
        <v>1.3410837503769211E+19</v>
      </c>
      <c r="B1559">
        <v>510</v>
      </c>
      <c r="C1559">
        <v>1</v>
      </c>
      <c r="D1559">
        <v>915</v>
      </c>
      <c r="E1559">
        <f t="shared" si="100"/>
        <v>4</v>
      </c>
      <c r="F1559">
        <f t="shared" si="101"/>
        <v>1</v>
      </c>
      <c r="G1559">
        <f t="shared" si="102"/>
        <v>2</v>
      </c>
      <c r="H1559">
        <f t="shared" si="103"/>
        <v>412</v>
      </c>
    </row>
    <row r="1560" spans="1:8" x14ac:dyDescent="0.55000000000000004">
      <c r="A1560" s="6">
        <v>1.34213405262877E+19</v>
      </c>
      <c r="B1560">
        <v>555</v>
      </c>
      <c r="C1560">
        <v>2</v>
      </c>
      <c r="D1560">
        <v>3997</v>
      </c>
      <c r="E1560">
        <f t="shared" si="100"/>
        <v>4</v>
      </c>
      <c r="F1560">
        <f t="shared" si="101"/>
        <v>2</v>
      </c>
      <c r="G1560">
        <f t="shared" si="102"/>
        <v>3</v>
      </c>
      <c r="H1560">
        <f t="shared" si="103"/>
        <v>423</v>
      </c>
    </row>
    <row r="1561" spans="1:8" x14ac:dyDescent="0.55000000000000004">
      <c r="A1561" s="6">
        <v>1.3429650595165749E+19</v>
      </c>
      <c r="B1561">
        <v>184</v>
      </c>
      <c r="C1561">
        <v>1</v>
      </c>
      <c r="D1561">
        <v>3670</v>
      </c>
      <c r="E1561">
        <f t="shared" si="100"/>
        <v>5</v>
      </c>
      <c r="F1561">
        <f t="shared" si="101"/>
        <v>1</v>
      </c>
      <c r="G1561">
        <f t="shared" si="102"/>
        <v>3</v>
      </c>
      <c r="H1561">
        <f t="shared" si="103"/>
        <v>513</v>
      </c>
    </row>
    <row r="1562" spans="1:8" x14ac:dyDescent="0.55000000000000004">
      <c r="A1562" s="6">
        <v>1.345768984757384E+19</v>
      </c>
      <c r="B1562">
        <v>137</v>
      </c>
      <c r="C1562">
        <v>1</v>
      </c>
      <c r="D1562">
        <v>278</v>
      </c>
      <c r="E1562">
        <f t="shared" si="100"/>
        <v>5</v>
      </c>
      <c r="F1562">
        <f t="shared" si="101"/>
        <v>1</v>
      </c>
      <c r="G1562">
        <f t="shared" si="102"/>
        <v>1</v>
      </c>
      <c r="H1562">
        <f t="shared" si="103"/>
        <v>511</v>
      </c>
    </row>
    <row r="1563" spans="1:8" x14ac:dyDescent="0.55000000000000004">
      <c r="A1563" s="6">
        <v>1.345861267394763E+19</v>
      </c>
      <c r="B1563">
        <v>20</v>
      </c>
      <c r="C1563">
        <v>4</v>
      </c>
      <c r="D1563">
        <v>4383</v>
      </c>
      <c r="E1563">
        <f t="shared" si="100"/>
        <v>5</v>
      </c>
      <c r="F1563">
        <f t="shared" si="101"/>
        <v>3</v>
      </c>
      <c r="G1563">
        <f t="shared" si="102"/>
        <v>3</v>
      </c>
      <c r="H1563">
        <f t="shared" si="103"/>
        <v>533</v>
      </c>
    </row>
    <row r="1564" spans="1:8" x14ac:dyDescent="0.55000000000000004">
      <c r="A1564" s="6">
        <v>1.346306073628568E+19</v>
      </c>
      <c r="B1564">
        <v>1061</v>
      </c>
      <c r="C1564">
        <v>1</v>
      </c>
      <c r="D1564">
        <v>36</v>
      </c>
      <c r="E1564">
        <f t="shared" si="100"/>
        <v>2</v>
      </c>
      <c r="F1564">
        <f t="shared" si="101"/>
        <v>1</v>
      </c>
      <c r="G1564">
        <f t="shared" si="102"/>
        <v>1</v>
      </c>
      <c r="H1564">
        <f t="shared" si="103"/>
        <v>211</v>
      </c>
    </row>
    <row r="1565" spans="1:8" x14ac:dyDescent="0.55000000000000004">
      <c r="A1565" s="6">
        <v>1.347478526802867E+19</v>
      </c>
      <c r="B1565">
        <v>462</v>
      </c>
      <c r="C1565">
        <v>2</v>
      </c>
      <c r="D1565">
        <v>1888</v>
      </c>
      <c r="E1565">
        <f t="shared" si="100"/>
        <v>4</v>
      </c>
      <c r="F1565">
        <f t="shared" si="101"/>
        <v>2</v>
      </c>
      <c r="G1565">
        <f t="shared" si="102"/>
        <v>2</v>
      </c>
      <c r="H1565">
        <f t="shared" si="103"/>
        <v>422</v>
      </c>
    </row>
    <row r="1566" spans="1:8" x14ac:dyDescent="0.55000000000000004">
      <c r="A1566" s="6">
        <v>1.3496035708042889E+19</v>
      </c>
      <c r="B1566">
        <v>790</v>
      </c>
      <c r="C1566">
        <v>1</v>
      </c>
      <c r="D1566">
        <v>2480</v>
      </c>
      <c r="E1566">
        <f t="shared" si="100"/>
        <v>3</v>
      </c>
      <c r="F1566">
        <f t="shared" si="101"/>
        <v>1</v>
      </c>
      <c r="G1566">
        <f t="shared" si="102"/>
        <v>3</v>
      </c>
      <c r="H1566">
        <f t="shared" si="103"/>
        <v>313</v>
      </c>
    </row>
    <row r="1567" spans="1:8" x14ac:dyDescent="0.55000000000000004">
      <c r="A1567" s="6">
        <v>1.3513454545011419E+19</v>
      </c>
      <c r="B1567">
        <v>84</v>
      </c>
      <c r="C1567">
        <v>1</v>
      </c>
      <c r="D1567">
        <v>770</v>
      </c>
      <c r="E1567">
        <f t="shared" si="100"/>
        <v>5</v>
      </c>
      <c r="F1567">
        <f t="shared" si="101"/>
        <v>1</v>
      </c>
      <c r="G1567">
        <f t="shared" si="102"/>
        <v>2</v>
      </c>
      <c r="H1567">
        <f t="shared" si="103"/>
        <v>512</v>
      </c>
    </row>
    <row r="1568" spans="1:8" x14ac:dyDescent="0.55000000000000004">
      <c r="A1568" s="6">
        <v>1.351714894414312E+19</v>
      </c>
      <c r="B1568">
        <v>152</v>
      </c>
      <c r="C1568">
        <v>1</v>
      </c>
      <c r="D1568">
        <v>1926</v>
      </c>
      <c r="E1568">
        <f t="shared" si="100"/>
        <v>5</v>
      </c>
      <c r="F1568">
        <f t="shared" si="101"/>
        <v>1</v>
      </c>
      <c r="G1568">
        <f t="shared" si="102"/>
        <v>2</v>
      </c>
      <c r="H1568">
        <f t="shared" si="103"/>
        <v>512</v>
      </c>
    </row>
    <row r="1569" spans="1:8" x14ac:dyDescent="0.55000000000000004">
      <c r="A1569" s="6">
        <v>1.351887796399998E+19</v>
      </c>
      <c r="B1569">
        <v>98</v>
      </c>
      <c r="C1569">
        <v>4</v>
      </c>
      <c r="D1569">
        <v>2096</v>
      </c>
      <c r="E1569">
        <f t="shared" si="100"/>
        <v>5</v>
      </c>
      <c r="F1569">
        <f t="shared" si="101"/>
        <v>3</v>
      </c>
      <c r="G1569">
        <f t="shared" si="102"/>
        <v>2</v>
      </c>
      <c r="H1569">
        <f t="shared" si="103"/>
        <v>532</v>
      </c>
    </row>
    <row r="1570" spans="1:8" x14ac:dyDescent="0.55000000000000004">
      <c r="A1570" s="6">
        <v>1.3521196571112731E+19</v>
      </c>
      <c r="B1570">
        <v>1027</v>
      </c>
      <c r="C1570">
        <v>1</v>
      </c>
      <c r="D1570">
        <v>569</v>
      </c>
      <c r="E1570">
        <f t="shared" si="100"/>
        <v>2</v>
      </c>
      <c r="F1570">
        <f t="shared" si="101"/>
        <v>1</v>
      </c>
      <c r="G1570">
        <f t="shared" si="102"/>
        <v>1</v>
      </c>
      <c r="H1570">
        <f t="shared" si="103"/>
        <v>211</v>
      </c>
    </row>
    <row r="1571" spans="1:8" x14ac:dyDescent="0.55000000000000004">
      <c r="A1571" s="6">
        <v>1.352293588496357E+19</v>
      </c>
      <c r="B1571">
        <v>804</v>
      </c>
      <c r="C1571">
        <v>1</v>
      </c>
      <c r="D1571">
        <v>58</v>
      </c>
      <c r="E1571">
        <f t="shared" si="100"/>
        <v>3</v>
      </c>
      <c r="F1571">
        <f t="shared" si="101"/>
        <v>1</v>
      </c>
      <c r="G1571">
        <f t="shared" si="102"/>
        <v>1</v>
      </c>
      <c r="H1571">
        <f t="shared" si="103"/>
        <v>311</v>
      </c>
    </row>
    <row r="1572" spans="1:8" x14ac:dyDescent="0.55000000000000004">
      <c r="A1572" s="6">
        <v>1.353243066773127E+19</v>
      </c>
      <c r="B1572">
        <v>1151</v>
      </c>
      <c r="C1572">
        <v>1</v>
      </c>
      <c r="D1572">
        <v>1327</v>
      </c>
      <c r="E1572">
        <f t="shared" si="100"/>
        <v>2</v>
      </c>
      <c r="F1572">
        <f t="shared" si="101"/>
        <v>1</v>
      </c>
      <c r="G1572">
        <f t="shared" si="102"/>
        <v>2</v>
      </c>
      <c r="H1572">
        <f t="shared" si="103"/>
        <v>212</v>
      </c>
    </row>
    <row r="1573" spans="1:8" x14ac:dyDescent="0.55000000000000004">
      <c r="A1573" s="6">
        <v>1.3537907601576471E+19</v>
      </c>
      <c r="B1573">
        <v>476</v>
      </c>
      <c r="C1573">
        <v>1</v>
      </c>
      <c r="D1573">
        <v>2789</v>
      </c>
      <c r="E1573">
        <f t="shared" si="100"/>
        <v>4</v>
      </c>
      <c r="F1573">
        <f t="shared" si="101"/>
        <v>1</v>
      </c>
      <c r="G1573">
        <f t="shared" si="102"/>
        <v>3</v>
      </c>
      <c r="H1573">
        <f t="shared" si="103"/>
        <v>413</v>
      </c>
    </row>
    <row r="1574" spans="1:8" x14ac:dyDescent="0.55000000000000004">
      <c r="A1574" s="6">
        <v>1.3560338767012139E+19</v>
      </c>
      <c r="B1574">
        <v>375</v>
      </c>
      <c r="C1574">
        <v>2</v>
      </c>
      <c r="D1574">
        <v>1846</v>
      </c>
      <c r="E1574">
        <f t="shared" si="100"/>
        <v>4</v>
      </c>
      <c r="F1574">
        <f t="shared" si="101"/>
        <v>2</v>
      </c>
      <c r="G1574">
        <f t="shared" si="102"/>
        <v>2</v>
      </c>
      <c r="H1574">
        <f t="shared" si="103"/>
        <v>422</v>
      </c>
    </row>
    <row r="1575" spans="1:8" x14ac:dyDescent="0.55000000000000004">
      <c r="A1575" s="6">
        <v>1.3563156145143859E+19</v>
      </c>
      <c r="B1575">
        <v>1135</v>
      </c>
      <c r="C1575">
        <v>1</v>
      </c>
      <c r="D1575">
        <v>207</v>
      </c>
      <c r="E1575">
        <f t="shared" si="100"/>
        <v>2</v>
      </c>
      <c r="F1575">
        <f t="shared" si="101"/>
        <v>1</v>
      </c>
      <c r="G1575">
        <f t="shared" si="102"/>
        <v>1</v>
      </c>
      <c r="H1575">
        <f t="shared" si="103"/>
        <v>211</v>
      </c>
    </row>
    <row r="1576" spans="1:8" x14ac:dyDescent="0.55000000000000004">
      <c r="A1576" s="6">
        <v>1.3568600865634161E+19</v>
      </c>
      <c r="B1576">
        <v>1118</v>
      </c>
      <c r="C1576">
        <v>1</v>
      </c>
      <c r="D1576">
        <v>209</v>
      </c>
      <c r="E1576">
        <f t="shared" si="100"/>
        <v>2</v>
      </c>
      <c r="F1576">
        <f t="shared" si="101"/>
        <v>1</v>
      </c>
      <c r="G1576">
        <f t="shared" si="102"/>
        <v>1</v>
      </c>
      <c r="H1576">
        <f t="shared" si="103"/>
        <v>211</v>
      </c>
    </row>
    <row r="1577" spans="1:8" x14ac:dyDescent="0.55000000000000004">
      <c r="A1577" s="6">
        <v>1.357094978375269E+19</v>
      </c>
      <c r="B1577">
        <v>31</v>
      </c>
      <c r="C1577">
        <v>2</v>
      </c>
      <c r="D1577">
        <v>3783</v>
      </c>
      <c r="E1577">
        <f t="shared" si="100"/>
        <v>5</v>
      </c>
      <c r="F1577">
        <f t="shared" si="101"/>
        <v>2</v>
      </c>
      <c r="G1577">
        <f t="shared" si="102"/>
        <v>3</v>
      </c>
      <c r="H1577">
        <f t="shared" si="103"/>
        <v>523</v>
      </c>
    </row>
    <row r="1578" spans="1:8" x14ac:dyDescent="0.55000000000000004">
      <c r="A1578" s="6">
        <v>1.3593324848231891E+19</v>
      </c>
      <c r="B1578">
        <v>788</v>
      </c>
      <c r="C1578">
        <v>1</v>
      </c>
      <c r="D1578">
        <v>493</v>
      </c>
      <c r="E1578">
        <f t="shared" si="100"/>
        <v>3</v>
      </c>
      <c r="F1578">
        <f t="shared" si="101"/>
        <v>1</v>
      </c>
      <c r="G1578">
        <f t="shared" si="102"/>
        <v>1</v>
      </c>
      <c r="H1578">
        <f t="shared" si="103"/>
        <v>311</v>
      </c>
    </row>
    <row r="1579" spans="1:8" x14ac:dyDescent="0.55000000000000004">
      <c r="A1579" s="6">
        <v>1.3594245574007099E+19</v>
      </c>
      <c r="B1579">
        <v>445</v>
      </c>
      <c r="C1579">
        <v>2</v>
      </c>
      <c r="D1579">
        <v>1025</v>
      </c>
      <c r="E1579">
        <f t="shared" si="100"/>
        <v>4</v>
      </c>
      <c r="F1579">
        <f t="shared" si="101"/>
        <v>2</v>
      </c>
      <c r="G1579">
        <f t="shared" si="102"/>
        <v>2</v>
      </c>
      <c r="H1579">
        <f t="shared" si="103"/>
        <v>422</v>
      </c>
    </row>
    <row r="1580" spans="1:8" x14ac:dyDescent="0.55000000000000004">
      <c r="A1580" s="6">
        <v>1.360218157738563E+19</v>
      </c>
      <c r="B1580">
        <v>305</v>
      </c>
      <c r="C1580">
        <v>1</v>
      </c>
      <c r="D1580">
        <v>29</v>
      </c>
      <c r="E1580">
        <f t="shared" si="100"/>
        <v>4</v>
      </c>
      <c r="F1580">
        <f t="shared" si="101"/>
        <v>1</v>
      </c>
      <c r="G1580">
        <f t="shared" si="102"/>
        <v>1</v>
      </c>
      <c r="H1580">
        <f t="shared" si="103"/>
        <v>411</v>
      </c>
    </row>
    <row r="1581" spans="1:8" x14ac:dyDescent="0.55000000000000004">
      <c r="A1581" s="6">
        <v>1.360719435373294E+19</v>
      </c>
      <c r="B1581">
        <v>130</v>
      </c>
      <c r="C1581">
        <v>1</v>
      </c>
      <c r="D1581">
        <v>650</v>
      </c>
      <c r="E1581">
        <f t="shared" si="100"/>
        <v>5</v>
      </c>
      <c r="F1581">
        <f t="shared" si="101"/>
        <v>1</v>
      </c>
      <c r="G1581">
        <f t="shared" si="102"/>
        <v>1</v>
      </c>
      <c r="H1581">
        <f t="shared" si="103"/>
        <v>511</v>
      </c>
    </row>
    <row r="1582" spans="1:8" x14ac:dyDescent="0.55000000000000004">
      <c r="A1582" s="6">
        <v>1.3614030583383269E+19</v>
      </c>
      <c r="B1582">
        <v>310</v>
      </c>
      <c r="C1582">
        <v>2</v>
      </c>
      <c r="D1582">
        <v>1113</v>
      </c>
      <c r="E1582">
        <f t="shared" si="100"/>
        <v>4</v>
      </c>
      <c r="F1582">
        <f t="shared" si="101"/>
        <v>2</v>
      </c>
      <c r="G1582">
        <f t="shared" si="102"/>
        <v>2</v>
      </c>
      <c r="H1582">
        <f t="shared" si="103"/>
        <v>422</v>
      </c>
    </row>
    <row r="1583" spans="1:8" x14ac:dyDescent="0.55000000000000004">
      <c r="A1583" s="6">
        <v>1.3614360803170529E+19</v>
      </c>
      <c r="B1583">
        <v>1180</v>
      </c>
      <c r="C1583">
        <v>1</v>
      </c>
      <c r="D1583">
        <v>73</v>
      </c>
      <c r="E1583">
        <f t="shared" si="100"/>
        <v>1</v>
      </c>
      <c r="F1583">
        <f t="shared" si="101"/>
        <v>1</v>
      </c>
      <c r="G1583">
        <f t="shared" si="102"/>
        <v>1</v>
      </c>
      <c r="H1583">
        <f t="shared" si="103"/>
        <v>111</v>
      </c>
    </row>
    <row r="1584" spans="1:8" x14ac:dyDescent="0.55000000000000004">
      <c r="A1584" s="6">
        <v>1.3615365342194739E+19</v>
      </c>
      <c r="B1584">
        <v>1191</v>
      </c>
      <c r="C1584">
        <v>2</v>
      </c>
      <c r="D1584">
        <v>14123</v>
      </c>
      <c r="E1584">
        <f t="shared" si="100"/>
        <v>1</v>
      </c>
      <c r="F1584">
        <f t="shared" si="101"/>
        <v>2</v>
      </c>
      <c r="G1584">
        <f t="shared" si="102"/>
        <v>3</v>
      </c>
      <c r="H1584">
        <f t="shared" si="103"/>
        <v>123</v>
      </c>
    </row>
    <row r="1585" spans="1:8" x14ac:dyDescent="0.55000000000000004">
      <c r="A1585" s="6">
        <v>1.3632475813864321E+19</v>
      </c>
      <c r="B1585">
        <v>545</v>
      </c>
      <c r="C1585">
        <v>1</v>
      </c>
      <c r="D1585">
        <v>1813</v>
      </c>
      <c r="E1585">
        <f t="shared" si="100"/>
        <v>4</v>
      </c>
      <c r="F1585">
        <f t="shared" si="101"/>
        <v>1</v>
      </c>
      <c r="G1585">
        <f t="shared" si="102"/>
        <v>2</v>
      </c>
      <c r="H1585">
        <f t="shared" si="103"/>
        <v>412</v>
      </c>
    </row>
    <row r="1586" spans="1:8" x14ac:dyDescent="0.55000000000000004">
      <c r="A1586" s="6">
        <v>1.363333817944542E+19</v>
      </c>
      <c r="B1586">
        <v>799</v>
      </c>
      <c r="C1586">
        <v>1</v>
      </c>
      <c r="D1586">
        <v>2055</v>
      </c>
      <c r="E1586">
        <f t="shared" si="100"/>
        <v>3</v>
      </c>
      <c r="F1586">
        <f t="shared" si="101"/>
        <v>1</v>
      </c>
      <c r="G1586">
        <f t="shared" si="102"/>
        <v>2</v>
      </c>
      <c r="H1586">
        <f t="shared" si="103"/>
        <v>312</v>
      </c>
    </row>
    <row r="1587" spans="1:8" x14ac:dyDescent="0.55000000000000004">
      <c r="A1587" s="6">
        <v>1.363557571381281E+19</v>
      </c>
      <c r="B1587">
        <v>255</v>
      </c>
      <c r="C1587">
        <v>2</v>
      </c>
      <c r="D1587">
        <v>7544</v>
      </c>
      <c r="E1587">
        <f t="shared" si="100"/>
        <v>5</v>
      </c>
      <c r="F1587">
        <f t="shared" si="101"/>
        <v>2</v>
      </c>
      <c r="G1587">
        <f t="shared" si="102"/>
        <v>3</v>
      </c>
      <c r="H1587">
        <f t="shared" si="103"/>
        <v>523</v>
      </c>
    </row>
    <row r="1588" spans="1:8" x14ac:dyDescent="0.55000000000000004">
      <c r="A1588" s="6">
        <v>1.365703254207455E+19</v>
      </c>
      <c r="B1588">
        <v>117</v>
      </c>
      <c r="C1588">
        <v>1</v>
      </c>
      <c r="D1588">
        <v>3944</v>
      </c>
      <c r="E1588">
        <f t="shared" si="100"/>
        <v>5</v>
      </c>
      <c r="F1588">
        <f t="shared" si="101"/>
        <v>1</v>
      </c>
      <c r="G1588">
        <f t="shared" si="102"/>
        <v>3</v>
      </c>
      <c r="H1588">
        <f t="shared" si="103"/>
        <v>513</v>
      </c>
    </row>
    <row r="1589" spans="1:8" x14ac:dyDescent="0.55000000000000004">
      <c r="A1589" s="6">
        <v>1.365967540316247E+19</v>
      </c>
      <c r="B1589">
        <v>838</v>
      </c>
      <c r="C1589">
        <v>1</v>
      </c>
      <c r="D1589">
        <v>550</v>
      </c>
      <c r="E1589">
        <f t="shared" si="100"/>
        <v>3</v>
      </c>
      <c r="F1589">
        <f t="shared" si="101"/>
        <v>1</v>
      </c>
      <c r="G1589">
        <f t="shared" si="102"/>
        <v>1</v>
      </c>
      <c r="H1589">
        <f t="shared" si="103"/>
        <v>311</v>
      </c>
    </row>
    <row r="1590" spans="1:8" x14ac:dyDescent="0.55000000000000004">
      <c r="A1590" s="6">
        <v>1.367570441445676E+19</v>
      </c>
      <c r="B1590">
        <v>609</v>
      </c>
      <c r="C1590">
        <v>2</v>
      </c>
      <c r="D1590">
        <v>307</v>
      </c>
      <c r="E1590">
        <f t="shared" si="100"/>
        <v>3</v>
      </c>
      <c r="F1590">
        <f t="shared" si="101"/>
        <v>2</v>
      </c>
      <c r="G1590">
        <f t="shared" si="102"/>
        <v>1</v>
      </c>
      <c r="H1590">
        <f t="shared" si="103"/>
        <v>321</v>
      </c>
    </row>
    <row r="1591" spans="1:8" x14ac:dyDescent="0.55000000000000004">
      <c r="A1591" s="6">
        <v>1.3676031092069671E+19</v>
      </c>
      <c r="B1591">
        <v>27</v>
      </c>
      <c r="C1591">
        <v>2</v>
      </c>
      <c r="D1591">
        <v>2169</v>
      </c>
      <c r="E1591">
        <f t="shared" si="100"/>
        <v>5</v>
      </c>
      <c r="F1591">
        <f t="shared" si="101"/>
        <v>2</v>
      </c>
      <c r="G1591">
        <f t="shared" si="102"/>
        <v>2</v>
      </c>
      <c r="H1591">
        <f t="shared" si="103"/>
        <v>522</v>
      </c>
    </row>
    <row r="1592" spans="1:8" x14ac:dyDescent="0.55000000000000004">
      <c r="A1592" s="6">
        <v>1.370179270940867E+19</v>
      </c>
      <c r="B1592">
        <v>286</v>
      </c>
      <c r="C1592">
        <v>1</v>
      </c>
      <c r="D1592">
        <v>278</v>
      </c>
      <c r="E1592">
        <f t="shared" si="100"/>
        <v>5</v>
      </c>
      <c r="F1592">
        <f t="shared" si="101"/>
        <v>1</v>
      </c>
      <c r="G1592">
        <f t="shared" si="102"/>
        <v>1</v>
      </c>
      <c r="H1592">
        <f t="shared" si="103"/>
        <v>511</v>
      </c>
    </row>
    <row r="1593" spans="1:8" x14ac:dyDescent="0.55000000000000004">
      <c r="A1593" s="6">
        <v>1.3703114569611069E+19</v>
      </c>
      <c r="B1593">
        <v>17</v>
      </c>
      <c r="C1593">
        <v>3</v>
      </c>
      <c r="D1593">
        <v>8472</v>
      </c>
      <c r="E1593">
        <f t="shared" si="100"/>
        <v>5</v>
      </c>
      <c r="F1593">
        <f t="shared" si="101"/>
        <v>3</v>
      </c>
      <c r="G1593">
        <f t="shared" si="102"/>
        <v>3</v>
      </c>
      <c r="H1593">
        <f t="shared" si="103"/>
        <v>533</v>
      </c>
    </row>
    <row r="1594" spans="1:8" x14ac:dyDescent="0.55000000000000004">
      <c r="A1594" s="6">
        <v>1.3705793649912039E+19</v>
      </c>
      <c r="B1594">
        <v>1165</v>
      </c>
      <c r="C1594">
        <v>1</v>
      </c>
      <c r="D1594">
        <v>252</v>
      </c>
      <c r="E1594">
        <f t="shared" si="100"/>
        <v>1</v>
      </c>
      <c r="F1594">
        <f t="shared" si="101"/>
        <v>1</v>
      </c>
      <c r="G1594">
        <f t="shared" si="102"/>
        <v>1</v>
      </c>
      <c r="H1594">
        <f t="shared" si="103"/>
        <v>111</v>
      </c>
    </row>
    <row r="1595" spans="1:8" x14ac:dyDescent="0.55000000000000004">
      <c r="A1595" s="6">
        <v>1.3772017495546911E+19</v>
      </c>
      <c r="B1595">
        <v>1107</v>
      </c>
      <c r="C1595">
        <v>1</v>
      </c>
      <c r="D1595">
        <v>118</v>
      </c>
      <c r="E1595">
        <f t="shared" si="100"/>
        <v>2</v>
      </c>
      <c r="F1595">
        <f t="shared" si="101"/>
        <v>1</v>
      </c>
      <c r="G1595">
        <f t="shared" si="102"/>
        <v>1</v>
      </c>
      <c r="H1595">
        <f t="shared" si="103"/>
        <v>211</v>
      </c>
    </row>
    <row r="1596" spans="1:8" x14ac:dyDescent="0.55000000000000004">
      <c r="A1596" s="6">
        <v>1.37766412219519E+19</v>
      </c>
      <c r="B1596">
        <v>32</v>
      </c>
      <c r="C1596">
        <v>1</v>
      </c>
      <c r="D1596">
        <v>190</v>
      </c>
      <c r="E1596">
        <f t="shared" si="100"/>
        <v>5</v>
      </c>
      <c r="F1596">
        <f t="shared" si="101"/>
        <v>1</v>
      </c>
      <c r="G1596">
        <f t="shared" si="102"/>
        <v>1</v>
      </c>
      <c r="H1596">
        <f t="shared" si="103"/>
        <v>511</v>
      </c>
    </row>
    <row r="1597" spans="1:8" x14ac:dyDescent="0.55000000000000004">
      <c r="A1597" s="6">
        <v>1.3779324209772151E+19</v>
      </c>
      <c r="B1597">
        <v>1272</v>
      </c>
      <c r="C1597">
        <v>1</v>
      </c>
      <c r="D1597">
        <v>378</v>
      </c>
      <c r="E1597">
        <f t="shared" si="100"/>
        <v>1</v>
      </c>
      <c r="F1597">
        <f t="shared" si="101"/>
        <v>1</v>
      </c>
      <c r="G1597">
        <f t="shared" si="102"/>
        <v>1</v>
      </c>
      <c r="H1597">
        <f t="shared" si="103"/>
        <v>111</v>
      </c>
    </row>
    <row r="1598" spans="1:8" x14ac:dyDescent="0.55000000000000004">
      <c r="A1598" s="6">
        <v>1.378013292667358E+19</v>
      </c>
      <c r="B1598">
        <v>138</v>
      </c>
      <c r="C1598">
        <v>4</v>
      </c>
      <c r="D1598">
        <v>5103</v>
      </c>
      <c r="E1598">
        <f t="shared" si="100"/>
        <v>5</v>
      </c>
      <c r="F1598">
        <f t="shared" si="101"/>
        <v>3</v>
      </c>
      <c r="G1598">
        <f t="shared" si="102"/>
        <v>3</v>
      </c>
      <c r="H1598">
        <f t="shared" si="103"/>
        <v>533</v>
      </c>
    </row>
    <row r="1599" spans="1:8" x14ac:dyDescent="0.55000000000000004">
      <c r="A1599" s="6">
        <v>1.3784682813159739E+19</v>
      </c>
      <c r="B1599">
        <v>27</v>
      </c>
      <c r="C1599">
        <v>2</v>
      </c>
      <c r="D1599">
        <v>3126</v>
      </c>
      <c r="E1599">
        <f t="shared" si="100"/>
        <v>5</v>
      </c>
      <c r="F1599">
        <f t="shared" si="101"/>
        <v>2</v>
      </c>
      <c r="G1599">
        <f t="shared" si="102"/>
        <v>3</v>
      </c>
      <c r="H1599">
        <f t="shared" si="103"/>
        <v>523</v>
      </c>
    </row>
    <row r="1600" spans="1:8" x14ac:dyDescent="0.55000000000000004">
      <c r="A1600" s="6">
        <v>1.3797021737424341E+19</v>
      </c>
      <c r="B1600">
        <v>576</v>
      </c>
      <c r="C1600">
        <v>1</v>
      </c>
      <c r="D1600">
        <v>1799</v>
      </c>
      <c r="E1600">
        <f t="shared" si="100"/>
        <v>4</v>
      </c>
      <c r="F1600">
        <f t="shared" si="101"/>
        <v>1</v>
      </c>
      <c r="G1600">
        <f t="shared" si="102"/>
        <v>2</v>
      </c>
      <c r="H1600">
        <f t="shared" si="103"/>
        <v>412</v>
      </c>
    </row>
    <row r="1601" spans="1:8" x14ac:dyDescent="0.55000000000000004">
      <c r="A1601" s="6">
        <v>1.3812641732678619E+19</v>
      </c>
      <c r="B1601">
        <v>933</v>
      </c>
      <c r="C1601">
        <v>1</v>
      </c>
      <c r="D1601">
        <v>159</v>
      </c>
      <c r="E1601">
        <f t="shared" si="100"/>
        <v>2</v>
      </c>
      <c r="F1601">
        <f t="shared" si="101"/>
        <v>1</v>
      </c>
      <c r="G1601">
        <f t="shared" si="102"/>
        <v>1</v>
      </c>
      <c r="H1601">
        <f t="shared" si="103"/>
        <v>211</v>
      </c>
    </row>
    <row r="1602" spans="1:8" x14ac:dyDescent="0.55000000000000004">
      <c r="A1602" s="6">
        <v>1.382011487606887E+19</v>
      </c>
      <c r="B1602">
        <v>1029</v>
      </c>
      <c r="C1602">
        <v>1</v>
      </c>
      <c r="D1602">
        <v>450</v>
      </c>
      <c r="E1602">
        <f t="shared" si="100"/>
        <v>2</v>
      </c>
      <c r="F1602">
        <f t="shared" si="101"/>
        <v>1</v>
      </c>
      <c r="G1602">
        <f t="shared" si="102"/>
        <v>1</v>
      </c>
      <c r="H1602">
        <f t="shared" si="103"/>
        <v>211</v>
      </c>
    </row>
    <row r="1603" spans="1:8" x14ac:dyDescent="0.55000000000000004">
      <c r="A1603" s="6">
        <v>1.3822041623253791E+19</v>
      </c>
      <c r="B1603">
        <v>1251</v>
      </c>
      <c r="C1603">
        <v>1</v>
      </c>
      <c r="D1603">
        <v>1119</v>
      </c>
      <c r="E1603">
        <f t="shared" ref="E1603:E1666" si="104">VLOOKUP(B1603,$K$5:$L$9,2,1)</f>
        <v>1</v>
      </c>
      <c r="F1603">
        <f t="shared" ref="F1603:F1666" si="105">VLOOKUP(C1603,$K$15:$L$17,2,1)</f>
        <v>1</v>
      </c>
      <c r="G1603">
        <f t="shared" ref="G1603:G1666" si="106">VLOOKUP(D1603,$K$24:$L$26,2,1)</f>
        <v>2</v>
      </c>
      <c r="H1603">
        <f t="shared" ref="H1603:H1666" si="107">E1603*100+F1603*10+G1603</f>
        <v>112</v>
      </c>
    </row>
    <row r="1604" spans="1:8" x14ac:dyDescent="0.55000000000000004">
      <c r="A1604" s="6">
        <v>1.3834599210482901E+19</v>
      </c>
      <c r="B1604">
        <v>156</v>
      </c>
      <c r="C1604">
        <v>1</v>
      </c>
      <c r="D1604">
        <v>2190</v>
      </c>
      <c r="E1604">
        <f t="shared" si="104"/>
        <v>5</v>
      </c>
      <c r="F1604">
        <f t="shared" si="105"/>
        <v>1</v>
      </c>
      <c r="G1604">
        <f t="shared" si="106"/>
        <v>2</v>
      </c>
      <c r="H1604">
        <f t="shared" si="107"/>
        <v>512</v>
      </c>
    </row>
    <row r="1605" spans="1:8" x14ac:dyDescent="0.55000000000000004">
      <c r="A1605" s="6">
        <v>1.384908775511219E+19</v>
      </c>
      <c r="B1605">
        <v>222</v>
      </c>
      <c r="C1605">
        <v>1</v>
      </c>
      <c r="D1605">
        <v>1289</v>
      </c>
      <c r="E1605">
        <f t="shared" si="104"/>
        <v>5</v>
      </c>
      <c r="F1605">
        <f t="shared" si="105"/>
        <v>1</v>
      </c>
      <c r="G1605">
        <f t="shared" si="106"/>
        <v>2</v>
      </c>
      <c r="H1605">
        <f t="shared" si="107"/>
        <v>512</v>
      </c>
    </row>
    <row r="1606" spans="1:8" x14ac:dyDescent="0.55000000000000004">
      <c r="A1606" s="6">
        <v>1.3866389946631281E+19</v>
      </c>
      <c r="B1606">
        <v>539</v>
      </c>
      <c r="C1606">
        <v>1</v>
      </c>
      <c r="D1606">
        <v>2322</v>
      </c>
      <c r="E1606">
        <f t="shared" si="104"/>
        <v>4</v>
      </c>
      <c r="F1606">
        <f t="shared" si="105"/>
        <v>1</v>
      </c>
      <c r="G1606">
        <f t="shared" si="106"/>
        <v>3</v>
      </c>
      <c r="H1606">
        <f t="shared" si="107"/>
        <v>413</v>
      </c>
    </row>
    <row r="1607" spans="1:8" x14ac:dyDescent="0.55000000000000004">
      <c r="A1607" s="6">
        <v>1.386814484181495E+19</v>
      </c>
      <c r="B1607">
        <v>217</v>
      </c>
      <c r="C1607">
        <v>2</v>
      </c>
      <c r="D1607">
        <v>1941</v>
      </c>
      <c r="E1607">
        <f t="shared" si="104"/>
        <v>5</v>
      </c>
      <c r="F1607">
        <f t="shared" si="105"/>
        <v>2</v>
      </c>
      <c r="G1607">
        <f t="shared" si="106"/>
        <v>2</v>
      </c>
      <c r="H1607">
        <f t="shared" si="107"/>
        <v>522</v>
      </c>
    </row>
    <row r="1608" spans="1:8" x14ac:dyDescent="0.55000000000000004">
      <c r="A1608" s="6">
        <v>1.388435877609139E+19</v>
      </c>
      <c r="B1608">
        <v>9</v>
      </c>
      <c r="C1608">
        <v>1</v>
      </c>
      <c r="D1608">
        <v>3000</v>
      </c>
      <c r="E1608">
        <f t="shared" si="104"/>
        <v>5</v>
      </c>
      <c r="F1608">
        <f t="shared" si="105"/>
        <v>1</v>
      </c>
      <c r="G1608">
        <f t="shared" si="106"/>
        <v>3</v>
      </c>
      <c r="H1608">
        <f t="shared" si="107"/>
        <v>513</v>
      </c>
    </row>
    <row r="1609" spans="1:8" x14ac:dyDescent="0.55000000000000004">
      <c r="A1609" s="6">
        <v>1.3886858499474489E+19</v>
      </c>
      <c r="B1609">
        <v>893</v>
      </c>
      <c r="C1609">
        <v>1</v>
      </c>
      <c r="D1609">
        <v>14100</v>
      </c>
      <c r="E1609">
        <f t="shared" si="104"/>
        <v>2</v>
      </c>
      <c r="F1609">
        <f t="shared" si="105"/>
        <v>1</v>
      </c>
      <c r="G1609">
        <f t="shared" si="106"/>
        <v>3</v>
      </c>
      <c r="H1609">
        <f t="shared" si="107"/>
        <v>213</v>
      </c>
    </row>
    <row r="1610" spans="1:8" x14ac:dyDescent="0.55000000000000004">
      <c r="A1610" s="6">
        <v>1.388693896766259E+19</v>
      </c>
      <c r="B1610">
        <v>733</v>
      </c>
      <c r="C1610">
        <v>1</v>
      </c>
      <c r="D1610">
        <v>890</v>
      </c>
      <c r="E1610">
        <f t="shared" si="104"/>
        <v>3</v>
      </c>
      <c r="F1610">
        <f t="shared" si="105"/>
        <v>1</v>
      </c>
      <c r="G1610">
        <f t="shared" si="106"/>
        <v>2</v>
      </c>
      <c r="H1610">
        <f t="shared" si="107"/>
        <v>312</v>
      </c>
    </row>
    <row r="1611" spans="1:8" x14ac:dyDescent="0.55000000000000004">
      <c r="A1611" s="6">
        <v>1.389027299754768E+19</v>
      </c>
      <c r="B1611">
        <v>46</v>
      </c>
      <c r="C1611">
        <v>2</v>
      </c>
      <c r="D1611">
        <v>18091</v>
      </c>
      <c r="E1611">
        <f t="shared" si="104"/>
        <v>5</v>
      </c>
      <c r="F1611">
        <f t="shared" si="105"/>
        <v>2</v>
      </c>
      <c r="G1611">
        <f t="shared" si="106"/>
        <v>3</v>
      </c>
      <c r="H1611">
        <f t="shared" si="107"/>
        <v>523</v>
      </c>
    </row>
    <row r="1612" spans="1:8" x14ac:dyDescent="0.55000000000000004">
      <c r="A1612" s="6">
        <v>1.3902923977509911E+19</v>
      </c>
      <c r="B1612">
        <v>1222</v>
      </c>
      <c r="C1612">
        <v>1</v>
      </c>
      <c r="D1612">
        <v>204</v>
      </c>
      <c r="E1612">
        <f t="shared" si="104"/>
        <v>1</v>
      </c>
      <c r="F1612">
        <f t="shared" si="105"/>
        <v>1</v>
      </c>
      <c r="G1612">
        <f t="shared" si="106"/>
        <v>1</v>
      </c>
      <c r="H1612">
        <f t="shared" si="107"/>
        <v>111</v>
      </c>
    </row>
    <row r="1613" spans="1:8" x14ac:dyDescent="0.55000000000000004">
      <c r="A1613" s="6">
        <v>1.3917480670769701E+19</v>
      </c>
      <c r="B1613">
        <v>1039</v>
      </c>
      <c r="C1613">
        <v>1</v>
      </c>
      <c r="D1613">
        <v>1554</v>
      </c>
      <c r="E1613">
        <f t="shared" si="104"/>
        <v>2</v>
      </c>
      <c r="F1613">
        <f t="shared" si="105"/>
        <v>1</v>
      </c>
      <c r="G1613">
        <f t="shared" si="106"/>
        <v>2</v>
      </c>
      <c r="H1613">
        <f t="shared" si="107"/>
        <v>212</v>
      </c>
    </row>
    <row r="1614" spans="1:8" x14ac:dyDescent="0.55000000000000004">
      <c r="A1614" s="6">
        <v>1.391907373968365E+19</v>
      </c>
      <c r="B1614">
        <v>171</v>
      </c>
      <c r="C1614">
        <v>3</v>
      </c>
      <c r="D1614">
        <v>1629</v>
      </c>
      <c r="E1614">
        <f t="shared" si="104"/>
        <v>5</v>
      </c>
      <c r="F1614">
        <f t="shared" si="105"/>
        <v>3</v>
      </c>
      <c r="G1614">
        <f t="shared" si="106"/>
        <v>2</v>
      </c>
      <c r="H1614">
        <f t="shared" si="107"/>
        <v>532</v>
      </c>
    </row>
    <row r="1615" spans="1:8" x14ac:dyDescent="0.55000000000000004">
      <c r="A1615" s="6">
        <v>1.3923104189276819E+19</v>
      </c>
      <c r="B1615">
        <v>709</v>
      </c>
      <c r="C1615">
        <v>2</v>
      </c>
      <c r="D1615">
        <v>1998</v>
      </c>
      <c r="E1615">
        <f t="shared" si="104"/>
        <v>3</v>
      </c>
      <c r="F1615">
        <f t="shared" si="105"/>
        <v>2</v>
      </c>
      <c r="G1615">
        <f t="shared" si="106"/>
        <v>2</v>
      </c>
      <c r="H1615">
        <f t="shared" si="107"/>
        <v>322</v>
      </c>
    </row>
    <row r="1616" spans="1:8" x14ac:dyDescent="0.55000000000000004">
      <c r="A1616" s="6">
        <v>1.3933325988243599E+19</v>
      </c>
      <c r="B1616">
        <v>194</v>
      </c>
      <c r="C1616">
        <v>1</v>
      </c>
      <c r="D1616">
        <v>2220</v>
      </c>
      <c r="E1616">
        <f t="shared" si="104"/>
        <v>5</v>
      </c>
      <c r="F1616">
        <f t="shared" si="105"/>
        <v>1</v>
      </c>
      <c r="G1616">
        <f t="shared" si="106"/>
        <v>2</v>
      </c>
      <c r="H1616">
        <f t="shared" si="107"/>
        <v>512</v>
      </c>
    </row>
    <row r="1617" spans="1:8" x14ac:dyDescent="0.55000000000000004">
      <c r="A1617" s="6">
        <v>1.3959446947295001E+19</v>
      </c>
      <c r="B1617">
        <v>954</v>
      </c>
      <c r="C1617">
        <v>1</v>
      </c>
      <c r="D1617">
        <v>183</v>
      </c>
      <c r="E1617">
        <f t="shared" si="104"/>
        <v>2</v>
      </c>
      <c r="F1617">
        <f t="shared" si="105"/>
        <v>1</v>
      </c>
      <c r="G1617">
        <f t="shared" si="106"/>
        <v>1</v>
      </c>
      <c r="H1617">
        <f t="shared" si="107"/>
        <v>211</v>
      </c>
    </row>
    <row r="1618" spans="1:8" x14ac:dyDescent="0.55000000000000004">
      <c r="A1618" s="6">
        <v>1.396796765978061E+19</v>
      </c>
      <c r="B1618">
        <v>968</v>
      </c>
      <c r="C1618">
        <v>1</v>
      </c>
      <c r="D1618">
        <v>2980</v>
      </c>
      <c r="E1618">
        <f t="shared" si="104"/>
        <v>2</v>
      </c>
      <c r="F1618">
        <f t="shared" si="105"/>
        <v>1</v>
      </c>
      <c r="G1618">
        <f t="shared" si="106"/>
        <v>3</v>
      </c>
      <c r="H1618">
        <f t="shared" si="107"/>
        <v>213</v>
      </c>
    </row>
    <row r="1619" spans="1:8" x14ac:dyDescent="0.55000000000000004">
      <c r="A1619" s="6">
        <v>1.3968261657304629E+19</v>
      </c>
      <c r="B1619">
        <v>248</v>
      </c>
      <c r="C1619">
        <v>1</v>
      </c>
      <c r="D1619">
        <v>3300</v>
      </c>
      <c r="E1619">
        <f t="shared" si="104"/>
        <v>5</v>
      </c>
      <c r="F1619">
        <f t="shared" si="105"/>
        <v>1</v>
      </c>
      <c r="G1619">
        <f t="shared" si="106"/>
        <v>3</v>
      </c>
      <c r="H1619">
        <f t="shared" si="107"/>
        <v>513</v>
      </c>
    </row>
    <row r="1620" spans="1:8" x14ac:dyDescent="0.55000000000000004">
      <c r="A1620" s="6">
        <v>1.3986200410925781E+19</v>
      </c>
      <c r="B1620">
        <v>1137</v>
      </c>
      <c r="C1620">
        <v>1</v>
      </c>
      <c r="D1620">
        <v>3651</v>
      </c>
      <c r="E1620">
        <f t="shared" si="104"/>
        <v>2</v>
      </c>
      <c r="F1620">
        <f t="shared" si="105"/>
        <v>1</v>
      </c>
      <c r="G1620">
        <f t="shared" si="106"/>
        <v>3</v>
      </c>
      <c r="H1620">
        <f t="shared" si="107"/>
        <v>213</v>
      </c>
    </row>
    <row r="1621" spans="1:8" x14ac:dyDescent="0.55000000000000004">
      <c r="A1621" s="6">
        <v>1.399913811220991E+19</v>
      </c>
      <c r="B1621">
        <v>246</v>
      </c>
      <c r="C1621">
        <v>1</v>
      </c>
      <c r="D1621">
        <v>836</v>
      </c>
      <c r="E1621">
        <f t="shared" si="104"/>
        <v>5</v>
      </c>
      <c r="F1621">
        <f t="shared" si="105"/>
        <v>1</v>
      </c>
      <c r="G1621">
        <f t="shared" si="106"/>
        <v>2</v>
      </c>
      <c r="H1621">
        <f t="shared" si="107"/>
        <v>512</v>
      </c>
    </row>
    <row r="1622" spans="1:8" x14ac:dyDescent="0.55000000000000004">
      <c r="A1622" s="6">
        <v>1.402318776737922E+19</v>
      </c>
      <c r="B1622">
        <v>955</v>
      </c>
      <c r="C1622">
        <v>1</v>
      </c>
      <c r="D1622">
        <v>5040</v>
      </c>
      <c r="E1622">
        <f t="shared" si="104"/>
        <v>2</v>
      </c>
      <c r="F1622">
        <f t="shared" si="105"/>
        <v>1</v>
      </c>
      <c r="G1622">
        <f t="shared" si="106"/>
        <v>3</v>
      </c>
      <c r="H1622">
        <f t="shared" si="107"/>
        <v>213</v>
      </c>
    </row>
    <row r="1623" spans="1:8" x14ac:dyDescent="0.55000000000000004">
      <c r="A1623" s="6">
        <v>1.4031811648580569E+19</v>
      </c>
      <c r="B1623">
        <v>219</v>
      </c>
      <c r="C1623">
        <v>2</v>
      </c>
      <c r="D1623">
        <v>532</v>
      </c>
      <c r="E1623">
        <f t="shared" si="104"/>
        <v>5</v>
      </c>
      <c r="F1623">
        <f t="shared" si="105"/>
        <v>2</v>
      </c>
      <c r="G1623">
        <f t="shared" si="106"/>
        <v>1</v>
      </c>
      <c r="H1623">
        <f t="shared" si="107"/>
        <v>521</v>
      </c>
    </row>
    <row r="1624" spans="1:8" x14ac:dyDescent="0.55000000000000004">
      <c r="A1624" s="6">
        <v>1.403440687456196E+19</v>
      </c>
      <c r="B1624">
        <v>1120</v>
      </c>
      <c r="C1624">
        <v>1</v>
      </c>
      <c r="D1624">
        <v>2677</v>
      </c>
      <c r="E1624">
        <f t="shared" si="104"/>
        <v>2</v>
      </c>
      <c r="F1624">
        <f t="shared" si="105"/>
        <v>1</v>
      </c>
      <c r="G1624">
        <f t="shared" si="106"/>
        <v>3</v>
      </c>
      <c r="H1624">
        <f t="shared" si="107"/>
        <v>213</v>
      </c>
    </row>
    <row r="1625" spans="1:8" x14ac:dyDescent="0.55000000000000004">
      <c r="A1625" s="6">
        <v>1.403560369874815E+19</v>
      </c>
      <c r="B1625">
        <v>772</v>
      </c>
      <c r="C1625">
        <v>1</v>
      </c>
      <c r="D1625">
        <v>459</v>
      </c>
      <c r="E1625">
        <f t="shared" si="104"/>
        <v>3</v>
      </c>
      <c r="F1625">
        <f t="shared" si="105"/>
        <v>1</v>
      </c>
      <c r="G1625">
        <f t="shared" si="106"/>
        <v>1</v>
      </c>
      <c r="H1625">
        <f t="shared" si="107"/>
        <v>311</v>
      </c>
    </row>
    <row r="1626" spans="1:8" x14ac:dyDescent="0.55000000000000004">
      <c r="A1626" s="6">
        <v>1.4036091491409091E+19</v>
      </c>
      <c r="B1626">
        <v>265</v>
      </c>
      <c r="C1626">
        <v>1</v>
      </c>
      <c r="D1626">
        <v>882</v>
      </c>
      <c r="E1626">
        <f t="shared" si="104"/>
        <v>5</v>
      </c>
      <c r="F1626">
        <f t="shared" si="105"/>
        <v>1</v>
      </c>
      <c r="G1626">
        <f t="shared" si="106"/>
        <v>2</v>
      </c>
      <c r="H1626">
        <f t="shared" si="107"/>
        <v>512</v>
      </c>
    </row>
    <row r="1627" spans="1:8" x14ac:dyDescent="0.55000000000000004">
      <c r="A1627" s="6">
        <v>1.4069268783842439E+19</v>
      </c>
      <c r="B1627">
        <v>557</v>
      </c>
      <c r="C1627">
        <v>1</v>
      </c>
      <c r="D1627">
        <v>106</v>
      </c>
      <c r="E1627">
        <f t="shared" si="104"/>
        <v>4</v>
      </c>
      <c r="F1627">
        <f t="shared" si="105"/>
        <v>1</v>
      </c>
      <c r="G1627">
        <f t="shared" si="106"/>
        <v>1</v>
      </c>
      <c r="H1627">
        <f t="shared" si="107"/>
        <v>411</v>
      </c>
    </row>
    <row r="1628" spans="1:8" x14ac:dyDescent="0.55000000000000004">
      <c r="A1628" s="6">
        <v>1.4100483328214159E+19</v>
      </c>
      <c r="B1628">
        <v>436</v>
      </c>
      <c r="C1628">
        <v>1</v>
      </c>
      <c r="D1628">
        <v>890</v>
      </c>
      <c r="E1628">
        <f t="shared" si="104"/>
        <v>4</v>
      </c>
      <c r="F1628">
        <f t="shared" si="105"/>
        <v>1</v>
      </c>
      <c r="G1628">
        <f t="shared" si="106"/>
        <v>2</v>
      </c>
      <c r="H1628">
        <f t="shared" si="107"/>
        <v>412</v>
      </c>
    </row>
    <row r="1629" spans="1:8" x14ac:dyDescent="0.55000000000000004">
      <c r="A1629" s="6">
        <v>1.411496331180091E+19</v>
      </c>
      <c r="B1629">
        <v>144</v>
      </c>
      <c r="C1629">
        <v>4</v>
      </c>
      <c r="D1629">
        <v>6012</v>
      </c>
      <c r="E1629">
        <f t="shared" si="104"/>
        <v>5</v>
      </c>
      <c r="F1629">
        <f t="shared" si="105"/>
        <v>3</v>
      </c>
      <c r="G1629">
        <f t="shared" si="106"/>
        <v>3</v>
      </c>
      <c r="H1629">
        <f t="shared" si="107"/>
        <v>533</v>
      </c>
    </row>
    <row r="1630" spans="1:8" x14ac:dyDescent="0.55000000000000004">
      <c r="A1630" s="6">
        <v>1.4121072702750349E+19</v>
      </c>
      <c r="B1630">
        <v>878</v>
      </c>
      <c r="C1630">
        <v>1</v>
      </c>
      <c r="D1630">
        <v>888</v>
      </c>
      <c r="E1630">
        <f t="shared" si="104"/>
        <v>2</v>
      </c>
      <c r="F1630">
        <f t="shared" si="105"/>
        <v>1</v>
      </c>
      <c r="G1630">
        <f t="shared" si="106"/>
        <v>2</v>
      </c>
      <c r="H1630">
        <f t="shared" si="107"/>
        <v>212</v>
      </c>
    </row>
    <row r="1631" spans="1:8" x14ac:dyDescent="0.55000000000000004">
      <c r="A1631" s="6">
        <v>1.412222505842285E+19</v>
      </c>
      <c r="B1631">
        <v>274</v>
      </c>
      <c r="C1631">
        <v>1</v>
      </c>
      <c r="D1631">
        <v>278</v>
      </c>
      <c r="E1631">
        <f t="shared" si="104"/>
        <v>5</v>
      </c>
      <c r="F1631">
        <f t="shared" si="105"/>
        <v>1</v>
      </c>
      <c r="G1631">
        <f t="shared" si="106"/>
        <v>1</v>
      </c>
      <c r="H1631">
        <f t="shared" si="107"/>
        <v>511</v>
      </c>
    </row>
    <row r="1632" spans="1:8" x14ac:dyDescent="0.55000000000000004">
      <c r="A1632" s="6">
        <v>1.4124490964674601E+19</v>
      </c>
      <c r="B1632">
        <v>524</v>
      </c>
      <c r="C1632">
        <v>2</v>
      </c>
      <c r="D1632">
        <v>12453</v>
      </c>
      <c r="E1632">
        <f t="shared" si="104"/>
        <v>4</v>
      </c>
      <c r="F1632">
        <f t="shared" si="105"/>
        <v>2</v>
      </c>
      <c r="G1632">
        <f t="shared" si="106"/>
        <v>3</v>
      </c>
      <c r="H1632">
        <f t="shared" si="107"/>
        <v>423</v>
      </c>
    </row>
    <row r="1633" spans="1:8" x14ac:dyDescent="0.55000000000000004">
      <c r="A1633" s="6">
        <v>1.4126825949175851E+19</v>
      </c>
      <c r="B1633">
        <v>246</v>
      </c>
      <c r="C1633">
        <v>4</v>
      </c>
      <c r="D1633">
        <v>1844</v>
      </c>
      <c r="E1633">
        <f t="shared" si="104"/>
        <v>5</v>
      </c>
      <c r="F1633">
        <f t="shared" si="105"/>
        <v>3</v>
      </c>
      <c r="G1633">
        <f t="shared" si="106"/>
        <v>2</v>
      </c>
      <c r="H1633">
        <f t="shared" si="107"/>
        <v>532</v>
      </c>
    </row>
    <row r="1634" spans="1:8" x14ac:dyDescent="0.55000000000000004">
      <c r="A1634" s="6">
        <v>1.415339156003328E+19</v>
      </c>
      <c r="B1634">
        <v>356</v>
      </c>
      <c r="C1634">
        <v>1</v>
      </c>
      <c r="D1634">
        <v>302</v>
      </c>
      <c r="E1634">
        <f t="shared" si="104"/>
        <v>4</v>
      </c>
      <c r="F1634">
        <f t="shared" si="105"/>
        <v>1</v>
      </c>
      <c r="G1634">
        <f t="shared" si="106"/>
        <v>1</v>
      </c>
      <c r="H1634">
        <f t="shared" si="107"/>
        <v>411</v>
      </c>
    </row>
    <row r="1635" spans="1:8" x14ac:dyDescent="0.55000000000000004">
      <c r="A1635" s="6">
        <v>1.416306776741248E+19</v>
      </c>
      <c r="B1635">
        <v>959</v>
      </c>
      <c r="C1635">
        <v>1</v>
      </c>
      <c r="D1635">
        <v>114</v>
      </c>
      <c r="E1635">
        <f t="shared" si="104"/>
        <v>2</v>
      </c>
      <c r="F1635">
        <f t="shared" si="105"/>
        <v>1</v>
      </c>
      <c r="G1635">
        <f t="shared" si="106"/>
        <v>1</v>
      </c>
      <c r="H1635">
        <f t="shared" si="107"/>
        <v>211</v>
      </c>
    </row>
    <row r="1636" spans="1:8" x14ac:dyDescent="0.55000000000000004">
      <c r="A1636" s="6">
        <v>1.41654505370513E+19</v>
      </c>
      <c r="B1636">
        <v>299</v>
      </c>
      <c r="C1636">
        <v>2</v>
      </c>
      <c r="D1636">
        <v>1205</v>
      </c>
      <c r="E1636">
        <f t="shared" si="104"/>
        <v>4</v>
      </c>
      <c r="F1636">
        <f t="shared" si="105"/>
        <v>2</v>
      </c>
      <c r="G1636">
        <f t="shared" si="106"/>
        <v>2</v>
      </c>
      <c r="H1636">
        <f t="shared" si="107"/>
        <v>422</v>
      </c>
    </row>
    <row r="1637" spans="1:8" x14ac:dyDescent="0.55000000000000004">
      <c r="A1637" s="6">
        <v>1.4172466943649589E+19</v>
      </c>
      <c r="B1637">
        <v>1000</v>
      </c>
      <c r="C1637">
        <v>1</v>
      </c>
      <c r="D1637">
        <v>229</v>
      </c>
      <c r="E1637">
        <f t="shared" si="104"/>
        <v>2</v>
      </c>
      <c r="F1637">
        <f t="shared" si="105"/>
        <v>1</v>
      </c>
      <c r="G1637">
        <f t="shared" si="106"/>
        <v>1</v>
      </c>
      <c r="H1637">
        <f t="shared" si="107"/>
        <v>211</v>
      </c>
    </row>
    <row r="1638" spans="1:8" x14ac:dyDescent="0.55000000000000004">
      <c r="A1638" s="6">
        <v>1.4175827160880599E+19</v>
      </c>
      <c r="B1638">
        <v>414</v>
      </c>
      <c r="C1638">
        <v>2</v>
      </c>
      <c r="D1638">
        <v>1837</v>
      </c>
      <c r="E1638">
        <f t="shared" si="104"/>
        <v>4</v>
      </c>
      <c r="F1638">
        <f t="shared" si="105"/>
        <v>2</v>
      </c>
      <c r="G1638">
        <f t="shared" si="106"/>
        <v>2</v>
      </c>
      <c r="H1638">
        <f t="shared" si="107"/>
        <v>422</v>
      </c>
    </row>
    <row r="1639" spans="1:8" x14ac:dyDescent="0.55000000000000004">
      <c r="A1639" s="6">
        <v>1.419073087257669E+19</v>
      </c>
      <c r="B1639">
        <v>124</v>
      </c>
      <c r="C1639">
        <v>1</v>
      </c>
      <c r="D1639">
        <v>337</v>
      </c>
      <c r="E1639">
        <f t="shared" si="104"/>
        <v>5</v>
      </c>
      <c r="F1639">
        <f t="shared" si="105"/>
        <v>1</v>
      </c>
      <c r="G1639">
        <f t="shared" si="106"/>
        <v>1</v>
      </c>
      <c r="H1639">
        <f t="shared" si="107"/>
        <v>511</v>
      </c>
    </row>
    <row r="1640" spans="1:8" x14ac:dyDescent="0.55000000000000004">
      <c r="A1640" s="6">
        <v>1.4209261969873701E+19</v>
      </c>
      <c r="B1640">
        <v>894</v>
      </c>
      <c r="C1640">
        <v>1</v>
      </c>
      <c r="D1640">
        <v>900</v>
      </c>
      <c r="E1640">
        <f t="shared" si="104"/>
        <v>2</v>
      </c>
      <c r="F1640">
        <f t="shared" si="105"/>
        <v>1</v>
      </c>
      <c r="G1640">
        <f t="shared" si="106"/>
        <v>2</v>
      </c>
      <c r="H1640">
        <f t="shared" si="107"/>
        <v>212</v>
      </c>
    </row>
    <row r="1641" spans="1:8" x14ac:dyDescent="0.55000000000000004">
      <c r="A1641" s="6">
        <v>1.421415178824958E+19</v>
      </c>
      <c r="B1641">
        <v>484</v>
      </c>
      <c r="C1641">
        <v>2</v>
      </c>
      <c r="D1641">
        <v>1603</v>
      </c>
      <c r="E1641">
        <f t="shared" si="104"/>
        <v>4</v>
      </c>
      <c r="F1641">
        <f t="shared" si="105"/>
        <v>2</v>
      </c>
      <c r="G1641">
        <f t="shared" si="106"/>
        <v>2</v>
      </c>
      <c r="H1641">
        <f t="shared" si="107"/>
        <v>422</v>
      </c>
    </row>
    <row r="1642" spans="1:8" x14ac:dyDescent="0.55000000000000004">
      <c r="A1642" s="6">
        <v>1.4216710582739651E+19</v>
      </c>
      <c r="B1642">
        <v>617</v>
      </c>
      <c r="C1642">
        <v>1</v>
      </c>
      <c r="D1642">
        <v>1689</v>
      </c>
      <c r="E1642">
        <f t="shared" si="104"/>
        <v>3</v>
      </c>
      <c r="F1642">
        <f t="shared" si="105"/>
        <v>1</v>
      </c>
      <c r="G1642">
        <f t="shared" si="106"/>
        <v>2</v>
      </c>
      <c r="H1642">
        <f t="shared" si="107"/>
        <v>312</v>
      </c>
    </row>
    <row r="1643" spans="1:8" x14ac:dyDescent="0.55000000000000004">
      <c r="A1643" s="6">
        <v>1.422979730041292E+19</v>
      </c>
      <c r="B1643">
        <v>469</v>
      </c>
      <c r="C1643">
        <v>1</v>
      </c>
      <c r="D1643">
        <v>160</v>
      </c>
      <c r="E1643">
        <f t="shared" si="104"/>
        <v>4</v>
      </c>
      <c r="F1643">
        <f t="shared" si="105"/>
        <v>1</v>
      </c>
      <c r="G1643">
        <f t="shared" si="106"/>
        <v>1</v>
      </c>
      <c r="H1643">
        <f t="shared" si="107"/>
        <v>411</v>
      </c>
    </row>
    <row r="1644" spans="1:8" x14ac:dyDescent="0.55000000000000004">
      <c r="A1644" s="6">
        <v>1.4240848945748619E+19</v>
      </c>
      <c r="B1644">
        <v>1138</v>
      </c>
      <c r="C1644">
        <v>1</v>
      </c>
      <c r="D1644">
        <v>89</v>
      </c>
      <c r="E1644">
        <f t="shared" si="104"/>
        <v>2</v>
      </c>
      <c r="F1644">
        <f t="shared" si="105"/>
        <v>1</v>
      </c>
      <c r="G1644">
        <f t="shared" si="106"/>
        <v>1</v>
      </c>
      <c r="H1644">
        <f t="shared" si="107"/>
        <v>211</v>
      </c>
    </row>
    <row r="1645" spans="1:8" x14ac:dyDescent="0.55000000000000004">
      <c r="A1645" s="6">
        <v>1.4248678608133429E+19</v>
      </c>
      <c r="B1645">
        <v>198</v>
      </c>
      <c r="C1645">
        <v>1</v>
      </c>
      <c r="D1645">
        <v>1990</v>
      </c>
      <c r="E1645">
        <f t="shared" si="104"/>
        <v>5</v>
      </c>
      <c r="F1645">
        <f t="shared" si="105"/>
        <v>1</v>
      </c>
      <c r="G1645">
        <f t="shared" si="106"/>
        <v>2</v>
      </c>
      <c r="H1645">
        <f t="shared" si="107"/>
        <v>512</v>
      </c>
    </row>
    <row r="1646" spans="1:8" x14ac:dyDescent="0.55000000000000004">
      <c r="A1646" s="6">
        <v>1.4262226225398641E+19</v>
      </c>
      <c r="B1646">
        <v>1215</v>
      </c>
      <c r="C1646">
        <v>1</v>
      </c>
      <c r="D1646">
        <v>3074</v>
      </c>
      <c r="E1646">
        <f t="shared" si="104"/>
        <v>1</v>
      </c>
      <c r="F1646">
        <f t="shared" si="105"/>
        <v>1</v>
      </c>
      <c r="G1646">
        <f t="shared" si="106"/>
        <v>3</v>
      </c>
      <c r="H1646">
        <f t="shared" si="107"/>
        <v>113</v>
      </c>
    </row>
    <row r="1647" spans="1:8" x14ac:dyDescent="0.55000000000000004">
      <c r="A1647" s="6">
        <v>1.4270329956896489E+19</v>
      </c>
      <c r="B1647">
        <v>161</v>
      </c>
      <c r="C1647">
        <v>1</v>
      </c>
      <c r="D1647">
        <v>863</v>
      </c>
      <c r="E1647">
        <f t="shared" si="104"/>
        <v>5</v>
      </c>
      <c r="F1647">
        <f t="shared" si="105"/>
        <v>1</v>
      </c>
      <c r="G1647">
        <f t="shared" si="106"/>
        <v>2</v>
      </c>
      <c r="H1647">
        <f t="shared" si="107"/>
        <v>512</v>
      </c>
    </row>
    <row r="1648" spans="1:8" x14ac:dyDescent="0.55000000000000004">
      <c r="A1648" s="6">
        <v>1.427428106630083E+19</v>
      </c>
      <c r="B1648">
        <v>751</v>
      </c>
      <c r="C1648">
        <v>1</v>
      </c>
      <c r="D1648">
        <v>3390</v>
      </c>
      <c r="E1648">
        <f t="shared" si="104"/>
        <v>3</v>
      </c>
      <c r="F1648">
        <f t="shared" si="105"/>
        <v>1</v>
      </c>
      <c r="G1648">
        <f t="shared" si="106"/>
        <v>3</v>
      </c>
      <c r="H1648">
        <f t="shared" si="107"/>
        <v>313</v>
      </c>
    </row>
    <row r="1649" spans="1:8" x14ac:dyDescent="0.55000000000000004">
      <c r="A1649" s="6">
        <v>1.4281018237799711E+19</v>
      </c>
      <c r="B1649">
        <v>735</v>
      </c>
      <c r="C1649">
        <v>1</v>
      </c>
      <c r="D1649">
        <v>789</v>
      </c>
      <c r="E1649">
        <f t="shared" si="104"/>
        <v>3</v>
      </c>
      <c r="F1649">
        <f t="shared" si="105"/>
        <v>1</v>
      </c>
      <c r="G1649">
        <f t="shared" si="106"/>
        <v>2</v>
      </c>
      <c r="H1649">
        <f t="shared" si="107"/>
        <v>312</v>
      </c>
    </row>
    <row r="1650" spans="1:8" x14ac:dyDescent="0.55000000000000004">
      <c r="A1650" s="6">
        <v>1.4292414189915501E+19</v>
      </c>
      <c r="B1650">
        <v>167</v>
      </c>
      <c r="C1650">
        <v>2</v>
      </c>
      <c r="D1650">
        <v>1272</v>
      </c>
      <c r="E1650">
        <f t="shared" si="104"/>
        <v>5</v>
      </c>
      <c r="F1650">
        <f t="shared" si="105"/>
        <v>2</v>
      </c>
      <c r="G1650">
        <f t="shared" si="106"/>
        <v>2</v>
      </c>
      <c r="H1650">
        <f t="shared" si="107"/>
        <v>522</v>
      </c>
    </row>
    <row r="1651" spans="1:8" x14ac:dyDescent="0.55000000000000004">
      <c r="A1651" s="6">
        <v>1.429900781615487E+19</v>
      </c>
      <c r="B1651">
        <v>1270</v>
      </c>
      <c r="C1651">
        <v>1</v>
      </c>
      <c r="D1651">
        <v>148</v>
      </c>
      <c r="E1651">
        <f t="shared" si="104"/>
        <v>1</v>
      </c>
      <c r="F1651">
        <f t="shared" si="105"/>
        <v>1</v>
      </c>
      <c r="G1651">
        <f t="shared" si="106"/>
        <v>1</v>
      </c>
      <c r="H1651">
        <f t="shared" si="107"/>
        <v>111</v>
      </c>
    </row>
    <row r="1652" spans="1:8" x14ac:dyDescent="0.55000000000000004">
      <c r="A1652" s="6">
        <v>1.430055800755106E+19</v>
      </c>
      <c r="B1652">
        <v>125</v>
      </c>
      <c r="C1652">
        <v>1</v>
      </c>
      <c r="D1652">
        <v>1064</v>
      </c>
      <c r="E1652">
        <f t="shared" si="104"/>
        <v>5</v>
      </c>
      <c r="F1652">
        <f t="shared" si="105"/>
        <v>1</v>
      </c>
      <c r="G1652">
        <f t="shared" si="106"/>
        <v>2</v>
      </c>
      <c r="H1652">
        <f t="shared" si="107"/>
        <v>512</v>
      </c>
    </row>
    <row r="1653" spans="1:8" x14ac:dyDescent="0.55000000000000004">
      <c r="A1653" s="6">
        <v>1.430480357151803E+19</v>
      </c>
      <c r="B1653">
        <v>683</v>
      </c>
      <c r="C1653">
        <v>1</v>
      </c>
      <c r="D1653">
        <v>633</v>
      </c>
      <c r="E1653">
        <f t="shared" si="104"/>
        <v>3</v>
      </c>
      <c r="F1653">
        <f t="shared" si="105"/>
        <v>1</v>
      </c>
      <c r="G1653">
        <f t="shared" si="106"/>
        <v>1</v>
      </c>
      <c r="H1653">
        <f t="shared" si="107"/>
        <v>311</v>
      </c>
    </row>
    <row r="1654" spans="1:8" x14ac:dyDescent="0.55000000000000004">
      <c r="A1654" s="6">
        <v>1.4310111291417111E+19</v>
      </c>
      <c r="B1654">
        <v>317</v>
      </c>
      <c r="C1654">
        <v>1</v>
      </c>
      <c r="D1654">
        <v>158</v>
      </c>
      <c r="E1654">
        <f t="shared" si="104"/>
        <v>4</v>
      </c>
      <c r="F1654">
        <f t="shared" si="105"/>
        <v>1</v>
      </c>
      <c r="G1654">
        <f t="shared" si="106"/>
        <v>1</v>
      </c>
      <c r="H1654">
        <f t="shared" si="107"/>
        <v>411</v>
      </c>
    </row>
    <row r="1655" spans="1:8" x14ac:dyDescent="0.55000000000000004">
      <c r="A1655" s="6">
        <v>1.4311714084248011E+19</v>
      </c>
      <c r="B1655">
        <v>477</v>
      </c>
      <c r="C1655">
        <v>2</v>
      </c>
      <c r="D1655">
        <v>4599</v>
      </c>
      <c r="E1655">
        <f t="shared" si="104"/>
        <v>4</v>
      </c>
      <c r="F1655">
        <f t="shared" si="105"/>
        <v>2</v>
      </c>
      <c r="G1655">
        <f t="shared" si="106"/>
        <v>3</v>
      </c>
      <c r="H1655">
        <f t="shared" si="107"/>
        <v>423</v>
      </c>
    </row>
    <row r="1656" spans="1:8" x14ac:dyDescent="0.55000000000000004">
      <c r="A1656" s="6">
        <v>1.4316968399317361E+19</v>
      </c>
      <c r="B1656">
        <v>107</v>
      </c>
      <c r="C1656">
        <v>2</v>
      </c>
      <c r="D1656">
        <v>3016</v>
      </c>
      <c r="E1656">
        <f t="shared" si="104"/>
        <v>5</v>
      </c>
      <c r="F1656">
        <f t="shared" si="105"/>
        <v>2</v>
      </c>
      <c r="G1656">
        <f t="shared" si="106"/>
        <v>3</v>
      </c>
      <c r="H1656">
        <f t="shared" si="107"/>
        <v>523</v>
      </c>
    </row>
    <row r="1657" spans="1:8" x14ac:dyDescent="0.55000000000000004">
      <c r="A1657" s="6">
        <v>1.432914045526222E+19</v>
      </c>
      <c r="B1657">
        <v>112</v>
      </c>
      <c r="C1657">
        <v>1</v>
      </c>
      <c r="D1657">
        <v>5035</v>
      </c>
      <c r="E1657">
        <f t="shared" si="104"/>
        <v>5</v>
      </c>
      <c r="F1657">
        <f t="shared" si="105"/>
        <v>1</v>
      </c>
      <c r="G1657">
        <f t="shared" si="106"/>
        <v>3</v>
      </c>
      <c r="H1657">
        <f t="shared" si="107"/>
        <v>513</v>
      </c>
    </row>
    <row r="1658" spans="1:8" x14ac:dyDescent="0.55000000000000004">
      <c r="A1658" s="6">
        <v>1.4349572201562089E+19</v>
      </c>
      <c r="B1658">
        <v>13</v>
      </c>
      <c r="C1658">
        <v>1</v>
      </c>
      <c r="D1658">
        <v>18400</v>
      </c>
      <c r="E1658">
        <f t="shared" si="104"/>
        <v>5</v>
      </c>
      <c r="F1658">
        <f t="shared" si="105"/>
        <v>1</v>
      </c>
      <c r="G1658">
        <f t="shared" si="106"/>
        <v>3</v>
      </c>
      <c r="H1658">
        <f t="shared" si="107"/>
        <v>513</v>
      </c>
    </row>
    <row r="1659" spans="1:8" x14ac:dyDescent="0.55000000000000004">
      <c r="A1659" s="6">
        <v>1.4358514523277611E+19</v>
      </c>
      <c r="B1659">
        <v>554</v>
      </c>
      <c r="C1659">
        <v>2</v>
      </c>
      <c r="D1659">
        <v>1423</v>
      </c>
      <c r="E1659">
        <f t="shared" si="104"/>
        <v>4</v>
      </c>
      <c r="F1659">
        <f t="shared" si="105"/>
        <v>2</v>
      </c>
      <c r="G1659">
        <f t="shared" si="106"/>
        <v>2</v>
      </c>
      <c r="H1659">
        <f t="shared" si="107"/>
        <v>422</v>
      </c>
    </row>
    <row r="1660" spans="1:8" x14ac:dyDescent="0.55000000000000004">
      <c r="A1660" s="6">
        <v>1.436989293562307E+19</v>
      </c>
      <c r="B1660">
        <v>361</v>
      </c>
      <c r="C1660">
        <v>1</v>
      </c>
      <c r="D1660">
        <v>504</v>
      </c>
      <c r="E1660">
        <f t="shared" si="104"/>
        <v>4</v>
      </c>
      <c r="F1660">
        <f t="shared" si="105"/>
        <v>1</v>
      </c>
      <c r="G1660">
        <f t="shared" si="106"/>
        <v>1</v>
      </c>
      <c r="H1660">
        <f t="shared" si="107"/>
        <v>411</v>
      </c>
    </row>
    <row r="1661" spans="1:8" x14ac:dyDescent="0.55000000000000004">
      <c r="A1661" s="6">
        <v>1.4375762660099E+19</v>
      </c>
      <c r="B1661">
        <v>19</v>
      </c>
      <c r="C1661">
        <v>2</v>
      </c>
      <c r="D1661">
        <v>2410</v>
      </c>
      <c r="E1661">
        <f t="shared" si="104"/>
        <v>5</v>
      </c>
      <c r="F1661">
        <f t="shared" si="105"/>
        <v>2</v>
      </c>
      <c r="G1661">
        <f t="shared" si="106"/>
        <v>3</v>
      </c>
      <c r="H1661">
        <f t="shared" si="107"/>
        <v>523</v>
      </c>
    </row>
    <row r="1662" spans="1:8" x14ac:dyDescent="0.55000000000000004">
      <c r="A1662" s="6">
        <v>1.4379473002426651E+19</v>
      </c>
      <c r="B1662">
        <v>391</v>
      </c>
      <c r="C1662">
        <v>2</v>
      </c>
      <c r="D1662">
        <v>336</v>
      </c>
      <c r="E1662">
        <f t="shared" si="104"/>
        <v>4</v>
      </c>
      <c r="F1662">
        <f t="shared" si="105"/>
        <v>2</v>
      </c>
      <c r="G1662">
        <f t="shared" si="106"/>
        <v>1</v>
      </c>
      <c r="H1662">
        <f t="shared" si="107"/>
        <v>421</v>
      </c>
    </row>
    <row r="1663" spans="1:8" x14ac:dyDescent="0.55000000000000004">
      <c r="A1663" s="6">
        <v>1.4384908371794829E+19</v>
      </c>
      <c r="B1663">
        <v>691</v>
      </c>
      <c r="C1663">
        <v>1</v>
      </c>
      <c r="D1663">
        <v>5130</v>
      </c>
      <c r="E1663">
        <f t="shared" si="104"/>
        <v>3</v>
      </c>
      <c r="F1663">
        <f t="shared" si="105"/>
        <v>1</v>
      </c>
      <c r="G1663">
        <f t="shared" si="106"/>
        <v>3</v>
      </c>
      <c r="H1663">
        <f t="shared" si="107"/>
        <v>313</v>
      </c>
    </row>
    <row r="1664" spans="1:8" x14ac:dyDescent="0.55000000000000004">
      <c r="A1664" s="6">
        <v>1.4386736385218251E+19</v>
      </c>
      <c r="B1664">
        <v>244</v>
      </c>
      <c r="C1664">
        <v>1</v>
      </c>
      <c r="D1664">
        <v>1800</v>
      </c>
      <c r="E1664">
        <f t="shared" si="104"/>
        <v>5</v>
      </c>
      <c r="F1664">
        <f t="shared" si="105"/>
        <v>1</v>
      </c>
      <c r="G1664">
        <f t="shared" si="106"/>
        <v>2</v>
      </c>
      <c r="H1664">
        <f t="shared" si="107"/>
        <v>512</v>
      </c>
    </row>
    <row r="1665" spans="1:8" x14ac:dyDescent="0.55000000000000004">
      <c r="A1665" s="6">
        <v>1.438948701201042E+19</v>
      </c>
      <c r="B1665">
        <v>81</v>
      </c>
      <c r="C1665">
        <v>2</v>
      </c>
      <c r="D1665">
        <v>9163</v>
      </c>
      <c r="E1665">
        <f t="shared" si="104"/>
        <v>5</v>
      </c>
      <c r="F1665">
        <f t="shared" si="105"/>
        <v>2</v>
      </c>
      <c r="G1665">
        <f t="shared" si="106"/>
        <v>3</v>
      </c>
      <c r="H1665">
        <f t="shared" si="107"/>
        <v>523</v>
      </c>
    </row>
    <row r="1666" spans="1:8" x14ac:dyDescent="0.55000000000000004">
      <c r="A1666" s="6">
        <v>1.4395855074982529E+19</v>
      </c>
      <c r="B1666">
        <v>892</v>
      </c>
      <c r="C1666">
        <v>2</v>
      </c>
      <c r="D1666">
        <v>1989</v>
      </c>
      <c r="E1666">
        <f t="shared" si="104"/>
        <v>2</v>
      </c>
      <c r="F1666">
        <f t="shared" si="105"/>
        <v>2</v>
      </c>
      <c r="G1666">
        <f t="shared" si="106"/>
        <v>2</v>
      </c>
      <c r="H1666">
        <f t="shared" si="107"/>
        <v>222</v>
      </c>
    </row>
    <row r="1667" spans="1:8" x14ac:dyDescent="0.55000000000000004">
      <c r="A1667" s="6">
        <v>1.4399118701500129E+19</v>
      </c>
      <c r="B1667">
        <v>1069</v>
      </c>
      <c r="C1667">
        <v>1</v>
      </c>
      <c r="D1667">
        <v>1657</v>
      </c>
      <c r="E1667">
        <f t="shared" ref="E1667:E1730" si="108">VLOOKUP(B1667,$K$5:$L$9,2,1)</f>
        <v>2</v>
      </c>
      <c r="F1667">
        <f t="shared" ref="F1667:F1730" si="109">VLOOKUP(C1667,$K$15:$L$17,2,1)</f>
        <v>1</v>
      </c>
      <c r="G1667">
        <f t="shared" ref="G1667:G1730" si="110">VLOOKUP(D1667,$K$24:$L$26,2,1)</f>
        <v>2</v>
      </c>
      <c r="H1667">
        <f t="shared" ref="H1667:H1730" si="111">E1667*100+F1667*10+G1667</f>
        <v>212</v>
      </c>
    </row>
    <row r="1668" spans="1:8" x14ac:dyDescent="0.55000000000000004">
      <c r="A1668" s="6">
        <v>1.439986715900904E+19</v>
      </c>
      <c r="B1668">
        <v>963</v>
      </c>
      <c r="C1668">
        <v>1</v>
      </c>
      <c r="D1668">
        <v>555</v>
      </c>
      <c r="E1668">
        <f t="shared" si="108"/>
        <v>2</v>
      </c>
      <c r="F1668">
        <f t="shared" si="109"/>
        <v>1</v>
      </c>
      <c r="G1668">
        <f t="shared" si="110"/>
        <v>1</v>
      </c>
      <c r="H1668">
        <f t="shared" si="111"/>
        <v>211</v>
      </c>
    </row>
    <row r="1669" spans="1:8" x14ac:dyDescent="0.55000000000000004">
      <c r="A1669" s="6">
        <v>1.440147008569516E+19</v>
      </c>
      <c r="B1669">
        <v>62</v>
      </c>
      <c r="C1669">
        <v>1</v>
      </c>
      <c r="D1669">
        <v>10494</v>
      </c>
      <c r="E1669">
        <f t="shared" si="108"/>
        <v>5</v>
      </c>
      <c r="F1669">
        <f t="shared" si="109"/>
        <v>1</v>
      </c>
      <c r="G1669">
        <f t="shared" si="110"/>
        <v>3</v>
      </c>
      <c r="H1669">
        <f t="shared" si="111"/>
        <v>513</v>
      </c>
    </row>
    <row r="1670" spans="1:8" x14ac:dyDescent="0.55000000000000004">
      <c r="A1670" s="6">
        <v>1.4416220990461239E+19</v>
      </c>
      <c r="B1670">
        <v>339</v>
      </c>
      <c r="C1670">
        <v>1</v>
      </c>
      <c r="D1670">
        <v>292</v>
      </c>
      <c r="E1670">
        <f t="shared" si="108"/>
        <v>4</v>
      </c>
      <c r="F1670">
        <f t="shared" si="109"/>
        <v>1</v>
      </c>
      <c r="G1670">
        <f t="shared" si="110"/>
        <v>1</v>
      </c>
      <c r="H1670">
        <f t="shared" si="111"/>
        <v>411</v>
      </c>
    </row>
    <row r="1671" spans="1:8" x14ac:dyDescent="0.55000000000000004">
      <c r="A1671" s="6">
        <v>1.442481422655403E+19</v>
      </c>
      <c r="B1671">
        <v>278</v>
      </c>
      <c r="C1671">
        <v>1</v>
      </c>
      <c r="D1671">
        <v>1839</v>
      </c>
      <c r="E1671">
        <f t="shared" si="108"/>
        <v>5</v>
      </c>
      <c r="F1671">
        <f t="shared" si="109"/>
        <v>1</v>
      </c>
      <c r="G1671">
        <f t="shared" si="110"/>
        <v>2</v>
      </c>
      <c r="H1671">
        <f t="shared" si="111"/>
        <v>512</v>
      </c>
    </row>
    <row r="1672" spans="1:8" x14ac:dyDescent="0.55000000000000004">
      <c r="A1672" s="6">
        <v>1.4430650406078761E+19</v>
      </c>
      <c r="B1672">
        <v>811</v>
      </c>
      <c r="C1672">
        <v>1</v>
      </c>
      <c r="D1672">
        <v>2106</v>
      </c>
      <c r="E1672">
        <f t="shared" si="108"/>
        <v>3</v>
      </c>
      <c r="F1672">
        <f t="shared" si="109"/>
        <v>1</v>
      </c>
      <c r="G1672">
        <f t="shared" si="110"/>
        <v>2</v>
      </c>
      <c r="H1672">
        <f t="shared" si="111"/>
        <v>312</v>
      </c>
    </row>
    <row r="1673" spans="1:8" x14ac:dyDescent="0.55000000000000004">
      <c r="A1673" s="6">
        <v>1.4456830229592809E+19</v>
      </c>
      <c r="B1673">
        <v>589</v>
      </c>
      <c r="C1673">
        <v>2</v>
      </c>
      <c r="D1673">
        <v>1735</v>
      </c>
      <c r="E1673">
        <f t="shared" si="108"/>
        <v>3</v>
      </c>
      <c r="F1673">
        <f t="shared" si="109"/>
        <v>2</v>
      </c>
      <c r="G1673">
        <f t="shared" si="110"/>
        <v>2</v>
      </c>
      <c r="H1673">
        <f t="shared" si="111"/>
        <v>322</v>
      </c>
    </row>
    <row r="1674" spans="1:8" x14ac:dyDescent="0.55000000000000004">
      <c r="A1674" s="6">
        <v>1.448136352667314E+19</v>
      </c>
      <c r="B1674">
        <v>339</v>
      </c>
      <c r="C1674">
        <v>1</v>
      </c>
      <c r="D1674">
        <v>1829</v>
      </c>
      <c r="E1674">
        <f t="shared" si="108"/>
        <v>4</v>
      </c>
      <c r="F1674">
        <f t="shared" si="109"/>
        <v>1</v>
      </c>
      <c r="G1674">
        <f t="shared" si="110"/>
        <v>2</v>
      </c>
      <c r="H1674">
        <f t="shared" si="111"/>
        <v>412</v>
      </c>
    </row>
    <row r="1675" spans="1:8" x14ac:dyDescent="0.55000000000000004">
      <c r="A1675" s="6">
        <v>1.448205111638603E+19</v>
      </c>
      <c r="B1675">
        <v>643</v>
      </c>
      <c r="C1675">
        <v>1</v>
      </c>
      <c r="D1675">
        <v>2634</v>
      </c>
      <c r="E1675">
        <f t="shared" si="108"/>
        <v>3</v>
      </c>
      <c r="F1675">
        <f t="shared" si="109"/>
        <v>1</v>
      </c>
      <c r="G1675">
        <f t="shared" si="110"/>
        <v>3</v>
      </c>
      <c r="H1675">
        <f t="shared" si="111"/>
        <v>313</v>
      </c>
    </row>
    <row r="1676" spans="1:8" x14ac:dyDescent="0.55000000000000004">
      <c r="A1676" s="6">
        <v>1.4494315031265849E+19</v>
      </c>
      <c r="B1676">
        <v>835</v>
      </c>
      <c r="C1676">
        <v>1</v>
      </c>
      <c r="D1676">
        <v>7887</v>
      </c>
      <c r="E1676">
        <f t="shared" si="108"/>
        <v>3</v>
      </c>
      <c r="F1676">
        <f t="shared" si="109"/>
        <v>1</v>
      </c>
      <c r="G1676">
        <f t="shared" si="110"/>
        <v>3</v>
      </c>
      <c r="H1676">
        <f t="shared" si="111"/>
        <v>313</v>
      </c>
    </row>
    <row r="1677" spans="1:8" x14ac:dyDescent="0.55000000000000004">
      <c r="A1677" s="6">
        <v>1.44972330194276E+19</v>
      </c>
      <c r="B1677">
        <v>186</v>
      </c>
      <c r="C1677">
        <v>1</v>
      </c>
      <c r="D1677">
        <v>2748</v>
      </c>
      <c r="E1677">
        <f t="shared" si="108"/>
        <v>5</v>
      </c>
      <c r="F1677">
        <f t="shared" si="109"/>
        <v>1</v>
      </c>
      <c r="G1677">
        <f t="shared" si="110"/>
        <v>3</v>
      </c>
      <c r="H1677">
        <f t="shared" si="111"/>
        <v>513</v>
      </c>
    </row>
    <row r="1678" spans="1:8" x14ac:dyDescent="0.55000000000000004">
      <c r="A1678" s="6">
        <v>1.4503463643584E+19</v>
      </c>
      <c r="B1678">
        <v>930</v>
      </c>
      <c r="C1678">
        <v>1</v>
      </c>
      <c r="D1678">
        <v>605</v>
      </c>
      <c r="E1678">
        <f t="shared" si="108"/>
        <v>2</v>
      </c>
      <c r="F1678">
        <f t="shared" si="109"/>
        <v>1</v>
      </c>
      <c r="G1678">
        <f t="shared" si="110"/>
        <v>1</v>
      </c>
      <c r="H1678">
        <f t="shared" si="111"/>
        <v>211</v>
      </c>
    </row>
    <row r="1679" spans="1:8" x14ac:dyDescent="0.55000000000000004">
      <c r="A1679" s="6">
        <v>1.4504158525317599E+19</v>
      </c>
      <c r="B1679">
        <v>523</v>
      </c>
      <c r="C1679">
        <v>1</v>
      </c>
      <c r="D1679">
        <v>4758</v>
      </c>
      <c r="E1679">
        <f t="shared" si="108"/>
        <v>4</v>
      </c>
      <c r="F1679">
        <f t="shared" si="109"/>
        <v>1</v>
      </c>
      <c r="G1679">
        <f t="shared" si="110"/>
        <v>3</v>
      </c>
      <c r="H1679">
        <f t="shared" si="111"/>
        <v>413</v>
      </c>
    </row>
    <row r="1680" spans="1:8" x14ac:dyDescent="0.55000000000000004">
      <c r="A1680" s="6">
        <v>1.4508580946377179E+19</v>
      </c>
      <c r="B1680">
        <v>261</v>
      </c>
      <c r="C1680">
        <v>1</v>
      </c>
      <c r="D1680">
        <v>855</v>
      </c>
      <c r="E1680">
        <f t="shared" si="108"/>
        <v>5</v>
      </c>
      <c r="F1680">
        <f t="shared" si="109"/>
        <v>1</v>
      </c>
      <c r="G1680">
        <f t="shared" si="110"/>
        <v>2</v>
      </c>
      <c r="H1680">
        <f t="shared" si="111"/>
        <v>512</v>
      </c>
    </row>
    <row r="1681" spans="1:8" x14ac:dyDescent="0.55000000000000004">
      <c r="A1681" s="6">
        <v>1.4510001291487109E+19</v>
      </c>
      <c r="B1681">
        <v>520</v>
      </c>
      <c r="C1681">
        <v>3</v>
      </c>
      <c r="D1681">
        <v>3846</v>
      </c>
      <c r="E1681">
        <f t="shared" si="108"/>
        <v>4</v>
      </c>
      <c r="F1681">
        <f t="shared" si="109"/>
        <v>3</v>
      </c>
      <c r="G1681">
        <f t="shared" si="110"/>
        <v>3</v>
      </c>
      <c r="H1681">
        <f t="shared" si="111"/>
        <v>433</v>
      </c>
    </row>
    <row r="1682" spans="1:8" x14ac:dyDescent="0.55000000000000004">
      <c r="A1682" s="6">
        <v>1.4517213028611961E+19</v>
      </c>
      <c r="B1682">
        <v>407</v>
      </c>
      <c r="C1682">
        <v>1</v>
      </c>
      <c r="D1682">
        <v>444</v>
      </c>
      <c r="E1682">
        <f t="shared" si="108"/>
        <v>4</v>
      </c>
      <c r="F1682">
        <f t="shared" si="109"/>
        <v>1</v>
      </c>
      <c r="G1682">
        <f t="shared" si="110"/>
        <v>1</v>
      </c>
      <c r="H1682">
        <f t="shared" si="111"/>
        <v>411</v>
      </c>
    </row>
    <row r="1683" spans="1:8" x14ac:dyDescent="0.55000000000000004">
      <c r="A1683" s="6">
        <v>1.4521807807988369E+19</v>
      </c>
      <c r="B1683">
        <v>196</v>
      </c>
      <c r="C1683">
        <v>1</v>
      </c>
      <c r="D1683">
        <v>5842</v>
      </c>
      <c r="E1683">
        <f t="shared" si="108"/>
        <v>5</v>
      </c>
      <c r="F1683">
        <f t="shared" si="109"/>
        <v>1</v>
      </c>
      <c r="G1683">
        <f t="shared" si="110"/>
        <v>3</v>
      </c>
      <c r="H1683">
        <f t="shared" si="111"/>
        <v>513</v>
      </c>
    </row>
    <row r="1684" spans="1:8" x14ac:dyDescent="0.55000000000000004">
      <c r="A1684" s="6">
        <v>1.4525817385845809E+19</v>
      </c>
      <c r="B1684">
        <v>62</v>
      </c>
      <c r="C1684">
        <v>2</v>
      </c>
      <c r="D1684">
        <v>217</v>
      </c>
      <c r="E1684">
        <f t="shared" si="108"/>
        <v>5</v>
      </c>
      <c r="F1684">
        <f t="shared" si="109"/>
        <v>2</v>
      </c>
      <c r="G1684">
        <f t="shared" si="110"/>
        <v>1</v>
      </c>
      <c r="H1684">
        <f t="shared" si="111"/>
        <v>521</v>
      </c>
    </row>
    <row r="1685" spans="1:8" x14ac:dyDescent="0.55000000000000004">
      <c r="A1685" s="6">
        <v>1.4545690347344841E+19</v>
      </c>
      <c r="B1685">
        <v>60</v>
      </c>
      <c r="C1685">
        <v>2</v>
      </c>
      <c r="D1685">
        <v>1469</v>
      </c>
      <c r="E1685">
        <f t="shared" si="108"/>
        <v>5</v>
      </c>
      <c r="F1685">
        <f t="shared" si="109"/>
        <v>2</v>
      </c>
      <c r="G1685">
        <f t="shared" si="110"/>
        <v>2</v>
      </c>
      <c r="H1685">
        <f t="shared" si="111"/>
        <v>522</v>
      </c>
    </row>
    <row r="1686" spans="1:8" x14ac:dyDescent="0.55000000000000004">
      <c r="A1686" s="6">
        <v>1.455987265867716E+19</v>
      </c>
      <c r="B1686">
        <v>740</v>
      </c>
      <c r="C1686">
        <v>1</v>
      </c>
      <c r="D1686">
        <v>8634</v>
      </c>
      <c r="E1686">
        <f t="shared" si="108"/>
        <v>3</v>
      </c>
      <c r="F1686">
        <f t="shared" si="109"/>
        <v>1</v>
      </c>
      <c r="G1686">
        <f t="shared" si="110"/>
        <v>3</v>
      </c>
      <c r="H1686">
        <f t="shared" si="111"/>
        <v>313</v>
      </c>
    </row>
    <row r="1687" spans="1:8" x14ac:dyDescent="0.55000000000000004">
      <c r="A1687" s="6">
        <v>1.4569383947858901E+19</v>
      </c>
      <c r="B1687">
        <v>691</v>
      </c>
      <c r="C1687">
        <v>1</v>
      </c>
      <c r="D1687">
        <v>597</v>
      </c>
      <c r="E1687">
        <f t="shared" si="108"/>
        <v>3</v>
      </c>
      <c r="F1687">
        <f t="shared" si="109"/>
        <v>1</v>
      </c>
      <c r="G1687">
        <f t="shared" si="110"/>
        <v>1</v>
      </c>
      <c r="H1687">
        <f t="shared" si="111"/>
        <v>311</v>
      </c>
    </row>
    <row r="1688" spans="1:8" x14ac:dyDescent="0.55000000000000004">
      <c r="A1688" s="6">
        <v>1.457219832459044E+19</v>
      </c>
      <c r="B1688">
        <v>634</v>
      </c>
      <c r="C1688">
        <v>2</v>
      </c>
      <c r="D1688">
        <v>7200</v>
      </c>
      <c r="E1688">
        <f t="shared" si="108"/>
        <v>3</v>
      </c>
      <c r="F1688">
        <f t="shared" si="109"/>
        <v>2</v>
      </c>
      <c r="G1688">
        <f t="shared" si="110"/>
        <v>3</v>
      </c>
      <c r="H1688">
        <f t="shared" si="111"/>
        <v>323</v>
      </c>
    </row>
    <row r="1689" spans="1:8" x14ac:dyDescent="0.55000000000000004">
      <c r="A1689" s="6">
        <v>1.4589760455791749E+19</v>
      </c>
      <c r="B1689">
        <v>723</v>
      </c>
      <c r="C1689">
        <v>1</v>
      </c>
      <c r="D1689">
        <v>1167</v>
      </c>
      <c r="E1689">
        <f t="shared" si="108"/>
        <v>3</v>
      </c>
      <c r="F1689">
        <f t="shared" si="109"/>
        <v>1</v>
      </c>
      <c r="G1689">
        <f t="shared" si="110"/>
        <v>2</v>
      </c>
      <c r="H1689">
        <f t="shared" si="111"/>
        <v>312</v>
      </c>
    </row>
    <row r="1690" spans="1:8" x14ac:dyDescent="0.55000000000000004">
      <c r="A1690" s="6">
        <v>1.4605535743231601E+19</v>
      </c>
      <c r="B1690">
        <v>631</v>
      </c>
      <c r="C1690">
        <v>2</v>
      </c>
      <c r="D1690">
        <v>710</v>
      </c>
      <c r="E1690">
        <f t="shared" si="108"/>
        <v>3</v>
      </c>
      <c r="F1690">
        <f t="shared" si="109"/>
        <v>2</v>
      </c>
      <c r="G1690">
        <f t="shared" si="110"/>
        <v>2</v>
      </c>
      <c r="H1690">
        <f t="shared" si="111"/>
        <v>322</v>
      </c>
    </row>
    <row r="1691" spans="1:8" x14ac:dyDescent="0.55000000000000004">
      <c r="A1691" s="6">
        <v>1.460620150996985E+19</v>
      </c>
      <c r="B1691">
        <v>670</v>
      </c>
      <c r="C1691">
        <v>2</v>
      </c>
      <c r="D1691">
        <v>6293</v>
      </c>
      <c r="E1691">
        <f t="shared" si="108"/>
        <v>3</v>
      </c>
      <c r="F1691">
        <f t="shared" si="109"/>
        <v>2</v>
      </c>
      <c r="G1691">
        <f t="shared" si="110"/>
        <v>3</v>
      </c>
      <c r="H1691">
        <f t="shared" si="111"/>
        <v>323</v>
      </c>
    </row>
    <row r="1692" spans="1:8" x14ac:dyDescent="0.55000000000000004">
      <c r="A1692" s="6">
        <v>1.461118260085745E+19</v>
      </c>
      <c r="B1692">
        <v>1141</v>
      </c>
      <c r="C1692">
        <v>1</v>
      </c>
      <c r="D1692">
        <v>1527</v>
      </c>
      <c r="E1692">
        <f t="shared" si="108"/>
        <v>2</v>
      </c>
      <c r="F1692">
        <f t="shared" si="109"/>
        <v>1</v>
      </c>
      <c r="G1692">
        <f t="shared" si="110"/>
        <v>2</v>
      </c>
      <c r="H1692">
        <f t="shared" si="111"/>
        <v>212</v>
      </c>
    </row>
    <row r="1693" spans="1:8" x14ac:dyDescent="0.55000000000000004">
      <c r="A1693" s="6">
        <v>1.4613603978610659E+19</v>
      </c>
      <c r="B1693">
        <v>365</v>
      </c>
      <c r="C1693">
        <v>3</v>
      </c>
      <c r="D1693">
        <v>2516</v>
      </c>
      <c r="E1693">
        <f t="shared" si="108"/>
        <v>4</v>
      </c>
      <c r="F1693">
        <f t="shared" si="109"/>
        <v>3</v>
      </c>
      <c r="G1693">
        <f t="shared" si="110"/>
        <v>3</v>
      </c>
      <c r="H1693">
        <f t="shared" si="111"/>
        <v>433</v>
      </c>
    </row>
    <row r="1694" spans="1:8" x14ac:dyDescent="0.55000000000000004">
      <c r="A1694" s="6">
        <v>1.463134652866695E+19</v>
      </c>
      <c r="B1694">
        <v>14</v>
      </c>
      <c r="C1694">
        <v>1</v>
      </c>
      <c r="D1694">
        <v>990</v>
      </c>
      <c r="E1694">
        <f t="shared" si="108"/>
        <v>5</v>
      </c>
      <c r="F1694">
        <f t="shared" si="109"/>
        <v>1</v>
      </c>
      <c r="G1694">
        <f t="shared" si="110"/>
        <v>2</v>
      </c>
      <c r="H1694">
        <f t="shared" si="111"/>
        <v>512</v>
      </c>
    </row>
    <row r="1695" spans="1:8" x14ac:dyDescent="0.55000000000000004">
      <c r="A1695" s="6">
        <v>1.468306835061665E+19</v>
      </c>
      <c r="B1695">
        <v>448</v>
      </c>
      <c r="C1695">
        <v>2</v>
      </c>
      <c r="D1695">
        <v>1114</v>
      </c>
      <c r="E1695">
        <f t="shared" si="108"/>
        <v>4</v>
      </c>
      <c r="F1695">
        <f t="shared" si="109"/>
        <v>2</v>
      </c>
      <c r="G1695">
        <f t="shared" si="110"/>
        <v>2</v>
      </c>
      <c r="H1695">
        <f t="shared" si="111"/>
        <v>422</v>
      </c>
    </row>
    <row r="1696" spans="1:8" x14ac:dyDescent="0.55000000000000004">
      <c r="A1696" s="6">
        <v>1.470200793210999E+19</v>
      </c>
      <c r="B1696">
        <v>614</v>
      </c>
      <c r="C1696">
        <v>1</v>
      </c>
      <c r="D1696">
        <v>38</v>
      </c>
      <c r="E1696">
        <f t="shared" si="108"/>
        <v>3</v>
      </c>
      <c r="F1696">
        <f t="shared" si="109"/>
        <v>1</v>
      </c>
      <c r="G1696">
        <f t="shared" si="110"/>
        <v>1</v>
      </c>
      <c r="H1696">
        <f t="shared" si="111"/>
        <v>311</v>
      </c>
    </row>
    <row r="1697" spans="1:8" x14ac:dyDescent="0.55000000000000004">
      <c r="A1697" s="6">
        <v>1.4703058494907261E+19</v>
      </c>
      <c r="B1697">
        <v>235</v>
      </c>
      <c r="C1697">
        <v>1</v>
      </c>
      <c r="D1697">
        <v>646</v>
      </c>
      <c r="E1697">
        <f t="shared" si="108"/>
        <v>5</v>
      </c>
      <c r="F1697">
        <f t="shared" si="109"/>
        <v>1</v>
      </c>
      <c r="G1697">
        <f t="shared" si="110"/>
        <v>1</v>
      </c>
      <c r="H1697">
        <f t="shared" si="111"/>
        <v>511</v>
      </c>
    </row>
    <row r="1698" spans="1:8" x14ac:dyDescent="0.55000000000000004">
      <c r="A1698" s="6">
        <v>1.4723412379073901E+19</v>
      </c>
      <c r="B1698">
        <v>106</v>
      </c>
      <c r="C1698">
        <v>2</v>
      </c>
      <c r="D1698">
        <v>931</v>
      </c>
      <c r="E1698">
        <f t="shared" si="108"/>
        <v>5</v>
      </c>
      <c r="F1698">
        <f t="shared" si="109"/>
        <v>2</v>
      </c>
      <c r="G1698">
        <f t="shared" si="110"/>
        <v>2</v>
      </c>
      <c r="H1698">
        <f t="shared" si="111"/>
        <v>522</v>
      </c>
    </row>
    <row r="1699" spans="1:8" x14ac:dyDescent="0.55000000000000004">
      <c r="A1699" s="6">
        <v>1.472802365632863E+19</v>
      </c>
      <c r="B1699">
        <v>732</v>
      </c>
      <c r="C1699">
        <v>1</v>
      </c>
      <c r="D1699">
        <v>594</v>
      </c>
      <c r="E1699">
        <f t="shared" si="108"/>
        <v>3</v>
      </c>
      <c r="F1699">
        <f t="shared" si="109"/>
        <v>1</v>
      </c>
      <c r="G1699">
        <f t="shared" si="110"/>
        <v>1</v>
      </c>
      <c r="H1699">
        <f t="shared" si="111"/>
        <v>311</v>
      </c>
    </row>
    <row r="1700" spans="1:8" x14ac:dyDescent="0.55000000000000004">
      <c r="A1700" s="6">
        <v>1.4729740907852411E+19</v>
      </c>
      <c r="B1700">
        <v>182</v>
      </c>
      <c r="C1700">
        <v>1</v>
      </c>
      <c r="D1700">
        <v>13024</v>
      </c>
      <c r="E1700">
        <f t="shared" si="108"/>
        <v>5</v>
      </c>
      <c r="F1700">
        <f t="shared" si="109"/>
        <v>1</v>
      </c>
      <c r="G1700">
        <f t="shared" si="110"/>
        <v>3</v>
      </c>
      <c r="H1700">
        <f t="shared" si="111"/>
        <v>513</v>
      </c>
    </row>
    <row r="1701" spans="1:8" x14ac:dyDescent="0.55000000000000004">
      <c r="A1701" s="6">
        <v>1.474417025059576E+19</v>
      </c>
      <c r="B1701">
        <v>967</v>
      </c>
      <c r="C1701">
        <v>1</v>
      </c>
      <c r="D1701">
        <v>413</v>
      </c>
      <c r="E1701">
        <f t="shared" si="108"/>
        <v>2</v>
      </c>
      <c r="F1701">
        <f t="shared" si="109"/>
        <v>1</v>
      </c>
      <c r="G1701">
        <f t="shared" si="110"/>
        <v>1</v>
      </c>
      <c r="H1701">
        <f t="shared" si="111"/>
        <v>211</v>
      </c>
    </row>
    <row r="1702" spans="1:8" x14ac:dyDescent="0.55000000000000004">
      <c r="A1702" s="6">
        <v>1.476654758115046E+19</v>
      </c>
      <c r="B1702">
        <v>1126</v>
      </c>
      <c r="C1702">
        <v>2</v>
      </c>
      <c r="D1702">
        <v>1994</v>
      </c>
      <c r="E1702">
        <f t="shared" si="108"/>
        <v>2</v>
      </c>
      <c r="F1702">
        <f t="shared" si="109"/>
        <v>2</v>
      </c>
      <c r="G1702">
        <f t="shared" si="110"/>
        <v>2</v>
      </c>
      <c r="H1702">
        <f t="shared" si="111"/>
        <v>222</v>
      </c>
    </row>
    <row r="1703" spans="1:8" x14ac:dyDescent="0.55000000000000004">
      <c r="A1703" s="6">
        <v>1.479239400317328E+19</v>
      </c>
      <c r="B1703">
        <v>158</v>
      </c>
      <c r="C1703">
        <v>1</v>
      </c>
      <c r="D1703">
        <v>8717</v>
      </c>
      <c r="E1703">
        <f t="shared" si="108"/>
        <v>5</v>
      </c>
      <c r="F1703">
        <f t="shared" si="109"/>
        <v>1</v>
      </c>
      <c r="G1703">
        <f t="shared" si="110"/>
        <v>3</v>
      </c>
      <c r="H1703">
        <f t="shared" si="111"/>
        <v>513</v>
      </c>
    </row>
    <row r="1704" spans="1:8" x14ac:dyDescent="0.55000000000000004">
      <c r="A1704" s="6">
        <v>1.479575150262513E+19</v>
      </c>
      <c r="B1704">
        <v>866</v>
      </c>
      <c r="C1704">
        <v>1</v>
      </c>
      <c r="D1704">
        <v>3263</v>
      </c>
      <c r="E1704">
        <f t="shared" si="108"/>
        <v>3</v>
      </c>
      <c r="F1704">
        <f t="shared" si="109"/>
        <v>1</v>
      </c>
      <c r="G1704">
        <f t="shared" si="110"/>
        <v>3</v>
      </c>
      <c r="H1704">
        <f t="shared" si="111"/>
        <v>313</v>
      </c>
    </row>
    <row r="1705" spans="1:8" x14ac:dyDescent="0.55000000000000004">
      <c r="A1705" s="6">
        <v>1.479679806587535E+19</v>
      </c>
      <c r="B1705">
        <v>740</v>
      </c>
      <c r="C1705">
        <v>2</v>
      </c>
      <c r="D1705">
        <v>5205</v>
      </c>
      <c r="E1705">
        <f t="shared" si="108"/>
        <v>3</v>
      </c>
      <c r="F1705">
        <f t="shared" si="109"/>
        <v>2</v>
      </c>
      <c r="G1705">
        <f t="shared" si="110"/>
        <v>3</v>
      </c>
      <c r="H1705">
        <f t="shared" si="111"/>
        <v>323</v>
      </c>
    </row>
    <row r="1706" spans="1:8" x14ac:dyDescent="0.55000000000000004">
      <c r="A1706" s="6">
        <v>1.4806822993018491E+19</v>
      </c>
      <c r="B1706">
        <v>222</v>
      </c>
      <c r="C1706">
        <v>1</v>
      </c>
      <c r="D1706">
        <v>821</v>
      </c>
      <c r="E1706">
        <f t="shared" si="108"/>
        <v>5</v>
      </c>
      <c r="F1706">
        <f t="shared" si="109"/>
        <v>1</v>
      </c>
      <c r="G1706">
        <f t="shared" si="110"/>
        <v>2</v>
      </c>
      <c r="H1706">
        <f t="shared" si="111"/>
        <v>512</v>
      </c>
    </row>
    <row r="1707" spans="1:8" x14ac:dyDescent="0.55000000000000004">
      <c r="A1707" s="6">
        <v>1.481483603206348E+19</v>
      </c>
      <c r="B1707">
        <v>198</v>
      </c>
      <c r="C1707">
        <v>1</v>
      </c>
      <c r="D1707">
        <v>810</v>
      </c>
      <c r="E1707">
        <f t="shared" si="108"/>
        <v>5</v>
      </c>
      <c r="F1707">
        <f t="shared" si="109"/>
        <v>1</v>
      </c>
      <c r="G1707">
        <f t="shared" si="110"/>
        <v>2</v>
      </c>
      <c r="H1707">
        <f t="shared" si="111"/>
        <v>512</v>
      </c>
    </row>
    <row r="1708" spans="1:8" x14ac:dyDescent="0.55000000000000004">
      <c r="A1708" s="6">
        <v>1.484602512822185E+19</v>
      </c>
      <c r="B1708">
        <v>550</v>
      </c>
      <c r="C1708">
        <v>1</v>
      </c>
      <c r="D1708">
        <v>1320</v>
      </c>
      <c r="E1708">
        <f t="shared" si="108"/>
        <v>4</v>
      </c>
      <c r="F1708">
        <f t="shared" si="109"/>
        <v>1</v>
      </c>
      <c r="G1708">
        <f t="shared" si="110"/>
        <v>2</v>
      </c>
      <c r="H1708">
        <f t="shared" si="111"/>
        <v>412</v>
      </c>
    </row>
    <row r="1709" spans="1:8" x14ac:dyDescent="0.55000000000000004">
      <c r="A1709" s="6">
        <v>1.484930902900709E+19</v>
      </c>
      <c r="B1709">
        <v>803</v>
      </c>
      <c r="C1709">
        <v>1</v>
      </c>
      <c r="D1709">
        <v>522</v>
      </c>
      <c r="E1709">
        <f t="shared" si="108"/>
        <v>3</v>
      </c>
      <c r="F1709">
        <f t="shared" si="109"/>
        <v>1</v>
      </c>
      <c r="G1709">
        <f t="shared" si="110"/>
        <v>1</v>
      </c>
      <c r="H1709">
        <f t="shared" si="111"/>
        <v>311</v>
      </c>
    </row>
    <row r="1710" spans="1:8" x14ac:dyDescent="0.55000000000000004">
      <c r="A1710" s="6">
        <v>1.485106620758382E+19</v>
      </c>
      <c r="B1710">
        <v>1046</v>
      </c>
      <c r="C1710">
        <v>1</v>
      </c>
      <c r="D1710">
        <v>990</v>
      </c>
      <c r="E1710">
        <f t="shared" si="108"/>
        <v>2</v>
      </c>
      <c r="F1710">
        <f t="shared" si="109"/>
        <v>1</v>
      </c>
      <c r="G1710">
        <f t="shared" si="110"/>
        <v>2</v>
      </c>
      <c r="H1710">
        <f t="shared" si="111"/>
        <v>212</v>
      </c>
    </row>
    <row r="1711" spans="1:8" x14ac:dyDescent="0.55000000000000004">
      <c r="A1711" s="6">
        <v>1.4861461294758699E+19</v>
      </c>
      <c r="B1711">
        <v>865</v>
      </c>
      <c r="C1711">
        <v>2</v>
      </c>
      <c r="D1711">
        <v>2286</v>
      </c>
      <c r="E1711">
        <f t="shared" si="108"/>
        <v>3</v>
      </c>
      <c r="F1711">
        <f t="shared" si="109"/>
        <v>2</v>
      </c>
      <c r="G1711">
        <f t="shared" si="110"/>
        <v>3</v>
      </c>
      <c r="H1711">
        <f t="shared" si="111"/>
        <v>323</v>
      </c>
    </row>
    <row r="1712" spans="1:8" x14ac:dyDescent="0.55000000000000004">
      <c r="A1712" s="6">
        <v>1.486762239790227E+19</v>
      </c>
      <c r="B1712">
        <v>195</v>
      </c>
      <c r="C1712">
        <v>1</v>
      </c>
      <c r="D1712">
        <v>1048</v>
      </c>
      <c r="E1712">
        <f t="shared" si="108"/>
        <v>5</v>
      </c>
      <c r="F1712">
        <f t="shared" si="109"/>
        <v>1</v>
      </c>
      <c r="G1712">
        <f t="shared" si="110"/>
        <v>2</v>
      </c>
      <c r="H1712">
        <f t="shared" si="111"/>
        <v>512</v>
      </c>
    </row>
    <row r="1713" spans="1:8" x14ac:dyDescent="0.55000000000000004">
      <c r="A1713" s="6">
        <v>1.488874848366293E+19</v>
      </c>
      <c r="B1713">
        <v>497</v>
      </c>
      <c r="C1713">
        <v>1</v>
      </c>
      <c r="D1713">
        <v>349</v>
      </c>
      <c r="E1713">
        <f t="shared" si="108"/>
        <v>4</v>
      </c>
      <c r="F1713">
        <f t="shared" si="109"/>
        <v>1</v>
      </c>
      <c r="G1713">
        <f t="shared" si="110"/>
        <v>1</v>
      </c>
      <c r="H1713">
        <f t="shared" si="111"/>
        <v>411</v>
      </c>
    </row>
    <row r="1714" spans="1:8" x14ac:dyDescent="0.55000000000000004">
      <c r="A1714" s="6">
        <v>1.492838032545466E+19</v>
      </c>
      <c r="B1714">
        <v>358</v>
      </c>
      <c r="C1714">
        <v>1</v>
      </c>
      <c r="D1714">
        <v>29</v>
      </c>
      <c r="E1714">
        <f t="shared" si="108"/>
        <v>4</v>
      </c>
      <c r="F1714">
        <f t="shared" si="109"/>
        <v>1</v>
      </c>
      <c r="G1714">
        <f t="shared" si="110"/>
        <v>1</v>
      </c>
      <c r="H1714">
        <f t="shared" si="111"/>
        <v>411</v>
      </c>
    </row>
    <row r="1715" spans="1:8" x14ac:dyDescent="0.55000000000000004">
      <c r="A1715" s="6">
        <v>1.493495880360328E+19</v>
      </c>
      <c r="B1715">
        <v>1174</v>
      </c>
      <c r="C1715">
        <v>1</v>
      </c>
      <c r="D1715">
        <v>39</v>
      </c>
      <c r="E1715">
        <f t="shared" si="108"/>
        <v>1</v>
      </c>
      <c r="F1715">
        <f t="shared" si="109"/>
        <v>1</v>
      </c>
      <c r="G1715">
        <f t="shared" si="110"/>
        <v>1</v>
      </c>
      <c r="H1715">
        <f t="shared" si="111"/>
        <v>111</v>
      </c>
    </row>
    <row r="1716" spans="1:8" x14ac:dyDescent="0.55000000000000004">
      <c r="A1716" s="6">
        <v>1.4935171356186991E+19</v>
      </c>
      <c r="B1716">
        <v>40</v>
      </c>
      <c r="C1716">
        <v>2</v>
      </c>
      <c r="D1716">
        <v>8308</v>
      </c>
      <c r="E1716">
        <f t="shared" si="108"/>
        <v>5</v>
      </c>
      <c r="F1716">
        <f t="shared" si="109"/>
        <v>2</v>
      </c>
      <c r="G1716">
        <f t="shared" si="110"/>
        <v>3</v>
      </c>
      <c r="H1716">
        <f t="shared" si="111"/>
        <v>523</v>
      </c>
    </row>
    <row r="1717" spans="1:8" x14ac:dyDescent="0.55000000000000004">
      <c r="A1717" s="6">
        <v>1.4936326659362959E+19</v>
      </c>
      <c r="B1717">
        <v>18</v>
      </c>
      <c r="C1717">
        <v>2</v>
      </c>
      <c r="D1717">
        <v>3401</v>
      </c>
      <c r="E1717">
        <f t="shared" si="108"/>
        <v>5</v>
      </c>
      <c r="F1717">
        <f t="shared" si="109"/>
        <v>2</v>
      </c>
      <c r="G1717">
        <f t="shared" si="110"/>
        <v>3</v>
      </c>
      <c r="H1717">
        <f t="shared" si="111"/>
        <v>523</v>
      </c>
    </row>
    <row r="1718" spans="1:8" x14ac:dyDescent="0.55000000000000004">
      <c r="A1718" s="6">
        <v>1.4940908673437481E+19</v>
      </c>
      <c r="B1718">
        <v>207</v>
      </c>
      <c r="C1718">
        <v>1</v>
      </c>
      <c r="D1718">
        <v>5640</v>
      </c>
      <c r="E1718">
        <f t="shared" si="108"/>
        <v>5</v>
      </c>
      <c r="F1718">
        <f t="shared" si="109"/>
        <v>1</v>
      </c>
      <c r="G1718">
        <f t="shared" si="110"/>
        <v>3</v>
      </c>
      <c r="H1718">
        <f t="shared" si="111"/>
        <v>513</v>
      </c>
    </row>
    <row r="1719" spans="1:8" x14ac:dyDescent="0.55000000000000004">
      <c r="A1719" s="6">
        <v>1.494118160307739E+19</v>
      </c>
      <c r="B1719">
        <v>197</v>
      </c>
      <c r="C1719">
        <v>2</v>
      </c>
      <c r="D1719">
        <v>2500</v>
      </c>
      <c r="E1719">
        <f t="shared" si="108"/>
        <v>5</v>
      </c>
      <c r="F1719">
        <f t="shared" si="109"/>
        <v>2</v>
      </c>
      <c r="G1719">
        <f t="shared" si="110"/>
        <v>3</v>
      </c>
      <c r="H1719">
        <f t="shared" si="111"/>
        <v>523</v>
      </c>
    </row>
    <row r="1720" spans="1:8" x14ac:dyDescent="0.55000000000000004">
      <c r="A1720" s="6">
        <v>1.4951728837891899E+19</v>
      </c>
      <c r="B1720">
        <v>475</v>
      </c>
      <c r="C1720">
        <v>1</v>
      </c>
      <c r="D1720">
        <v>399</v>
      </c>
      <c r="E1720">
        <f t="shared" si="108"/>
        <v>4</v>
      </c>
      <c r="F1720">
        <f t="shared" si="109"/>
        <v>1</v>
      </c>
      <c r="G1720">
        <f t="shared" si="110"/>
        <v>1</v>
      </c>
      <c r="H1720">
        <f t="shared" si="111"/>
        <v>411</v>
      </c>
    </row>
    <row r="1721" spans="1:8" x14ac:dyDescent="0.55000000000000004">
      <c r="A1721" s="6">
        <v>1.495837480485929E+19</v>
      </c>
      <c r="B1721">
        <v>215</v>
      </c>
      <c r="C1721">
        <v>1</v>
      </c>
      <c r="D1721">
        <v>11388</v>
      </c>
      <c r="E1721">
        <f t="shared" si="108"/>
        <v>5</v>
      </c>
      <c r="F1721">
        <f t="shared" si="109"/>
        <v>1</v>
      </c>
      <c r="G1721">
        <f t="shared" si="110"/>
        <v>3</v>
      </c>
      <c r="H1721">
        <f t="shared" si="111"/>
        <v>513</v>
      </c>
    </row>
    <row r="1722" spans="1:8" x14ac:dyDescent="0.55000000000000004">
      <c r="A1722" s="6">
        <v>1.495907029826509E+19</v>
      </c>
      <c r="B1722">
        <v>85</v>
      </c>
      <c r="C1722">
        <v>2</v>
      </c>
      <c r="D1722">
        <v>3297</v>
      </c>
      <c r="E1722">
        <f t="shared" si="108"/>
        <v>5</v>
      </c>
      <c r="F1722">
        <f t="shared" si="109"/>
        <v>2</v>
      </c>
      <c r="G1722">
        <f t="shared" si="110"/>
        <v>3</v>
      </c>
      <c r="H1722">
        <f t="shared" si="111"/>
        <v>523</v>
      </c>
    </row>
    <row r="1723" spans="1:8" x14ac:dyDescent="0.55000000000000004">
      <c r="A1723" s="6">
        <v>1.49593763185252E+19</v>
      </c>
      <c r="B1723">
        <v>738</v>
      </c>
      <c r="C1723">
        <v>2</v>
      </c>
      <c r="D1723">
        <v>2043</v>
      </c>
      <c r="E1723">
        <f t="shared" si="108"/>
        <v>3</v>
      </c>
      <c r="F1723">
        <f t="shared" si="109"/>
        <v>2</v>
      </c>
      <c r="G1723">
        <f t="shared" si="110"/>
        <v>2</v>
      </c>
      <c r="H1723">
        <f t="shared" si="111"/>
        <v>322</v>
      </c>
    </row>
    <row r="1724" spans="1:8" x14ac:dyDescent="0.55000000000000004">
      <c r="A1724" s="6">
        <v>1.495961101144532E+19</v>
      </c>
      <c r="B1724">
        <v>239</v>
      </c>
      <c r="C1724">
        <v>2</v>
      </c>
      <c r="D1724">
        <v>5104</v>
      </c>
      <c r="E1724">
        <f t="shared" si="108"/>
        <v>5</v>
      </c>
      <c r="F1724">
        <f t="shared" si="109"/>
        <v>2</v>
      </c>
      <c r="G1724">
        <f t="shared" si="110"/>
        <v>3</v>
      </c>
      <c r="H1724">
        <f t="shared" si="111"/>
        <v>523</v>
      </c>
    </row>
    <row r="1725" spans="1:8" x14ac:dyDescent="0.55000000000000004">
      <c r="A1725" s="6">
        <v>1.4961346208182901E+19</v>
      </c>
      <c r="B1725">
        <v>72</v>
      </c>
      <c r="C1725">
        <v>3</v>
      </c>
      <c r="D1725">
        <v>2365</v>
      </c>
      <c r="E1725">
        <f t="shared" si="108"/>
        <v>5</v>
      </c>
      <c r="F1725">
        <f t="shared" si="109"/>
        <v>3</v>
      </c>
      <c r="G1725">
        <f t="shared" si="110"/>
        <v>3</v>
      </c>
      <c r="H1725">
        <f t="shared" si="111"/>
        <v>533</v>
      </c>
    </row>
    <row r="1726" spans="1:8" x14ac:dyDescent="0.55000000000000004">
      <c r="A1726" s="6">
        <v>1.496262353610864E+19</v>
      </c>
      <c r="B1726">
        <v>1322</v>
      </c>
      <c r="C1726">
        <v>1</v>
      </c>
      <c r="D1726">
        <v>870</v>
      </c>
      <c r="E1726">
        <f t="shared" si="108"/>
        <v>1</v>
      </c>
      <c r="F1726">
        <f t="shared" si="109"/>
        <v>1</v>
      </c>
      <c r="G1726">
        <f t="shared" si="110"/>
        <v>2</v>
      </c>
      <c r="H1726">
        <f t="shared" si="111"/>
        <v>112</v>
      </c>
    </row>
    <row r="1727" spans="1:8" x14ac:dyDescent="0.55000000000000004">
      <c r="A1727" s="6">
        <v>1.496928590559763E+19</v>
      </c>
      <c r="B1727">
        <v>240</v>
      </c>
      <c r="C1727">
        <v>3</v>
      </c>
      <c r="D1727">
        <v>2416</v>
      </c>
      <c r="E1727">
        <f t="shared" si="108"/>
        <v>5</v>
      </c>
      <c r="F1727">
        <f t="shared" si="109"/>
        <v>3</v>
      </c>
      <c r="G1727">
        <f t="shared" si="110"/>
        <v>3</v>
      </c>
      <c r="H1727">
        <f t="shared" si="111"/>
        <v>533</v>
      </c>
    </row>
    <row r="1728" spans="1:8" x14ac:dyDescent="0.55000000000000004">
      <c r="A1728" s="6">
        <v>1.4979851670315909E+19</v>
      </c>
      <c r="B1728">
        <v>308</v>
      </c>
      <c r="C1728">
        <v>1</v>
      </c>
      <c r="D1728">
        <v>229</v>
      </c>
      <c r="E1728">
        <f t="shared" si="108"/>
        <v>4</v>
      </c>
      <c r="F1728">
        <f t="shared" si="109"/>
        <v>1</v>
      </c>
      <c r="G1728">
        <f t="shared" si="110"/>
        <v>1</v>
      </c>
      <c r="H1728">
        <f t="shared" si="111"/>
        <v>411</v>
      </c>
    </row>
    <row r="1729" spans="1:8" x14ac:dyDescent="0.55000000000000004">
      <c r="A1729" s="6">
        <v>1.498780301633416E+19</v>
      </c>
      <c r="B1729">
        <v>227</v>
      </c>
      <c r="C1729">
        <v>1</v>
      </c>
      <c r="D1729">
        <v>1422</v>
      </c>
      <c r="E1729">
        <f t="shared" si="108"/>
        <v>5</v>
      </c>
      <c r="F1729">
        <f t="shared" si="109"/>
        <v>1</v>
      </c>
      <c r="G1729">
        <f t="shared" si="110"/>
        <v>2</v>
      </c>
      <c r="H1729">
        <f t="shared" si="111"/>
        <v>512</v>
      </c>
    </row>
    <row r="1730" spans="1:8" x14ac:dyDescent="0.55000000000000004">
      <c r="A1730" s="6">
        <v>1.4996253730294829E+19</v>
      </c>
      <c r="B1730">
        <v>521</v>
      </c>
      <c r="C1730">
        <v>1</v>
      </c>
      <c r="D1730">
        <v>2514</v>
      </c>
      <c r="E1730">
        <f t="shared" si="108"/>
        <v>4</v>
      </c>
      <c r="F1730">
        <f t="shared" si="109"/>
        <v>1</v>
      </c>
      <c r="G1730">
        <f t="shared" si="110"/>
        <v>3</v>
      </c>
      <c r="H1730">
        <f t="shared" si="111"/>
        <v>413</v>
      </c>
    </row>
    <row r="1731" spans="1:8" x14ac:dyDescent="0.55000000000000004">
      <c r="A1731" s="6">
        <v>1.499652581721549E+19</v>
      </c>
      <c r="B1731">
        <v>125</v>
      </c>
      <c r="C1731">
        <v>2</v>
      </c>
      <c r="D1731">
        <v>2109</v>
      </c>
      <c r="E1731">
        <f t="shared" ref="E1731:E1794" si="112">VLOOKUP(B1731,$K$5:$L$9,2,1)</f>
        <v>5</v>
      </c>
      <c r="F1731">
        <f t="shared" ref="F1731:F1794" si="113">VLOOKUP(C1731,$K$15:$L$17,2,1)</f>
        <v>2</v>
      </c>
      <c r="G1731">
        <f t="shared" ref="G1731:G1794" si="114">VLOOKUP(D1731,$K$24:$L$26,2,1)</f>
        <v>2</v>
      </c>
      <c r="H1731">
        <f t="shared" ref="H1731:H1794" si="115">E1731*100+F1731*10+G1731</f>
        <v>522</v>
      </c>
    </row>
    <row r="1732" spans="1:8" x14ac:dyDescent="0.55000000000000004">
      <c r="A1732" s="6">
        <v>1.5017793853101789E+19</v>
      </c>
      <c r="B1732">
        <v>383</v>
      </c>
      <c r="C1732">
        <v>2</v>
      </c>
      <c r="D1732">
        <v>958</v>
      </c>
      <c r="E1732">
        <f t="shared" si="112"/>
        <v>4</v>
      </c>
      <c r="F1732">
        <f t="shared" si="113"/>
        <v>2</v>
      </c>
      <c r="G1732">
        <f t="shared" si="114"/>
        <v>2</v>
      </c>
      <c r="H1732">
        <f t="shared" si="115"/>
        <v>422</v>
      </c>
    </row>
    <row r="1733" spans="1:8" x14ac:dyDescent="0.55000000000000004">
      <c r="A1733" s="6">
        <v>1.502500369017592E+19</v>
      </c>
      <c r="B1733">
        <v>602</v>
      </c>
      <c r="C1733">
        <v>2</v>
      </c>
      <c r="D1733">
        <v>1717</v>
      </c>
      <c r="E1733">
        <f t="shared" si="112"/>
        <v>3</v>
      </c>
      <c r="F1733">
        <f t="shared" si="113"/>
        <v>2</v>
      </c>
      <c r="G1733">
        <f t="shared" si="114"/>
        <v>2</v>
      </c>
      <c r="H1733">
        <f t="shared" si="115"/>
        <v>322</v>
      </c>
    </row>
    <row r="1734" spans="1:8" x14ac:dyDescent="0.55000000000000004">
      <c r="A1734" s="6">
        <v>1.5032394334348169E+19</v>
      </c>
      <c r="B1734">
        <v>255</v>
      </c>
      <c r="C1734">
        <v>1</v>
      </c>
      <c r="D1734">
        <v>49</v>
      </c>
      <c r="E1734">
        <f t="shared" si="112"/>
        <v>5</v>
      </c>
      <c r="F1734">
        <f t="shared" si="113"/>
        <v>1</v>
      </c>
      <c r="G1734">
        <f t="shared" si="114"/>
        <v>1</v>
      </c>
      <c r="H1734">
        <f t="shared" si="115"/>
        <v>511</v>
      </c>
    </row>
    <row r="1735" spans="1:8" x14ac:dyDescent="0.55000000000000004">
      <c r="A1735" s="6">
        <v>1.505177459298766E+19</v>
      </c>
      <c r="B1735">
        <v>147</v>
      </c>
      <c r="C1735">
        <v>1</v>
      </c>
      <c r="D1735">
        <v>3040</v>
      </c>
      <c r="E1735">
        <f t="shared" si="112"/>
        <v>5</v>
      </c>
      <c r="F1735">
        <f t="shared" si="113"/>
        <v>1</v>
      </c>
      <c r="G1735">
        <f t="shared" si="114"/>
        <v>3</v>
      </c>
      <c r="H1735">
        <f t="shared" si="115"/>
        <v>513</v>
      </c>
    </row>
    <row r="1736" spans="1:8" x14ac:dyDescent="0.55000000000000004">
      <c r="A1736" s="6">
        <v>1.5067970773666001E+19</v>
      </c>
      <c r="B1736">
        <v>53</v>
      </c>
      <c r="C1736">
        <v>1</v>
      </c>
      <c r="D1736">
        <v>145</v>
      </c>
      <c r="E1736">
        <f t="shared" si="112"/>
        <v>5</v>
      </c>
      <c r="F1736">
        <f t="shared" si="113"/>
        <v>1</v>
      </c>
      <c r="G1736">
        <f t="shared" si="114"/>
        <v>1</v>
      </c>
      <c r="H1736">
        <f t="shared" si="115"/>
        <v>511</v>
      </c>
    </row>
    <row r="1737" spans="1:8" x14ac:dyDescent="0.55000000000000004">
      <c r="A1737" s="6">
        <v>1.5068632717000239E+19</v>
      </c>
      <c r="B1737">
        <v>1047</v>
      </c>
      <c r="C1737">
        <v>1</v>
      </c>
      <c r="D1737">
        <v>112</v>
      </c>
      <c r="E1737">
        <f t="shared" si="112"/>
        <v>2</v>
      </c>
      <c r="F1737">
        <f t="shared" si="113"/>
        <v>1</v>
      </c>
      <c r="G1737">
        <f t="shared" si="114"/>
        <v>1</v>
      </c>
      <c r="H1737">
        <f t="shared" si="115"/>
        <v>211</v>
      </c>
    </row>
    <row r="1738" spans="1:8" x14ac:dyDescent="0.55000000000000004">
      <c r="A1738" s="6">
        <v>1.507061326898792E+19</v>
      </c>
      <c r="B1738">
        <v>719</v>
      </c>
      <c r="C1738">
        <v>1</v>
      </c>
      <c r="D1738">
        <v>499</v>
      </c>
      <c r="E1738">
        <f t="shared" si="112"/>
        <v>3</v>
      </c>
      <c r="F1738">
        <f t="shared" si="113"/>
        <v>1</v>
      </c>
      <c r="G1738">
        <f t="shared" si="114"/>
        <v>1</v>
      </c>
      <c r="H1738">
        <f t="shared" si="115"/>
        <v>311</v>
      </c>
    </row>
    <row r="1739" spans="1:8" x14ac:dyDescent="0.55000000000000004">
      <c r="A1739" s="6">
        <v>1.50720038142017E+19</v>
      </c>
      <c r="B1739">
        <v>903</v>
      </c>
      <c r="C1739">
        <v>1</v>
      </c>
      <c r="D1739">
        <v>6260</v>
      </c>
      <c r="E1739">
        <f t="shared" si="112"/>
        <v>2</v>
      </c>
      <c r="F1739">
        <f t="shared" si="113"/>
        <v>1</v>
      </c>
      <c r="G1739">
        <f t="shared" si="114"/>
        <v>3</v>
      </c>
      <c r="H1739">
        <f t="shared" si="115"/>
        <v>213</v>
      </c>
    </row>
    <row r="1740" spans="1:8" x14ac:dyDescent="0.55000000000000004">
      <c r="A1740" s="6">
        <v>1.510216515945837E+19</v>
      </c>
      <c r="B1740">
        <v>136</v>
      </c>
      <c r="C1740">
        <v>1</v>
      </c>
      <c r="D1740">
        <v>7710</v>
      </c>
      <c r="E1740">
        <f t="shared" si="112"/>
        <v>5</v>
      </c>
      <c r="F1740">
        <f t="shared" si="113"/>
        <v>1</v>
      </c>
      <c r="G1740">
        <f t="shared" si="114"/>
        <v>3</v>
      </c>
      <c r="H1740">
        <f t="shared" si="115"/>
        <v>513</v>
      </c>
    </row>
    <row r="1741" spans="1:8" x14ac:dyDescent="0.55000000000000004">
      <c r="A1741" s="6">
        <v>1.510285871969826E+19</v>
      </c>
      <c r="B1741">
        <v>346</v>
      </c>
      <c r="C1741">
        <v>1</v>
      </c>
      <c r="D1741">
        <v>198</v>
      </c>
      <c r="E1741">
        <f t="shared" si="112"/>
        <v>4</v>
      </c>
      <c r="F1741">
        <f t="shared" si="113"/>
        <v>1</v>
      </c>
      <c r="G1741">
        <f t="shared" si="114"/>
        <v>1</v>
      </c>
      <c r="H1741">
        <f t="shared" si="115"/>
        <v>411</v>
      </c>
    </row>
    <row r="1742" spans="1:8" x14ac:dyDescent="0.55000000000000004">
      <c r="A1742" s="6">
        <v>1.5103322672922581E+19</v>
      </c>
      <c r="B1742">
        <v>19</v>
      </c>
      <c r="C1742">
        <v>3</v>
      </c>
      <c r="D1742">
        <v>2012</v>
      </c>
      <c r="E1742">
        <f t="shared" si="112"/>
        <v>5</v>
      </c>
      <c r="F1742">
        <f t="shared" si="113"/>
        <v>3</v>
      </c>
      <c r="G1742">
        <f t="shared" si="114"/>
        <v>2</v>
      </c>
      <c r="H1742">
        <f t="shared" si="115"/>
        <v>532</v>
      </c>
    </row>
    <row r="1743" spans="1:8" x14ac:dyDescent="0.55000000000000004">
      <c r="A1743" s="6">
        <v>1.5103585447139899E+19</v>
      </c>
      <c r="B1743">
        <v>44</v>
      </c>
      <c r="C1743">
        <v>3</v>
      </c>
      <c r="D1743">
        <v>3153</v>
      </c>
      <c r="E1743">
        <f t="shared" si="112"/>
        <v>5</v>
      </c>
      <c r="F1743">
        <f t="shared" si="113"/>
        <v>3</v>
      </c>
      <c r="G1743">
        <f t="shared" si="114"/>
        <v>3</v>
      </c>
      <c r="H1743">
        <f t="shared" si="115"/>
        <v>533</v>
      </c>
    </row>
    <row r="1744" spans="1:8" x14ac:dyDescent="0.55000000000000004">
      <c r="A1744" s="6">
        <v>1.510372968522557E+19</v>
      </c>
      <c r="B1744">
        <v>429</v>
      </c>
      <c r="C1744">
        <v>1</v>
      </c>
      <c r="D1744">
        <v>150</v>
      </c>
      <c r="E1744">
        <f t="shared" si="112"/>
        <v>4</v>
      </c>
      <c r="F1744">
        <f t="shared" si="113"/>
        <v>1</v>
      </c>
      <c r="G1744">
        <f t="shared" si="114"/>
        <v>1</v>
      </c>
      <c r="H1744">
        <f t="shared" si="115"/>
        <v>411</v>
      </c>
    </row>
    <row r="1745" spans="1:8" x14ac:dyDescent="0.55000000000000004">
      <c r="A1745" s="6">
        <v>1.511718859902491E+19</v>
      </c>
      <c r="B1745">
        <v>589</v>
      </c>
      <c r="C1745">
        <v>1</v>
      </c>
      <c r="D1745">
        <v>1000</v>
      </c>
      <c r="E1745">
        <f t="shared" si="112"/>
        <v>3</v>
      </c>
      <c r="F1745">
        <f t="shared" si="113"/>
        <v>1</v>
      </c>
      <c r="G1745">
        <f t="shared" si="114"/>
        <v>2</v>
      </c>
      <c r="H1745">
        <f t="shared" si="115"/>
        <v>312</v>
      </c>
    </row>
    <row r="1746" spans="1:8" x14ac:dyDescent="0.55000000000000004">
      <c r="A1746" s="6">
        <v>1.5126885222376651E+19</v>
      </c>
      <c r="B1746">
        <v>811</v>
      </c>
      <c r="C1746">
        <v>1</v>
      </c>
      <c r="D1746">
        <v>162</v>
      </c>
      <c r="E1746">
        <f t="shared" si="112"/>
        <v>3</v>
      </c>
      <c r="F1746">
        <f t="shared" si="113"/>
        <v>1</v>
      </c>
      <c r="G1746">
        <f t="shared" si="114"/>
        <v>1</v>
      </c>
      <c r="H1746">
        <f t="shared" si="115"/>
        <v>311</v>
      </c>
    </row>
    <row r="1747" spans="1:8" x14ac:dyDescent="0.55000000000000004">
      <c r="A1747" s="6">
        <v>1.5159195632122561E+19</v>
      </c>
      <c r="B1747">
        <v>484</v>
      </c>
      <c r="C1747">
        <v>1</v>
      </c>
      <c r="D1747">
        <v>790</v>
      </c>
      <c r="E1747">
        <f t="shared" si="112"/>
        <v>4</v>
      </c>
      <c r="F1747">
        <f t="shared" si="113"/>
        <v>1</v>
      </c>
      <c r="G1747">
        <f t="shared" si="114"/>
        <v>2</v>
      </c>
      <c r="H1747">
        <f t="shared" si="115"/>
        <v>412</v>
      </c>
    </row>
    <row r="1748" spans="1:8" x14ac:dyDescent="0.55000000000000004">
      <c r="A1748" s="6">
        <v>1.522627431602169E+19</v>
      </c>
      <c r="B1748">
        <v>76</v>
      </c>
      <c r="C1748">
        <v>1</v>
      </c>
      <c r="D1748">
        <v>1950</v>
      </c>
      <c r="E1748">
        <f t="shared" si="112"/>
        <v>5</v>
      </c>
      <c r="F1748">
        <f t="shared" si="113"/>
        <v>1</v>
      </c>
      <c r="G1748">
        <f t="shared" si="114"/>
        <v>2</v>
      </c>
      <c r="H1748">
        <f t="shared" si="115"/>
        <v>512</v>
      </c>
    </row>
    <row r="1749" spans="1:8" x14ac:dyDescent="0.55000000000000004">
      <c r="A1749" s="6">
        <v>1.5228050630350819E+19</v>
      </c>
      <c r="B1749">
        <v>370</v>
      </c>
      <c r="C1749">
        <v>1</v>
      </c>
      <c r="D1749">
        <v>9084</v>
      </c>
      <c r="E1749">
        <f t="shared" si="112"/>
        <v>4</v>
      </c>
      <c r="F1749">
        <f t="shared" si="113"/>
        <v>1</v>
      </c>
      <c r="G1749">
        <f t="shared" si="114"/>
        <v>3</v>
      </c>
      <c r="H1749">
        <f t="shared" si="115"/>
        <v>413</v>
      </c>
    </row>
    <row r="1750" spans="1:8" x14ac:dyDescent="0.55000000000000004">
      <c r="A1750" s="6">
        <v>1.5241763823784481E+19</v>
      </c>
      <c r="B1750">
        <v>1059</v>
      </c>
      <c r="C1750">
        <v>1</v>
      </c>
      <c r="D1750">
        <v>3240</v>
      </c>
      <c r="E1750">
        <f t="shared" si="112"/>
        <v>2</v>
      </c>
      <c r="F1750">
        <f t="shared" si="113"/>
        <v>1</v>
      </c>
      <c r="G1750">
        <f t="shared" si="114"/>
        <v>3</v>
      </c>
      <c r="H1750">
        <f t="shared" si="115"/>
        <v>213</v>
      </c>
    </row>
    <row r="1751" spans="1:8" x14ac:dyDescent="0.55000000000000004">
      <c r="A1751" s="6">
        <v>1.524683085751996E+19</v>
      </c>
      <c r="B1751">
        <v>305</v>
      </c>
      <c r="C1751">
        <v>1</v>
      </c>
      <c r="D1751">
        <v>266</v>
      </c>
      <c r="E1751">
        <f t="shared" si="112"/>
        <v>4</v>
      </c>
      <c r="F1751">
        <f t="shared" si="113"/>
        <v>1</v>
      </c>
      <c r="G1751">
        <f t="shared" si="114"/>
        <v>1</v>
      </c>
      <c r="H1751">
        <f t="shared" si="115"/>
        <v>411</v>
      </c>
    </row>
    <row r="1752" spans="1:8" x14ac:dyDescent="0.55000000000000004">
      <c r="A1752" s="6">
        <v>1.525234002805547E+19</v>
      </c>
      <c r="B1752">
        <v>455</v>
      </c>
      <c r="C1752">
        <v>2</v>
      </c>
      <c r="D1752">
        <v>356</v>
      </c>
      <c r="E1752">
        <f t="shared" si="112"/>
        <v>4</v>
      </c>
      <c r="F1752">
        <f t="shared" si="113"/>
        <v>2</v>
      </c>
      <c r="G1752">
        <f t="shared" si="114"/>
        <v>1</v>
      </c>
      <c r="H1752">
        <f t="shared" si="115"/>
        <v>421</v>
      </c>
    </row>
    <row r="1753" spans="1:8" x14ac:dyDescent="0.55000000000000004">
      <c r="A1753" s="6">
        <v>1.5276476970482409E+19</v>
      </c>
      <c r="B1753">
        <v>809</v>
      </c>
      <c r="C1753">
        <v>1</v>
      </c>
      <c r="D1753">
        <v>1166</v>
      </c>
      <c r="E1753">
        <f t="shared" si="112"/>
        <v>3</v>
      </c>
      <c r="F1753">
        <f t="shared" si="113"/>
        <v>1</v>
      </c>
      <c r="G1753">
        <f t="shared" si="114"/>
        <v>2</v>
      </c>
      <c r="H1753">
        <f t="shared" si="115"/>
        <v>312</v>
      </c>
    </row>
    <row r="1754" spans="1:8" x14ac:dyDescent="0.55000000000000004">
      <c r="A1754" s="6">
        <v>1.529271156526071E+19</v>
      </c>
      <c r="B1754">
        <v>44</v>
      </c>
      <c r="C1754">
        <v>1</v>
      </c>
      <c r="D1754">
        <v>1412</v>
      </c>
      <c r="E1754">
        <f t="shared" si="112"/>
        <v>5</v>
      </c>
      <c r="F1754">
        <f t="shared" si="113"/>
        <v>1</v>
      </c>
      <c r="G1754">
        <f t="shared" si="114"/>
        <v>2</v>
      </c>
      <c r="H1754">
        <f t="shared" si="115"/>
        <v>512</v>
      </c>
    </row>
    <row r="1755" spans="1:8" x14ac:dyDescent="0.55000000000000004">
      <c r="A1755" s="6">
        <v>1.529683543112498E+19</v>
      </c>
      <c r="B1755">
        <v>910</v>
      </c>
      <c r="C1755">
        <v>3</v>
      </c>
      <c r="D1755">
        <v>2417</v>
      </c>
      <c r="E1755">
        <f t="shared" si="112"/>
        <v>2</v>
      </c>
      <c r="F1755">
        <f t="shared" si="113"/>
        <v>3</v>
      </c>
      <c r="G1755">
        <f t="shared" si="114"/>
        <v>3</v>
      </c>
      <c r="H1755">
        <f t="shared" si="115"/>
        <v>233</v>
      </c>
    </row>
    <row r="1756" spans="1:8" x14ac:dyDescent="0.55000000000000004">
      <c r="A1756" s="6">
        <v>1.5299554968771371E+19</v>
      </c>
      <c r="B1756">
        <v>128</v>
      </c>
      <c r="C1756">
        <v>1</v>
      </c>
      <c r="D1756">
        <v>499</v>
      </c>
      <c r="E1756">
        <f t="shared" si="112"/>
        <v>5</v>
      </c>
      <c r="F1756">
        <f t="shared" si="113"/>
        <v>1</v>
      </c>
      <c r="G1756">
        <f t="shared" si="114"/>
        <v>1</v>
      </c>
      <c r="H1756">
        <f t="shared" si="115"/>
        <v>511</v>
      </c>
    </row>
    <row r="1757" spans="1:8" x14ac:dyDescent="0.55000000000000004">
      <c r="A1757" s="6">
        <v>1.5299920061904511E+19</v>
      </c>
      <c r="B1757">
        <v>575</v>
      </c>
      <c r="C1757">
        <v>2</v>
      </c>
      <c r="D1757">
        <v>140</v>
      </c>
      <c r="E1757">
        <f t="shared" si="112"/>
        <v>4</v>
      </c>
      <c r="F1757">
        <f t="shared" si="113"/>
        <v>2</v>
      </c>
      <c r="G1757">
        <f t="shared" si="114"/>
        <v>1</v>
      </c>
      <c r="H1757">
        <f t="shared" si="115"/>
        <v>421</v>
      </c>
    </row>
    <row r="1758" spans="1:8" x14ac:dyDescent="0.55000000000000004">
      <c r="A1758" s="6">
        <v>1.530112927941096E+19</v>
      </c>
      <c r="B1758">
        <v>891</v>
      </c>
      <c r="C1758">
        <v>1</v>
      </c>
      <c r="D1758">
        <v>2166</v>
      </c>
      <c r="E1758">
        <f t="shared" si="112"/>
        <v>2</v>
      </c>
      <c r="F1758">
        <f t="shared" si="113"/>
        <v>1</v>
      </c>
      <c r="G1758">
        <f t="shared" si="114"/>
        <v>2</v>
      </c>
      <c r="H1758">
        <f t="shared" si="115"/>
        <v>212</v>
      </c>
    </row>
    <row r="1759" spans="1:8" x14ac:dyDescent="0.55000000000000004">
      <c r="A1759" s="6">
        <v>1.5301579014397999E+19</v>
      </c>
      <c r="B1759">
        <v>828</v>
      </c>
      <c r="C1759">
        <v>1</v>
      </c>
      <c r="D1759">
        <v>1478</v>
      </c>
      <c r="E1759">
        <f t="shared" si="112"/>
        <v>3</v>
      </c>
      <c r="F1759">
        <f t="shared" si="113"/>
        <v>1</v>
      </c>
      <c r="G1759">
        <f t="shared" si="114"/>
        <v>2</v>
      </c>
      <c r="H1759">
        <f t="shared" si="115"/>
        <v>312</v>
      </c>
    </row>
    <row r="1760" spans="1:8" x14ac:dyDescent="0.55000000000000004">
      <c r="A1760" s="6">
        <v>1.5308735232356551E+19</v>
      </c>
      <c r="B1760">
        <v>431</v>
      </c>
      <c r="C1760">
        <v>1</v>
      </c>
      <c r="D1760">
        <v>1099</v>
      </c>
      <c r="E1760">
        <f t="shared" si="112"/>
        <v>4</v>
      </c>
      <c r="F1760">
        <f t="shared" si="113"/>
        <v>1</v>
      </c>
      <c r="G1760">
        <f t="shared" si="114"/>
        <v>2</v>
      </c>
      <c r="H1760">
        <f t="shared" si="115"/>
        <v>412</v>
      </c>
    </row>
    <row r="1761" spans="1:8" x14ac:dyDescent="0.55000000000000004">
      <c r="A1761" s="6">
        <v>1.5315655684016439E+19</v>
      </c>
      <c r="B1761">
        <v>332</v>
      </c>
      <c r="C1761">
        <v>1</v>
      </c>
      <c r="D1761">
        <v>113</v>
      </c>
      <c r="E1761">
        <f t="shared" si="112"/>
        <v>4</v>
      </c>
      <c r="F1761">
        <f t="shared" si="113"/>
        <v>1</v>
      </c>
      <c r="G1761">
        <f t="shared" si="114"/>
        <v>1</v>
      </c>
      <c r="H1761">
        <f t="shared" si="115"/>
        <v>411</v>
      </c>
    </row>
    <row r="1762" spans="1:8" x14ac:dyDescent="0.55000000000000004">
      <c r="A1762" s="6">
        <v>1.5326071374351911E+19</v>
      </c>
      <c r="B1762">
        <v>167</v>
      </c>
      <c r="C1762">
        <v>1</v>
      </c>
      <c r="D1762">
        <v>990</v>
      </c>
      <c r="E1762">
        <f t="shared" si="112"/>
        <v>5</v>
      </c>
      <c r="F1762">
        <f t="shared" si="113"/>
        <v>1</v>
      </c>
      <c r="G1762">
        <f t="shared" si="114"/>
        <v>2</v>
      </c>
      <c r="H1762">
        <f t="shared" si="115"/>
        <v>512</v>
      </c>
    </row>
    <row r="1763" spans="1:8" x14ac:dyDescent="0.55000000000000004">
      <c r="A1763" s="6">
        <v>1.5332872620488651E+19</v>
      </c>
      <c r="B1763">
        <v>423</v>
      </c>
      <c r="C1763">
        <v>2</v>
      </c>
      <c r="D1763">
        <v>898</v>
      </c>
      <c r="E1763">
        <f t="shared" si="112"/>
        <v>4</v>
      </c>
      <c r="F1763">
        <f t="shared" si="113"/>
        <v>2</v>
      </c>
      <c r="G1763">
        <f t="shared" si="114"/>
        <v>2</v>
      </c>
      <c r="H1763">
        <f t="shared" si="115"/>
        <v>422</v>
      </c>
    </row>
    <row r="1764" spans="1:8" x14ac:dyDescent="0.55000000000000004">
      <c r="A1764" s="6">
        <v>1.5365074124483809E+19</v>
      </c>
      <c r="B1764">
        <v>12</v>
      </c>
      <c r="C1764">
        <v>1</v>
      </c>
      <c r="D1764">
        <v>1500</v>
      </c>
      <c r="E1764">
        <f t="shared" si="112"/>
        <v>5</v>
      </c>
      <c r="F1764">
        <f t="shared" si="113"/>
        <v>1</v>
      </c>
      <c r="G1764">
        <f t="shared" si="114"/>
        <v>2</v>
      </c>
      <c r="H1764">
        <f t="shared" si="115"/>
        <v>512</v>
      </c>
    </row>
    <row r="1765" spans="1:8" x14ac:dyDescent="0.55000000000000004">
      <c r="A1765" s="6">
        <v>1.536672420053701E+19</v>
      </c>
      <c r="B1765">
        <v>630</v>
      </c>
      <c r="C1765">
        <v>1</v>
      </c>
      <c r="D1765">
        <v>991</v>
      </c>
      <c r="E1765">
        <f t="shared" si="112"/>
        <v>3</v>
      </c>
      <c r="F1765">
        <f t="shared" si="113"/>
        <v>1</v>
      </c>
      <c r="G1765">
        <f t="shared" si="114"/>
        <v>2</v>
      </c>
      <c r="H1765">
        <f t="shared" si="115"/>
        <v>312</v>
      </c>
    </row>
    <row r="1766" spans="1:8" x14ac:dyDescent="0.55000000000000004">
      <c r="A1766" s="6">
        <v>1.536988618300135E+19</v>
      </c>
      <c r="B1766">
        <v>902</v>
      </c>
      <c r="C1766">
        <v>1</v>
      </c>
      <c r="D1766">
        <v>687</v>
      </c>
      <c r="E1766">
        <f t="shared" si="112"/>
        <v>2</v>
      </c>
      <c r="F1766">
        <f t="shared" si="113"/>
        <v>1</v>
      </c>
      <c r="G1766">
        <f t="shared" si="114"/>
        <v>2</v>
      </c>
      <c r="H1766">
        <f t="shared" si="115"/>
        <v>212</v>
      </c>
    </row>
    <row r="1767" spans="1:8" x14ac:dyDescent="0.55000000000000004">
      <c r="A1767" s="6">
        <v>1.5372990738145679E+19</v>
      </c>
      <c r="B1767">
        <v>589</v>
      </c>
      <c r="C1767">
        <v>1</v>
      </c>
      <c r="D1767">
        <v>1068</v>
      </c>
      <c r="E1767">
        <f t="shared" si="112"/>
        <v>3</v>
      </c>
      <c r="F1767">
        <f t="shared" si="113"/>
        <v>1</v>
      </c>
      <c r="G1767">
        <f t="shared" si="114"/>
        <v>2</v>
      </c>
      <c r="H1767">
        <f t="shared" si="115"/>
        <v>312</v>
      </c>
    </row>
    <row r="1768" spans="1:8" x14ac:dyDescent="0.55000000000000004">
      <c r="A1768" s="6">
        <v>1.5375922921831371E+19</v>
      </c>
      <c r="B1768">
        <v>547</v>
      </c>
      <c r="C1768">
        <v>1</v>
      </c>
      <c r="D1768">
        <v>165</v>
      </c>
      <c r="E1768">
        <f t="shared" si="112"/>
        <v>4</v>
      </c>
      <c r="F1768">
        <f t="shared" si="113"/>
        <v>1</v>
      </c>
      <c r="G1768">
        <f t="shared" si="114"/>
        <v>1</v>
      </c>
      <c r="H1768">
        <f t="shared" si="115"/>
        <v>411</v>
      </c>
    </row>
    <row r="1769" spans="1:8" x14ac:dyDescent="0.55000000000000004">
      <c r="A1769" s="6">
        <v>1.5384082452842521E+19</v>
      </c>
      <c r="B1769">
        <v>771</v>
      </c>
      <c r="C1769">
        <v>1</v>
      </c>
      <c r="D1769">
        <v>5275</v>
      </c>
      <c r="E1769">
        <f t="shared" si="112"/>
        <v>3</v>
      </c>
      <c r="F1769">
        <f t="shared" si="113"/>
        <v>1</v>
      </c>
      <c r="G1769">
        <f t="shared" si="114"/>
        <v>3</v>
      </c>
      <c r="H1769">
        <f t="shared" si="115"/>
        <v>313</v>
      </c>
    </row>
    <row r="1770" spans="1:8" x14ac:dyDescent="0.55000000000000004">
      <c r="A1770" s="6">
        <v>1.5401339438408831E+19</v>
      </c>
      <c r="B1770">
        <v>1155</v>
      </c>
      <c r="C1770">
        <v>1</v>
      </c>
      <c r="D1770">
        <v>518</v>
      </c>
      <c r="E1770">
        <f t="shared" si="112"/>
        <v>2</v>
      </c>
      <c r="F1770">
        <f t="shared" si="113"/>
        <v>1</v>
      </c>
      <c r="G1770">
        <f t="shared" si="114"/>
        <v>1</v>
      </c>
      <c r="H1770">
        <f t="shared" si="115"/>
        <v>211</v>
      </c>
    </row>
    <row r="1771" spans="1:8" x14ac:dyDescent="0.55000000000000004">
      <c r="A1771" s="6">
        <v>1.5403850247064271E+19</v>
      </c>
      <c r="B1771">
        <v>865</v>
      </c>
      <c r="C1771">
        <v>1</v>
      </c>
      <c r="D1771">
        <v>1929</v>
      </c>
      <c r="E1771">
        <f t="shared" si="112"/>
        <v>3</v>
      </c>
      <c r="F1771">
        <f t="shared" si="113"/>
        <v>1</v>
      </c>
      <c r="G1771">
        <f t="shared" si="114"/>
        <v>2</v>
      </c>
      <c r="H1771">
        <f t="shared" si="115"/>
        <v>312</v>
      </c>
    </row>
    <row r="1772" spans="1:8" x14ac:dyDescent="0.55000000000000004">
      <c r="A1772" s="6">
        <v>1.5404156029051601E+19</v>
      </c>
      <c r="B1772">
        <v>509</v>
      </c>
      <c r="C1772">
        <v>1</v>
      </c>
      <c r="D1772">
        <v>2691</v>
      </c>
      <c r="E1772">
        <f t="shared" si="112"/>
        <v>4</v>
      </c>
      <c r="F1772">
        <f t="shared" si="113"/>
        <v>1</v>
      </c>
      <c r="G1772">
        <f t="shared" si="114"/>
        <v>3</v>
      </c>
      <c r="H1772">
        <f t="shared" si="115"/>
        <v>413</v>
      </c>
    </row>
    <row r="1773" spans="1:8" x14ac:dyDescent="0.55000000000000004">
      <c r="A1773" s="6">
        <v>1.5408046944755769E+19</v>
      </c>
      <c r="B1773">
        <v>45</v>
      </c>
      <c r="C1773">
        <v>2</v>
      </c>
      <c r="D1773">
        <v>2546</v>
      </c>
      <c r="E1773">
        <f t="shared" si="112"/>
        <v>5</v>
      </c>
      <c r="F1773">
        <f t="shared" si="113"/>
        <v>2</v>
      </c>
      <c r="G1773">
        <f t="shared" si="114"/>
        <v>3</v>
      </c>
      <c r="H1773">
        <f t="shared" si="115"/>
        <v>523</v>
      </c>
    </row>
    <row r="1774" spans="1:8" x14ac:dyDescent="0.55000000000000004">
      <c r="A1774" s="6">
        <v>1.541344756423315E+19</v>
      </c>
      <c r="B1774">
        <v>489</v>
      </c>
      <c r="C1774">
        <v>1</v>
      </c>
      <c r="D1774">
        <v>643</v>
      </c>
      <c r="E1774">
        <f t="shared" si="112"/>
        <v>4</v>
      </c>
      <c r="F1774">
        <f t="shared" si="113"/>
        <v>1</v>
      </c>
      <c r="G1774">
        <f t="shared" si="114"/>
        <v>1</v>
      </c>
      <c r="H1774">
        <f t="shared" si="115"/>
        <v>411</v>
      </c>
    </row>
    <row r="1775" spans="1:8" x14ac:dyDescent="0.55000000000000004">
      <c r="A1775" s="6">
        <v>1.541616255913045E+19</v>
      </c>
      <c r="B1775">
        <v>447</v>
      </c>
      <c r="C1775">
        <v>2</v>
      </c>
      <c r="D1775">
        <v>965</v>
      </c>
      <c r="E1775">
        <f t="shared" si="112"/>
        <v>4</v>
      </c>
      <c r="F1775">
        <f t="shared" si="113"/>
        <v>2</v>
      </c>
      <c r="G1775">
        <f t="shared" si="114"/>
        <v>2</v>
      </c>
      <c r="H1775">
        <f t="shared" si="115"/>
        <v>422</v>
      </c>
    </row>
    <row r="1776" spans="1:8" x14ac:dyDescent="0.55000000000000004">
      <c r="A1776" s="6">
        <v>1.542291746567033E+19</v>
      </c>
      <c r="B1776">
        <v>570</v>
      </c>
      <c r="C1776">
        <v>1</v>
      </c>
      <c r="D1776">
        <v>151</v>
      </c>
      <c r="E1776">
        <f t="shared" si="112"/>
        <v>4</v>
      </c>
      <c r="F1776">
        <f t="shared" si="113"/>
        <v>1</v>
      </c>
      <c r="G1776">
        <f t="shared" si="114"/>
        <v>1</v>
      </c>
      <c r="H1776">
        <f t="shared" si="115"/>
        <v>411</v>
      </c>
    </row>
    <row r="1777" spans="1:8" x14ac:dyDescent="0.55000000000000004">
      <c r="A1777" s="6">
        <v>1.542473145981388E+19</v>
      </c>
      <c r="B1777">
        <v>475</v>
      </c>
      <c r="C1777">
        <v>1</v>
      </c>
      <c r="D1777">
        <v>4450</v>
      </c>
      <c r="E1777">
        <f t="shared" si="112"/>
        <v>4</v>
      </c>
      <c r="F1777">
        <f t="shared" si="113"/>
        <v>1</v>
      </c>
      <c r="G1777">
        <f t="shared" si="114"/>
        <v>3</v>
      </c>
      <c r="H1777">
        <f t="shared" si="115"/>
        <v>413</v>
      </c>
    </row>
    <row r="1778" spans="1:8" x14ac:dyDescent="0.55000000000000004">
      <c r="A1778" s="6">
        <v>1.5436359272742521E+19</v>
      </c>
      <c r="B1778">
        <v>1203</v>
      </c>
      <c r="C1778">
        <v>1</v>
      </c>
      <c r="D1778">
        <v>380</v>
      </c>
      <c r="E1778">
        <f t="shared" si="112"/>
        <v>1</v>
      </c>
      <c r="F1778">
        <f t="shared" si="113"/>
        <v>1</v>
      </c>
      <c r="G1778">
        <f t="shared" si="114"/>
        <v>1</v>
      </c>
      <c r="H1778">
        <f t="shared" si="115"/>
        <v>111</v>
      </c>
    </row>
    <row r="1779" spans="1:8" x14ac:dyDescent="0.55000000000000004">
      <c r="A1779" s="6">
        <v>1.5444205740804801E+19</v>
      </c>
      <c r="B1779">
        <v>935</v>
      </c>
      <c r="C1779">
        <v>1</v>
      </c>
      <c r="D1779">
        <v>531</v>
      </c>
      <c r="E1779">
        <f t="shared" si="112"/>
        <v>2</v>
      </c>
      <c r="F1779">
        <f t="shared" si="113"/>
        <v>1</v>
      </c>
      <c r="G1779">
        <f t="shared" si="114"/>
        <v>1</v>
      </c>
      <c r="H1779">
        <f t="shared" si="115"/>
        <v>211</v>
      </c>
    </row>
    <row r="1780" spans="1:8" x14ac:dyDescent="0.55000000000000004">
      <c r="A1780" s="6">
        <v>1.54539279670714E+19</v>
      </c>
      <c r="B1780">
        <v>58</v>
      </c>
      <c r="C1780">
        <v>1</v>
      </c>
      <c r="D1780">
        <v>7070</v>
      </c>
      <c r="E1780">
        <f t="shared" si="112"/>
        <v>5</v>
      </c>
      <c r="F1780">
        <f t="shared" si="113"/>
        <v>1</v>
      </c>
      <c r="G1780">
        <f t="shared" si="114"/>
        <v>3</v>
      </c>
      <c r="H1780">
        <f t="shared" si="115"/>
        <v>513</v>
      </c>
    </row>
    <row r="1781" spans="1:8" x14ac:dyDescent="0.55000000000000004">
      <c r="A1781" s="6">
        <v>1.5454653710179119E+19</v>
      </c>
      <c r="B1781">
        <v>663</v>
      </c>
      <c r="C1781">
        <v>1</v>
      </c>
      <c r="D1781">
        <v>594</v>
      </c>
      <c r="E1781">
        <f t="shared" si="112"/>
        <v>3</v>
      </c>
      <c r="F1781">
        <f t="shared" si="113"/>
        <v>1</v>
      </c>
      <c r="G1781">
        <f t="shared" si="114"/>
        <v>1</v>
      </c>
      <c r="H1781">
        <f t="shared" si="115"/>
        <v>311</v>
      </c>
    </row>
    <row r="1782" spans="1:8" x14ac:dyDescent="0.55000000000000004">
      <c r="A1782" s="6">
        <v>1.5462610389332511E+19</v>
      </c>
      <c r="B1782">
        <v>1134</v>
      </c>
      <c r="C1782">
        <v>2</v>
      </c>
      <c r="D1782">
        <v>2930</v>
      </c>
      <c r="E1782">
        <f t="shared" si="112"/>
        <v>2</v>
      </c>
      <c r="F1782">
        <f t="shared" si="113"/>
        <v>2</v>
      </c>
      <c r="G1782">
        <f t="shared" si="114"/>
        <v>3</v>
      </c>
      <c r="H1782">
        <f t="shared" si="115"/>
        <v>223</v>
      </c>
    </row>
    <row r="1783" spans="1:8" x14ac:dyDescent="0.55000000000000004">
      <c r="A1783" s="6">
        <v>1.546388297041663E+19</v>
      </c>
      <c r="B1783">
        <v>826</v>
      </c>
      <c r="C1783">
        <v>1</v>
      </c>
      <c r="D1783">
        <v>1585</v>
      </c>
      <c r="E1783">
        <f t="shared" si="112"/>
        <v>3</v>
      </c>
      <c r="F1783">
        <f t="shared" si="113"/>
        <v>1</v>
      </c>
      <c r="G1783">
        <f t="shared" si="114"/>
        <v>2</v>
      </c>
      <c r="H1783">
        <f t="shared" si="115"/>
        <v>312</v>
      </c>
    </row>
    <row r="1784" spans="1:8" x14ac:dyDescent="0.55000000000000004">
      <c r="A1784" s="6">
        <v>1.546974436012781E+19</v>
      </c>
      <c r="B1784">
        <v>223</v>
      </c>
      <c r="C1784">
        <v>2</v>
      </c>
      <c r="D1784">
        <v>458</v>
      </c>
      <c r="E1784">
        <f t="shared" si="112"/>
        <v>5</v>
      </c>
      <c r="F1784">
        <f t="shared" si="113"/>
        <v>2</v>
      </c>
      <c r="G1784">
        <f t="shared" si="114"/>
        <v>1</v>
      </c>
      <c r="H1784">
        <f t="shared" si="115"/>
        <v>521</v>
      </c>
    </row>
    <row r="1785" spans="1:8" x14ac:dyDescent="0.55000000000000004">
      <c r="A1785" s="6">
        <v>1.5473358029831711E+19</v>
      </c>
      <c r="B1785">
        <v>744</v>
      </c>
      <c r="C1785">
        <v>1</v>
      </c>
      <c r="D1785">
        <v>957</v>
      </c>
      <c r="E1785">
        <f t="shared" si="112"/>
        <v>3</v>
      </c>
      <c r="F1785">
        <f t="shared" si="113"/>
        <v>1</v>
      </c>
      <c r="G1785">
        <f t="shared" si="114"/>
        <v>2</v>
      </c>
      <c r="H1785">
        <f t="shared" si="115"/>
        <v>312</v>
      </c>
    </row>
    <row r="1786" spans="1:8" x14ac:dyDescent="0.55000000000000004">
      <c r="A1786" s="6">
        <v>1.547472592135144E+19</v>
      </c>
      <c r="B1786">
        <v>54</v>
      </c>
      <c r="C1786">
        <v>1</v>
      </c>
      <c r="D1786">
        <v>189</v>
      </c>
      <c r="E1786">
        <f t="shared" si="112"/>
        <v>5</v>
      </c>
      <c r="F1786">
        <f t="shared" si="113"/>
        <v>1</v>
      </c>
      <c r="G1786">
        <f t="shared" si="114"/>
        <v>1</v>
      </c>
      <c r="H1786">
        <f t="shared" si="115"/>
        <v>511</v>
      </c>
    </row>
    <row r="1787" spans="1:8" x14ac:dyDescent="0.55000000000000004">
      <c r="A1787" s="6">
        <v>1.5480586309256509E+19</v>
      </c>
      <c r="B1787">
        <v>950</v>
      </c>
      <c r="C1787">
        <v>1</v>
      </c>
      <c r="D1787">
        <v>45</v>
      </c>
      <c r="E1787">
        <f t="shared" si="112"/>
        <v>2</v>
      </c>
      <c r="F1787">
        <f t="shared" si="113"/>
        <v>1</v>
      </c>
      <c r="G1787">
        <f t="shared" si="114"/>
        <v>1</v>
      </c>
      <c r="H1787">
        <f t="shared" si="115"/>
        <v>211</v>
      </c>
    </row>
    <row r="1788" spans="1:8" x14ac:dyDescent="0.55000000000000004">
      <c r="A1788" s="6">
        <v>1.5485723615538999E+19</v>
      </c>
      <c r="B1788">
        <v>413</v>
      </c>
      <c r="C1788">
        <v>1</v>
      </c>
      <c r="D1788">
        <v>11090</v>
      </c>
      <c r="E1788">
        <f t="shared" si="112"/>
        <v>4</v>
      </c>
      <c r="F1788">
        <f t="shared" si="113"/>
        <v>1</v>
      </c>
      <c r="G1788">
        <f t="shared" si="114"/>
        <v>3</v>
      </c>
      <c r="H1788">
        <f t="shared" si="115"/>
        <v>413</v>
      </c>
    </row>
    <row r="1789" spans="1:8" x14ac:dyDescent="0.55000000000000004">
      <c r="A1789" s="6">
        <v>1.552707870825926E+19</v>
      </c>
      <c r="B1789">
        <v>818</v>
      </c>
      <c r="C1789">
        <v>1</v>
      </c>
      <c r="D1789">
        <v>8966</v>
      </c>
      <c r="E1789">
        <f t="shared" si="112"/>
        <v>3</v>
      </c>
      <c r="F1789">
        <f t="shared" si="113"/>
        <v>1</v>
      </c>
      <c r="G1789">
        <f t="shared" si="114"/>
        <v>3</v>
      </c>
      <c r="H1789">
        <f t="shared" si="115"/>
        <v>313</v>
      </c>
    </row>
    <row r="1790" spans="1:8" x14ac:dyDescent="0.55000000000000004">
      <c r="A1790" s="6">
        <v>1.5540219737768849E+19</v>
      </c>
      <c r="B1790">
        <v>574</v>
      </c>
      <c r="C1790">
        <v>1</v>
      </c>
      <c r="D1790">
        <v>1311</v>
      </c>
      <c r="E1790">
        <f t="shared" si="112"/>
        <v>4</v>
      </c>
      <c r="F1790">
        <f t="shared" si="113"/>
        <v>1</v>
      </c>
      <c r="G1790">
        <f t="shared" si="114"/>
        <v>2</v>
      </c>
      <c r="H1790">
        <f t="shared" si="115"/>
        <v>412</v>
      </c>
    </row>
    <row r="1791" spans="1:8" x14ac:dyDescent="0.55000000000000004">
      <c r="A1791" s="6">
        <v>1.5549230291114441E+19</v>
      </c>
      <c r="B1791">
        <v>680</v>
      </c>
      <c r="C1791">
        <v>1</v>
      </c>
      <c r="D1791">
        <v>105</v>
      </c>
      <c r="E1791">
        <f t="shared" si="112"/>
        <v>3</v>
      </c>
      <c r="F1791">
        <f t="shared" si="113"/>
        <v>1</v>
      </c>
      <c r="G1791">
        <f t="shared" si="114"/>
        <v>1</v>
      </c>
      <c r="H1791">
        <f t="shared" si="115"/>
        <v>311</v>
      </c>
    </row>
    <row r="1792" spans="1:8" x14ac:dyDescent="0.55000000000000004">
      <c r="A1792" s="6">
        <v>1.5564916972621199E+19</v>
      </c>
      <c r="B1792">
        <v>488</v>
      </c>
      <c r="C1792">
        <v>1</v>
      </c>
      <c r="D1792">
        <v>349</v>
      </c>
      <c r="E1792">
        <f t="shared" si="112"/>
        <v>4</v>
      </c>
      <c r="F1792">
        <f t="shared" si="113"/>
        <v>1</v>
      </c>
      <c r="G1792">
        <f t="shared" si="114"/>
        <v>1</v>
      </c>
      <c r="H1792">
        <f t="shared" si="115"/>
        <v>411</v>
      </c>
    </row>
    <row r="1793" spans="1:8" x14ac:dyDescent="0.55000000000000004">
      <c r="A1793" s="6">
        <v>1.5574239814710999E+19</v>
      </c>
      <c r="B1793">
        <v>487</v>
      </c>
      <c r="C1793">
        <v>2</v>
      </c>
      <c r="D1793">
        <v>67</v>
      </c>
      <c r="E1793">
        <f t="shared" si="112"/>
        <v>4</v>
      </c>
      <c r="F1793">
        <f t="shared" si="113"/>
        <v>2</v>
      </c>
      <c r="G1793">
        <f t="shared" si="114"/>
        <v>1</v>
      </c>
      <c r="H1793">
        <f t="shared" si="115"/>
        <v>421</v>
      </c>
    </row>
    <row r="1794" spans="1:8" x14ac:dyDescent="0.55000000000000004">
      <c r="A1794" s="6">
        <v>1.559033532799505E+19</v>
      </c>
      <c r="B1794">
        <v>893</v>
      </c>
      <c r="C1794">
        <v>1</v>
      </c>
      <c r="D1794">
        <v>175</v>
      </c>
      <c r="E1794">
        <f t="shared" si="112"/>
        <v>2</v>
      </c>
      <c r="F1794">
        <f t="shared" si="113"/>
        <v>1</v>
      </c>
      <c r="G1794">
        <f t="shared" si="114"/>
        <v>1</v>
      </c>
      <c r="H1794">
        <f t="shared" si="115"/>
        <v>211</v>
      </c>
    </row>
    <row r="1795" spans="1:8" x14ac:dyDescent="0.55000000000000004">
      <c r="A1795" s="6">
        <v>1.562330477958519E+19</v>
      </c>
      <c r="B1795">
        <v>290</v>
      </c>
      <c r="C1795">
        <v>1</v>
      </c>
      <c r="D1795">
        <v>48</v>
      </c>
      <c r="E1795">
        <f t="shared" ref="E1795:E1858" si="116">VLOOKUP(B1795,$K$5:$L$9,2,1)</f>
        <v>4</v>
      </c>
      <c r="F1795">
        <f t="shared" ref="F1795:F1858" si="117">VLOOKUP(C1795,$K$15:$L$17,2,1)</f>
        <v>1</v>
      </c>
      <c r="G1795">
        <f t="shared" ref="G1795:G1858" si="118">VLOOKUP(D1795,$K$24:$L$26,2,1)</f>
        <v>1</v>
      </c>
      <c r="H1795">
        <f t="shared" ref="H1795:H1858" si="119">E1795*100+F1795*10+G1795</f>
        <v>411</v>
      </c>
    </row>
    <row r="1796" spans="1:8" x14ac:dyDescent="0.55000000000000004">
      <c r="A1796" s="6">
        <v>1.5641110136120521E+19</v>
      </c>
      <c r="B1796">
        <v>436</v>
      </c>
      <c r="C1796">
        <v>2</v>
      </c>
      <c r="D1796">
        <v>1698</v>
      </c>
      <c r="E1796">
        <f t="shared" si="116"/>
        <v>4</v>
      </c>
      <c r="F1796">
        <f t="shared" si="117"/>
        <v>2</v>
      </c>
      <c r="G1796">
        <f t="shared" si="118"/>
        <v>2</v>
      </c>
      <c r="H1796">
        <f t="shared" si="119"/>
        <v>422</v>
      </c>
    </row>
    <row r="1797" spans="1:8" x14ac:dyDescent="0.55000000000000004">
      <c r="A1797" s="6">
        <v>1.564261451565621E+19</v>
      </c>
      <c r="B1797">
        <v>406</v>
      </c>
      <c r="C1797">
        <v>1</v>
      </c>
      <c r="D1797">
        <v>550</v>
      </c>
      <c r="E1797">
        <f t="shared" si="116"/>
        <v>4</v>
      </c>
      <c r="F1797">
        <f t="shared" si="117"/>
        <v>1</v>
      </c>
      <c r="G1797">
        <f t="shared" si="118"/>
        <v>1</v>
      </c>
      <c r="H1797">
        <f t="shared" si="119"/>
        <v>411</v>
      </c>
    </row>
    <row r="1798" spans="1:8" x14ac:dyDescent="0.55000000000000004">
      <c r="A1798" s="6">
        <v>1.5644167160182211E+19</v>
      </c>
      <c r="B1798">
        <v>493</v>
      </c>
      <c r="C1798">
        <v>1</v>
      </c>
      <c r="D1798">
        <v>408</v>
      </c>
      <c r="E1798">
        <f t="shared" si="116"/>
        <v>4</v>
      </c>
      <c r="F1798">
        <f t="shared" si="117"/>
        <v>1</v>
      </c>
      <c r="G1798">
        <f t="shared" si="118"/>
        <v>1</v>
      </c>
      <c r="H1798">
        <f t="shared" si="119"/>
        <v>411</v>
      </c>
    </row>
    <row r="1799" spans="1:8" x14ac:dyDescent="0.55000000000000004">
      <c r="A1799" s="6">
        <v>1.56524110507473E+19</v>
      </c>
      <c r="B1799">
        <v>575</v>
      </c>
      <c r="C1799">
        <v>2</v>
      </c>
      <c r="D1799">
        <v>7110</v>
      </c>
      <c r="E1799">
        <f t="shared" si="116"/>
        <v>4</v>
      </c>
      <c r="F1799">
        <f t="shared" si="117"/>
        <v>2</v>
      </c>
      <c r="G1799">
        <f t="shared" si="118"/>
        <v>3</v>
      </c>
      <c r="H1799">
        <f t="shared" si="119"/>
        <v>423</v>
      </c>
    </row>
    <row r="1800" spans="1:8" x14ac:dyDescent="0.55000000000000004">
      <c r="A1800" s="6">
        <v>1.565609792506035E+19</v>
      </c>
      <c r="B1800">
        <v>107</v>
      </c>
      <c r="C1800">
        <v>1</v>
      </c>
      <c r="D1800">
        <v>363</v>
      </c>
      <c r="E1800">
        <f t="shared" si="116"/>
        <v>5</v>
      </c>
      <c r="F1800">
        <f t="shared" si="117"/>
        <v>1</v>
      </c>
      <c r="G1800">
        <f t="shared" si="118"/>
        <v>1</v>
      </c>
      <c r="H1800">
        <f t="shared" si="119"/>
        <v>511</v>
      </c>
    </row>
    <row r="1801" spans="1:8" x14ac:dyDescent="0.55000000000000004">
      <c r="A1801" s="6">
        <v>1.5658292155628571E+19</v>
      </c>
      <c r="B1801">
        <v>544</v>
      </c>
      <c r="C1801">
        <v>1</v>
      </c>
      <c r="D1801">
        <v>1677</v>
      </c>
      <c r="E1801">
        <f t="shared" si="116"/>
        <v>4</v>
      </c>
      <c r="F1801">
        <f t="shared" si="117"/>
        <v>1</v>
      </c>
      <c r="G1801">
        <f t="shared" si="118"/>
        <v>2</v>
      </c>
      <c r="H1801">
        <f t="shared" si="119"/>
        <v>412</v>
      </c>
    </row>
    <row r="1802" spans="1:8" x14ac:dyDescent="0.55000000000000004">
      <c r="A1802" s="6">
        <v>1.5670996990043869E+19</v>
      </c>
      <c r="B1802">
        <v>460</v>
      </c>
      <c r="C1802">
        <v>1</v>
      </c>
      <c r="D1802">
        <v>7345</v>
      </c>
      <c r="E1802">
        <f t="shared" si="116"/>
        <v>4</v>
      </c>
      <c r="F1802">
        <f t="shared" si="117"/>
        <v>1</v>
      </c>
      <c r="G1802">
        <f t="shared" si="118"/>
        <v>3</v>
      </c>
      <c r="H1802">
        <f t="shared" si="119"/>
        <v>413</v>
      </c>
    </row>
    <row r="1803" spans="1:8" x14ac:dyDescent="0.55000000000000004">
      <c r="A1803" s="6">
        <v>1.5673232483183659E+19</v>
      </c>
      <c r="B1803">
        <v>336</v>
      </c>
      <c r="C1803">
        <v>1</v>
      </c>
      <c r="D1803">
        <v>141</v>
      </c>
      <c r="E1803">
        <f t="shared" si="116"/>
        <v>4</v>
      </c>
      <c r="F1803">
        <f t="shared" si="117"/>
        <v>1</v>
      </c>
      <c r="G1803">
        <f t="shared" si="118"/>
        <v>1</v>
      </c>
      <c r="H1803">
        <f t="shared" si="119"/>
        <v>411</v>
      </c>
    </row>
    <row r="1804" spans="1:8" x14ac:dyDescent="0.55000000000000004">
      <c r="A1804" s="6">
        <v>1.5679140564797399E+19</v>
      </c>
      <c r="B1804">
        <v>419</v>
      </c>
      <c r="C1804">
        <v>1</v>
      </c>
      <c r="D1804">
        <v>400</v>
      </c>
      <c r="E1804">
        <f t="shared" si="116"/>
        <v>4</v>
      </c>
      <c r="F1804">
        <f t="shared" si="117"/>
        <v>1</v>
      </c>
      <c r="G1804">
        <f t="shared" si="118"/>
        <v>1</v>
      </c>
      <c r="H1804">
        <f t="shared" si="119"/>
        <v>411</v>
      </c>
    </row>
    <row r="1805" spans="1:8" x14ac:dyDescent="0.55000000000000004">
      <c r="A1805" s="6">
        <v>1.5733382584919939E+19</v>
      </c>
      <c r="B1805">
        <v>892</v>
      </c>
      <c r="C1805">
        <v>1</v>
      </c>
      <c r="D1805">
        <v>2010</v>
      </c>
      <c r="E1805">
        <f t="shared" si="116"/>
        <v>2</v>
      </c>
      <c r="F1805">
        <f t="shared" si="117"/>
        <v>1</v>
      </c>
      <c r="G1805">
        <f t="shared" si="118"/>
        <v>2</v>
      </c>
      <c r="H1805">
        <f t="shared" si="119"/>
        <v>212</v>
      </c>
    </row>
    <row r="1806" spans="1:8" x14ac:dyDescent="0.55000000000000004">
      <c r="A1806" s="6">
        <v>1.574274455372594E+19</v>
      </c>
      <c r="B1806">
        <v>604</v>
      </c>
      <c r="C1806">
        <v>1</v>
      </c>
      <c r="D1806">
        <v>858</v>
      </c>
      <c r="E1806">
        <f t="shared" si="116"/>
        <v>3</v>
      </c>
      <c r="F1806">
        <f t="shared" si="117"/>
        <v>1</v>
      </c>
      <c r="G1806">
        <f t="shared" si="118"/>
        <v>2</v>
      </c>
      <c r="H1806">
        <f t="shared" si="119"/>
        <v>312</v>
      </c>
    </row>
    <row r="1807" spans="1:8" x14ac:dyDescent="0.55000000000000004">
      <c r="A1807" s="6">
        <v>1.5765648282367701E+19</v>
      </c>
      <c r="B1807">
        <v>1101</v>
      </c>
      <c r="C1807">
        <v>1</v>
      </c>
      <c r="D1807">
        <v>1494</v>
      </c>
      <c r="E1807">
        <f t="shared" si="116"/>
        <v>2</v>
      </c>
      <c r="F1807">
        <f t="shared" si="117"/>
        <v>1</v>
      </c>
      <c r="G1807">
        <f t="shared" si="118"/>
        <v>2</v>
      </c>
      <c r="H1807">
        <f t="shared" si="119"/>
        <v>212</v>
      </c>
    </row>
    <row r="1808" spans="1:8" x14ac:dyDescent="0.55000000000000004">
      <c r="A1808" s="6">
        <v>1.5767204741208119E+19</v>
      </c>
      <c r="B1808">
        <v>766</v>
      </c>
      <c r="C1808">
        <v>2</v>
      </c>
      <c r="D1808">
        <v>2567</v>
      </c>
      <c r="E1808">
        <f t="shared" si="116"/>
        <v>3</v>
      </c>
      <c r="F1808">
        <f t="shared" si="117"/>
        <v>2</v>
      </c>
      <c r="G1808">
        <f t="shared" si="118"/>
        <v>3</v>
      </c>
      <c r="H1808">
        <f t="shared" si="119"/>
        <v>323</v>
      </c>
    </row>
    <row r="1809" spans="1:8" x14ac:dyDescent="0.55000000000000004">
      <c r="A1809" s="6">
        <v>1.577062822882959E+19</v>
      </c>
      <c r="B1809">
        <v>655</v>
      </c>
      <c r="C1809">
        <v>1</v>
      </c>
      <c r="D1809">
        <v>728</v>
      </c>
      <c r="E1809">
        <f t="shared" si="116"/>
        <v>3</v>
      </c>
      <c r="F1809">
        <f t="shared" si="117"/>
        <v>1</v>
      </c>
      <c r="G1809">
        <f t="shared" si="118"/>
        <v>2</v>
      </c>
      <c r="H1809">
        <f t="shared" si="119"/>
        <v>312</v>
      </c>
    </row>
    <row r="1810" spans="1:8" x14ac:dyDescent="0.55000000000000004">
      <c r="A1810" s="6">
        <v>1.577234568859785E+19</v>
      </c>
      <c r="B1810">
        <v>296</v>
      </c>
      <c r="C1810">
        <v>1</v>
      </c>
      <c r="D1810">
        <v>573</v>
      </c>
      <c r="E1810">
        <f t="shared" si="116"/>
        <v>4</v>
      </c>
      <c r="F1810">
        <f t="shared" si="117"/>
        <v>1</v>
      </c>
      <c r="G1810">
        <f t="shared" si="118"/>
        <v>1</v>
      </c>
      <c r="H1810">
        <f t="shared" si="119"/>
        <v>411</v>
      </c>
    </row>
    <row r="1811" spans="1:8" x14ac:dyDescent="0.55000000000000004">
      <c r="A1811" s="6">
        <v>1.579376496402424E+19</v>
      </c>
      <c r="B1811">
        <v>287</v>
      </c>
      <c r="C1811">
        <v>1</v>
      </c>
      <c r="D1811">
        <v>2248</v>
      </c>
      <c r="E1811">
        <f t="shared" si="116"/>
        <v>5</v>
      </c>
      <c r="F1811">
        <f t="shared" si="117"/>
        <v>1</v>
      </c>
      <c r="G1811">
        <f t="shared" si="118"/>
        <v>3</v>
      </c>
      <c r="H1811">
        <f t="shared" si="119"/>
        <v>513</v>
      </c>
    </row>
    <row r="1812" spans="1:8" x14ac:dyDescent="0.55000000000000004">
      <c r="A1812" s="6">
        <v>1.5813384205698601E+19</v>
      </c>
      <c r="B1812">
        <v>780</v>
      </c>
      <c r="C1812">
        <v>1</v>
      </c>
      <c r="D1812">
        <v>180</v>
      </c>
      <c r="E1812">
        <f t="shared" si="116"/>
        <v>3</v>
      </c>
      <c r="F1812">
        <f t="shared" si="117"/>
        <v>1</v>
      </c>
      <c r="G1812">
        <f t="shared" si="118"/>
        <v>1</v>
      </c>
      <c r="H1812">
        <f t="shared" si="119"/>
        <v>311</v>
      </c>
    </row>
    <row r="1813" spans="1:8" x14ac:dyDescent="0.55000000000000004">
      <c r="A1813" s="6">
        <v>1.5813885059110459E+19</v>
      </c>
      <c r="B1813">
        <v>700</v>
      </c>
      <c r="C1813">
        <v>2</v>
      </c>
      <c r="D1813">
        <v>6540</v>
      </c>
      <c r="E1813">
        <f t="shared" si="116"/>
        <v>3</v>
      </c>
      <c r="F1813">
        <f t="shared" si="117"/>
        <v>2</v>
      </c>
      <c r="G1813">
        <f t="shared" si="118"/>
        <v>3</v>
      </c>
      <c r="H1813">
        <f t="shared" si="119"/>
        <v>323</v>
      </c>
    </row>
    <row r="1814" spans="1:8" x14ac:dyDescent="0.55000000000000004">
      <c r="A1814" s="6">
        <v>1.5835843431138941E+19</v>
      </c>
      <c r="B1814">
        <v>1150</v>
      </c>
      <c r="C1814">
        <v>1</v>
      </c>
      <c r="D1814">
        <v>56</v>
      </c>
      <c r="E1814">
        <f t="shared" si="116"/>
        <v>2</v>
      </c>
      <c r="F1814">
        <f t="shared" si="117"/>
        <v>1</v>
      </c>
      <c r="G1814">
        <f t="shared" si="118"/>
        <v>1</v>
      </c>
      <c r="H1814">
        <f t="shared" si="119"/>
        <v>211</v>
      </c>
    </row>
    <row r="1815" spans="1:8" x14ac:dyDescent="0.55000000000000004">
      <c r="A1815" s="6">
        <v>1.584062040801715E+19</v>
      </c>
      <c r="B1815">
        <v>197</v>
      </c>
      <c r="C1815">
        <v>2</v>
      </c>
      <c r="D1815">
        <v>5091</v>
      </c>
      <c r="E1815">
        <f t="shared" si="116"/>
        <v>5</v>
      </c>
      <c r="F1815">
        <f t="shared" si="117"/>
        <v>2</v>
      </c>
      <c r="G1815">
        <f t="shared" si="118"/>
        <v>3</v>
      </c>
      <c r="H1815">
        <f t="shared" si="119"/>
        <v>523</v>
      </c>
    </row>
    <row r="1816" spans="1:8" x14ac:dyDescent="0.55000000000000004">
      <c r="A1816" s="6">
        <v>1.584200674600909E+19</v>
      </c>
      <c r="B1816">
        <v>414</v>
      </c>
      <c r="C1816">
        <v>1</v>
      </c>
      <c r="D1816">
        <v>1663</v>
      </c>
      <c r="E1816">
        <f t="shared" si="116"/>
        <v>4</v>
      </c>
      <c r="F1816">
        <f t="shared" si="117"/>
        <v>1</v>
      </c>
      <c r="G1816">
        <f t="shared" si="118"/>
        <v>2</v>
      </c>
      <c r="H1816">
        <f t="shared" si="119"/>
        <v>412</v>
      </c>
    </row>
    <row r="1817" spans="1:8" x14ac:dyDescent="0.55000000000000004">
      <c r="A1817" s="6">
        <v>1.584657330440481E+19</v>
      </c>
      <c r="B1817">
        <v>480</v>
      </c>
      <c r="C1817">
        <v>1</v>
      </c>
      <c r="D1817">
        <v>6125</v>
      </c>
      <c r="E1817">
        <f t="shared" si="116"/>
        <v>4</v>
      </c>
      <c r="F1817">
        <f t="shared" si="117"/>
        <v>1</v>
      </c>
      <c r="G1817">
        <f t="shared" si="118"/>
        <v>3</v>
      </c>
      <c r="H1817">
        <f t="shared" si="119"/>
        <v>413</v>
      </c>
    </row>
    <row r="1818" spans="1:8" x14ac:dyDescent="0.55000000000000004">
      <c r="A1818" s="6">
        <v>1.5852763988421089E+19</v>
      </c>
      <c r="B1818">
        <v>30</v>
      </c>
      <c r="C1818">
        <v>1</v>
      </c>
      <c r="D1818">
        <v>380</v>
      </c>
      <c r="E1818">
        <f t="shared" si="116"/>
        <v>5</v>
      </c>
      <c r="F1818">
        <f t="shared" si="117"/>
        <v>1</v>
      </c>
      <c r="G1818">
        <f t="shared" si="118"/>
        <v>1</v>
      </c>
      <c r="H1818">
        <f t="shared" si="119"/>
        <v>511</v>
      </c>
    </row>
    <row r="1819" spans="1:8" x14ac:dyDescent="0.55000000000000004">
      <c r="A1819" s="6">
        <v>1.586258091061504E+19</v>
      </c>
      <c r="B1819">
        <v>769</v>
      </c>
      <c r="C1819">
        <v>1</v>
      </c>
      <c r="D1819">
        <v>319</v>
      </c>
      <c r="E1819">
        <f t="shared" si="116"/>
        <v>3</v>
      </c>
      <c r="F1819">
        <f t="shared" si="117"/>
        <v>1</v>
      </c>
      <c r="G1819">
        <f t="shared" si="118"/>
        <v>1</v>
      </c>
      <c r="H1819">
        <f t="shared" si="119"/>
        <v>311</v>
      </c>
    </row>
    <row r="1820" spans="1:8" x14ac:dyDescent="0.55000000000000004">
      <c r="A1820" s="6">
        <v>1.58638210703E+19</v>
      </c>
      <c r="B1820">
        <v>197</v>
      </c>
      <c r="C1820">
        <v>1</v>
      </c>
      <c r="D1820">
        <v>10795</v>
      </c>
      <c r="E1820">
        <f t="shared" si="116"/>
        <v>5</v>
      </c>
      <c r="F1820">
        <f t="shared" si="117"/>
        <v>1</v>
      </c>
      <c r="G1820">
        <f t="shared" si="118"/>
        <v>3</v>
      </c>
      <c r="H1820">
        <f t="shared" si="119"/>
        <v>513</v>
      </c>
    </row>
    <row r="1821" spans="1:8" x14ac:dyDescent="0.55000000000000004">
      <c r="A1821" s="6">
        <v>1.586779565632888E+19</v>
      </c>
      <c r="B1821">
        <v>267</v>
      </c>
      <c r="C1821">
        <v>1</v>
      </c>
      <c r="D1821">
        <v>79</v>
      </c>
      <c r="E1821">
        <f t="shared" si="116"/>
        <v>5</v>
      </c>
      <c r="F1821">
        <f t="shared" si="117"/>
        <v>1</v>
      </c>
      <c r="G1821">
        <f t="shared" si="118"/>
        <v>1</v>
      </c>
      <c r="H1821">
        <f t="shared" si="119"/>
        <v>511</v>
      </c>
    </row>
    <row r="1822" spans="1:8" x14ac:dyDescent="0.55000000000000004">
      <c r="A1822" s="6">
        <v>1.5891010530776771E+19</v>
      </c>
      <c r="B1822">
        <v>3</v>
      </c>
      <c r="C1822">
        <v>2</v>
      </c>
      <c r="D1822">
        <v>34740</v>
      </c>
      <c r="E1822">
        <f t="shared" si="116"/>
        <v>5</v>
      </c>
      <c r="F1822">
        <f t="shared" si="117"/>
        <v>2</v>
      </c>
      <c r="G1822">
        <f t="shared" si="118"/>
        <v>3</v>
      </c>
      <c r="H1822">
        <f t="shared" si="119"/>
        <v>523</v>
      </c>
    </row>
    <row r="1823" spans="1:8" x14ac:dyDescent="0.55000000000000004">
      <c r="A1823" s="6">
        <v>1.589297249966993E+19</v>
      </c>
      <c r="B1823">
        <v>270</v>
      </c>
      <c r="C1823">
        <v>1</v>
      </c>
      <c r="D1823">
        <v>470</v>
      </c>
      <c r="E1823">
        <f t="shared" si="116"/>
        <v>5</v>
      </c>
      <c r="F1823">
        <f t="shared" si="117"/>
        <v>1</v>
      </c>
      <c r="G1823">
        <f t="shared" si="118"/>
        <v>1</v>
      </c>
      <c r="H1823">
        <f t="shared" si="119"/>
        <v>511</v>
      </c>
    </row>
    <row r="1824" spans="1:8" x14ac:dyDescent="0.55000000000000004">
      <c r="A1824" s="6">
        <v>1.589363081237684E+19</v>
      </c>
      <c r="B1824">
        <v>591</v>
      </c>
      <c r="C1824">
        <v>1</v>
      </c>
      <c r="D1824">
        <v>179</v>
      </c>
      <c r="E1824">
        <f t="shared" si="116"/>
        <v>3</v>
      </c>
      <c r="F1824">
        <f t="shared" si="117"/>
        <v>1</v>
      </c>
      <c r="G1824">
        <f t="shared" si="118"/>
        <v>1</v>
      </c>
      <c r="H1824">
        <f t="shared" si="119"/>
        <v>311</v>
      </c>
    </row>
    <row r="1825" spans="1:8" x14ac:dyDescent="0.55000000000000004">
      <c r="A1825" s="6">
        <v>1.58983942898392E+19</v>
      </c>
      <c r="B1825">
        <v>363</v>
      </c>
      <c r="C1825">
        <v>1</v>
      </c>
      <c r="D1825">
        <v>1547</v>
      </c>
      <c r="E1825">
        <f t="shared" si="116"/>
        <v>4</v>
      </c>
      <c r="F1825">
        <f t="shared" si="117"/>
        <v>1</v>
      </c>
      <c r="G1825">
        <f t="shared" si="118"/>
        <v>2</v>
      </c>
      <c r="H1825">
        <f t="shared" si="119"/>
        <v>412</v>
      </c>
    </row>
    <row r="1826" spans="1:8" x14ac:dyDescent="0.55000000000000004">
      <c r="A1826" s="6">
        <v>1.5902464288007451E+19</v>
      </c>
      <c r="B1826">
        <v>618</v>
      </c>
      <c r="C1826">
        <v>1</v>
      </c>
      <c r="D1826">
        <v>1070</v>
      </c>
      <c r="E1826">
        <f t="shared" si="116"/>
        <v>3</v>
      </c>
      <c r="F1826">
        <f t="shared" si="117"/>
        <v>1</v>
      </c>
      <c r="G1826">
        <f t="shared" si="118"/>
        <v>2</v>
      </c>
      <c r="H1826">
        <f t="shared" si="119"/>
        <v>312</v>
      </c>
    </row>
    <row r="1827" spans="1:8" x14ac:dyDescent="0.55000000000000004">
      <c r="A1827" s="6">
        <v>1.5904387609983511E+19</v>
      </c>
      <c r="B1827">
        <v>725</v>
      </c>
      <c r="C1827">
        <v>1</v>
      </c>
      <c r="D1827">
        <v>2083</v>
      </c>
      <c r="E1827">
        <f t="shared" si="116"/>
        <v>3</v>
      </c>
      <c r="F1827">
        <f t="shared" si="117"/>
        <v>1</v>
      </c>
      <c r="G1827">
        <f t="shared" si="118"/>
        <v>2</v>
      </c>
      <c r="H1827">
        <f t="shared" si="119"/>
        <v>312</v>
      </c>
    </row>
    <row r="1828" spans="1:8" x14ac:dyDescent="0.55000000000000004">
      <c r="A1828" s="6">
        <v>1.591305381159808E+19</v>
      </c>
      <c r="B1828">
        <v>1213</v>
      </c>
      <c r="C1828">
        <v>1</v>
      </c>
      <c r="D1828">
        <v>1078</v>
      </c>
      <c r="E1828">
        <f t="shared" si="116"/>
        <v>1</v>
      </c>
      <c r="F1828">
        <f t="shared" si="117"/>
        <v>1</v>
      </c>
      <c r="G1828">
        <f t="shared" si="118"/>
        <v>2</v>
      </c>
      <c r="H1828">
        <f t="shared" si="119"/>
        <v>112</v>
      </c>
    </row>
    <row r="1829" spans="1:8" x14ac:dyDescent="0.55000000000000004">
      <c r="A1829" s="6">
        <v>1.591836987103461E+19</v>
      </c>
      <c r="B1829">
        <v>1068</v>
      </c>
      <c r="C1829">
        <v>1</v>
      </c>
      <c r="D1829">
        <v>153</v>
      </c>
      <c r="E1829">
        <f t="shared" si="116"/>
        <v>2</v>
      </c>
      <c r="F1829">
        <f t="shared" si="117"/>
        <v>1</v>
      </c>
      <c r="G1829">
        <f t="shared" si="118"/>
        <v>1</v>
      </c>
      <c r="H1829">
        <f t="shared" si="119"/>
        <v>211</v>
      </c>
    </row>
    <row r="1830" spans="1:8" x14ac:dyDescent="0.55000000000000004">
      <c r="A1830" s="6">
        <v>1.592196729020561E+19</v>
      </c>
      <c r="B1830">
        <v>1223</v>
      </c>
      <c r="C1830">
        <v>1</v>
      </c>
      <c r="D1830">
        <v>69</v>
      </c>
      <c r="E1830">
        <f t="shared" si="116"/>
        <v>1</v>
      </c>
      <c r="F1830">
        <f t="shared" si="117"/>
        <v>1</v>
      </c>
      <c r="G1830">
        <f t="shared" si="118"/>
        <v>1</v>
      </c>
      <c r="H1830">
        <f t="shared" si="119"/>
        <v>111</v>
      </c>
    </row>
    <row r="1831" spans="1:8" x14ac:dyDescent="0.55000000000000004">
      <c r="A1831" s="6">
        <v>1.5926796688468109E+19</v>
      </c>
      <c r="B1831">
        <v>141</v>
      </c>
      <c r="C1831">
        <v>2</v>
      </c>
      <c r="D1831">
        <v>2700</v>
      </c>
      <c r="E1831">
        <f t="shared" si="116"/>
        <v>5</v>
      </c>
      <c r="F1831">
        <f t="shared" si="117"/>
        <v>2</v>
      </c>
      <c r="G1831">
        <f t="shared" si="118"/>
        <v>3</v>
      </c>
      <c r="H1831">
        <f t="shared" si="119"/>
        <v>523</v>
      </c>
    </row>
    <row r="1832" spans="1:8" x14ac:dyDescent="0.55000000000000004">
      <c r="A1832" s="6">
        <v>1.5942815274304819E+19</v>
      </c>
      <c r="B1832">
        <v>287</v>
      </c>
      <c r="C1832">
        <v>1</v>
      </c>
      <c r="D1832">
        <v>441</v>
      </c>
      <c r="E1832">
        <f t="shared" si="116"/>
        <v>5</v>
      </c>
      <c r="F1832">
        <f t="shared" si="117"/>
        <v>1</v>
      </c>
      <c r="G1832">
        <f t="shared" si="118"/>
        <v>1</v>
      </c>
      <c r="H1832">
        <f t="shared" si="119"/>
        <v>511</v>
      </c>
    </row>
    <row r="1833" spans="1:8" x14ac:dyDescent="0.55000000000000004">
      <c r="A1833" s="6">
        <v>1.594292530528237E+19</v>
      </c>
      <c r="B1833">
        <v>118</v>
      </c>
      <c r="C1833">
        <v>1</v>
      </c>
      <c r="D1833">
        <v>4136</v>
      </c>
      <c r="E1833">
        <f t="shared" si="116"/>
        <v>5</v>
      </c>
      <c r="F1833">
        <f t="shared" si="117"/>
        <v>1</v>
      </c>
      <c r="G1833">
        <f t="shared" si="118"/>
        <v>3</v>
      </c>
      <c r="H1833">
        <f t="shared" si="119"/>
        <v>513</v>
      </c>
    </row>
    <row r="1834" spans="1:8" x14ac:dyDescent="0.55000000000000004">
      <c r="A1834" s="6">
        <v>1.5981399699913851E+19</v>
      </c>
      <c r="B1834">
        <v>600</v>
      </c>
      <c r="C1834">
        <v>1</v>
      </c>
      <c r="D1834">
        <v>1490</v>
      </c>
      <c r="E1834">
        <f t="shared" si="116"/>
        <v>3</v>
      </c>
      <c r="F1834">
        <f t="shared" si="117"/>
        <v>1</v>
      </c>
      <c r="G1834">
        <f t="shared" si="118"/>
        <v>2</v>
      </c>
      <c r="H1834">
        <f t="shared" si="119"/>
        <v>312</v>
      </c>
    </row>
    <row r="1835" spans="1:8" x14ac:dyDescent="0.55000000000000004">
      <c r="A1835" s="6">
        <v>1.5997309967392891E+19</v>
      </c>
      <c r="B1835">
        <v>59</v>
      </c>
      <c r="C1835">
        <v>3</v>
      </c>
      <c r="D1835">
        <v>3270</v>
      </c>
      <c r="E1835">
        <f t="shared" si="116"/>
        <v>5</v>
      </c>
      <c r="F1835">
        <f t="shared" si="117"/>
        <v>3</v>
      </c>
      <c r="G1835">
        <f t="shared" si="118"/>
        <v>3</v>
      </c>
      <c r="H1835">
        <f t="shared" si="119"/>
        <v>533</v>
      </c>
    </row>
    <row r="1836" spans="1:8" x14ac:dyDescent="0.55000000000000004">
      <c r="A1836" s="6">
        <v>1.600783233449292E+19</v>
      </c>
      <c r="B1836">
        <v>244</v>
      </c>
      <c r="C1836">
        <v>2</v>
      </c>
      <c r="D1836">
        <v>11697</v>
      </c>
      <c r="E1836">
        <f t="shared" si="116"/>
        <v>5</v>
      </c>
      <c r="F1836">
        <f t="shared" si="117"/>
        <v>2</v>
      </c>
      <c r="G1836">
        <f t="shared" si="118"/>
        <v>3</v>
      </c>
      <c r="H1836">
        <f t="shared" si="119"/>
        <v>523</v>
      </c>
    </row>
    <row r="1837" spans="1:8" x14ac:dyDescent="0.55000000000000004">
      <c r="A1837" s="6">
        <v>1.6012773091087811E+19</v>
      </c>
      <c r="B1837">
        <v>86</v>
      </c>
      <c r="C1837">
        <v>1</v>
      </c>
      <c r="D1837">
        <v>227</v>
      </c>
      <c r="E1837">
        <f t="shared" si="116"/>
        <v>5</v>
      </c>
      <c r="F1837">
        <f t="shared" si="117"/>
        <v>1</v>
      </c>
      <c r="G1837">
        <f t="shared" si="118"/>
        <v>1</v>
      </c>
      <c r="H1837">
        <f t="shared" si="119"/>
        <v>511</v>
      </c>
    </row>
    <row r="1838" spans="1:8" x14ac:dyDescent="0.55000000000000004">
      <c r="A1838" s="6">
        <v>1.6019234248555399E+19</v>
      </c>
      <c r="B1838">
        <v>73</v>
      </c>
      <c r="C1838">
        <v>1</v>
      </c>
      <c r="D1838">
        <v>2070</v>
      </c>
      <c r="E1838">
        <f t="shared" si="116"/>
        <v>5</v>
      </c>
      <c r="F1838">
        <f t="shared" si="117"/>
        <v>1</v>
      </c>
      <c r="G1838">
        <f t="shared" si="118"/>
        <v>2</v>
      </c>
      <c r="H1838">
        <f t="shared" si="119"/>
        <v>512</v>
      </c>
    </row>
    <row r="1839" spans="1:8" x14ac:dyDescent="0.55000000000000004">
      <c r="A1839" s="6">
        <v>1.602625952599124E+19</v>
      </c>
      <c r="B1839">
        <v>900</v>
      </c>
      <c r="C1839">
        <v>2</v>
      </c>
      <c r="D1839">
        <v>1122</v>
      </c>
      <c r="E1839">
        <f t="shared" si="116"/>
        <v>2</v>
      </c>
      <c r="F1839">
        <f t="shared" si="117"/>
        <v>2</v>
      </c>
      <c r="G1839">
        <f t="shared" si="118"/>
        <v>2</v>
      </c>
      <c r="H1839">
        <f t="shared" si="119"/>
        <v>222</v>
      </c>
    </row>
    <row r="1840" spans="1:8" x14ac:dyDescent="0.55000000000000004">
      <c r="A1840" s="6">
        <v>1.602840828731018E+19</v>
      </c>
      <c r="B1840">
        <v>585</v>
      </c>
      <c r="C1840">
        <v>2</v>
      </c>
      <c r="D1840">
        <v>1616</v>
      </c>
      <c r="E1840">
        <f t="shared" si="116"/>
        <v>3</v>
      </c>
      <c r="F1840">
        <f t="shared" si="117"/>
        <v>2</v>
      </c>
      <c r="G1840">
        <f t="shared" si="118"/>
        <v>2</v>
      </c>
      <c r="H1840">
        <f t="shared" si="119"/>
        <v>322</v>
      </c>
    </row>
    <row r="1841" spans="1:8" x14ac:dyDescent="0.55000000000000004">
      <c r="A1841" s="6">
        <v>1.603422478619186E+19</v>
      </c>
      <c r="B1841">
        <v>759</v>
      </c>
      <c r="C1841">
        <v>2</v>
      </c>
      <c r="D1841">
        <v>333</v>
      </c>
      <c r="E1841">
        <f t="shared" si="116"/>
        <v>3</v>
      </c>
      <c r="F1841">
        <f t="shared" si="117"/>
        <v>2</v>
      </c>
      <c r="G1841">
        <f t="shared" si="118"/>
        <v>1</v>
      </c>
      <c r="H1841">
        <f t="shared" si="119"/>
        <v>321</v>
      </c>
    </row>
    <row r="1842" spans="1:8" x14ac:dyDescent="0.55000000000000004">
      <c r="A1842" s="6">
        <v>1.604934454293963E+19</v>
      </c>
      <c r="B1842">
        <v>902</v>
      </c>
      <c r="C1842">
        <v>1</v>
      </c>
      <c r="D1842">
        <v>957</v>
      </c>
      <c r="E1842">
        <f t="shared" si="116"/>
        <v>2</v>
      </c>
      <c r="F1842">
        <f t="shared" si="117"/>
        <v>1</v>
      </c>
      <c r="G1842">
        <f t="shared" si="118"/>
        <v>2</v>
      </c>
      <c r="H1842">
        <f t="shared" si="119"/>
        <v>212</v>
      </c>
    </row>
    <row r="1843" spans="1:8" x14ac:dyDescent="0.55000000000000004">
      <c r="A1843" s="6">
        <v>1.606085863376258E+19</v>
      </c>
      <c r="B1843">
        <v>168</v>
      </c>
      <c r="C1843">
        <v>1</v>
      </c>
      <c r="D1843">
        <v>1097</v>
      </c>
      <c r="E1843">
        <f t="shared" si="116"/>
        <v>5</v>
      </c>
      <c r="F1843">
        <f t="shared" si="117"/>
        <v>1</v>
      </c>
      <c r="G1843">
        <f t="shared" si="118"/>
        <v>2</v>
      </c>
      <c r="H1843">
        <f t="shared" si="119"/>
        <v>512</v>
      </c>
    </row>
    <row r="1844" spans="1:8" x14ac:dyDescent="0.55000000000000004">
      <c r="A1844" s="6">
        <v>1.608001931279139E+19</v>
      </c>
      <c r="B1844">
        <v>1029</v>
      </c>
      <c r="C1844">
        <v>1</v>
      </c>
      <c r="D1844">
        <v>2075</v>
      </c>
      <c r="E1844">
        <f t="shared" si="116"/>
        <v>2</v>
      </c>
      <c r="F1844">
        <f t="shared" si="117"/>
        <v>1</v>
      </c>
      <c r="G1844">
        <f t="shared" si="118"/>
        <v>2</v>
      </c>
      <c r="H1844">
        <f t="shared" si="119"/>
        <v>212</v>
      </c>
    </row>
    <row r="1845" spans="1:8" x14ac:dyDescent="0.55000000000000004">
      <c r="A1845" s="6">
        <v>1.6082214315427379E+19</v>
      </c>
      <c r="B1845">
        <v>283</v>
      </c>
      <c r="C1845">
        <v>1</v>
      </c>
      <c r="D1845">
        <v>477</v>
      </c>
      <c r="E1845">
        <f t="shared" si="116"/>
        <v>5</v>
      </c>
      <c r="F1845">
        <f t="shared" si="117"/>
        <v>1</v>
      </c>
      <c r="G1845">
        <f t="shared" si="118"/>
        <v>1</v>
      </c>
      <c r="H1845">
        <f t="shared" si="119"/>
        <v>511</v>
      </c>
    </row>
    <row r="1846" spans="1:8" x14ac:dyDescent="0.55000000000000004">
      <c r="A1846" s="6">
        <v>1.6094244417354549E+19</v>
      </c>
      <c r="B1846">
        <v>84</v>
      </c>
      <c r="C1846">
        <v>1</v>
      </c>
      <c r="D1846">
        <v>1874</v>
      </c>
      <c r="E1846">
        <f t="shared" si="116"/>
        <v>5</v>
      </c>
      <c r="F1846">
        <f t="shared" si="117"/>
        <v>1</v>
      </c>
      <c r="G1846">
        <f t="shared" si="118"/>
        <v>2</v>
      </c>
      <c r="H1846">
        <f t="shared" si="119"/>
        <v>512</v>
      </c>
    </row>
    <row r="1847" spans="1:8" x14ac:dyDescent="0.55000000000000004">
      <c r="A1847" s="6">
        <v>1.609852388043197E+19</v>
      </c>
      <c r="B1847">
        <v>531</v>
      </c>
      <c r="C1847">
        <v>2</v>
      </c>
      <c r="D1847">
        <v>8221</v>
      </c>
      <c r="E1847">
        <f t="shared" si="116"/>
        <v>4</v>
      </c>
      <c r="F1847">
        <f t="shared" si="117"/>
        <v>2</v>
      </c>
      <c r="G1847">
        <f t="shared" si="118"/>
        <v>3</v>
      </c>
      <c r="H1847">
        <f t="shared" si="119"/>
        <v>423</v>
      </c>
    </row>
    <row r="1848" spans="1:8" x14ac:dyDescent="0.55000000000000004">
      <c r="A1848" s="6">
        <v>1.6108854001866289E+19</v>
      </c>
      <c r="B1848">
        <v>1027</v>
      </c>
      <c r="C1848">
        <v>1</v>
      </c>
      <c r="D1848">
        <v>59</v>
      </c>
      <c r="E1848">
        <f t="shared" si="116"/>
        <v>2</v>
      </c>
      <c r="F1848">
        <f t="shared" si="117"/>
        <v>1</v>
      </c>
      <c r="G1848">
        <f t="shared" si="118"/>
        <v>1</v>
      </c>
      <c r="H1848">
        <f t="shared" si="119"/>
        <v>211</v>
      </c>
    </row>
    <row r="1849" spans="1:8" x14ac:dyDescent="0.55000000000000004">
      <c r="A1849" s="6">
        <v>1.6110035923754729E+19</v>
      </c>
      <c r="B1849">
        <v>634</v>
      </c>
      <c r="C1849">
        <v>1</v>
      </c>
      <c r="D1849">
        <v>68</v>
      </c>
      <c r="E1849">
        <f t="shared" si="116"/>
        <v>3</v>
      </c>
      <c r="F1849">
        <f t="shared" si="117"/>
        <v>1</v>
      </c>
      <c r="G1849">
        <f t="shared" si="118"/>
        <v>1</v>
      </c>
      <c r="H1849">
        <f t="shared" si="119"/>
        <v>311</v>
      </c>
    </row>
    <row r="1850" spans="1:8" x14ac:dyDescent="0.55000000000000004">
      <c r="A1850" s="6">
        <v>1.6131516332605991E+19</v>
      </c>
      <c r="B1850">
        <v>305</v>
      </c>
      <c r="C1850">
        <v>1</v>
      </c>
      <c r="D1850">
        <v>157</v>
      </c>
      <c r="E1850">
        <f t="shared" si="116"/>
        <v>4</v>
      </c>
      <c r="F1850">
        <f t="shared" si="117"/>
        <v>1</v>
      </c>
      <c r="G1850">
        <f t="shared" si="118"/>
        <v>1</v>
      </c>
      <c r="H1850">
        <f t="shared" si="119"/>
        <v>411</v>
      </c>
    </row>
    <row r="1851" spans="1:8" x14ac:dyDescent="0.55000000000000004">
      <c r="A1851" s="6">
        <v>1.61330462329647E+19</v>
      </c>
      <c r="B1851">
        <v>53</v>
      </c>
      <c r="C1851">
        <v>1</v>
      </c>
      <c r="D1851">
        <v>8769</v>
      </c>
      <c r="E1851">
        <f t="shared" si="116"/>
        <v>5</v>
      </c>
      <c r="F1851">
        <f t="shared" si="117"/>
        <v>1</v>
      </c>
      <c r="G1851">
        <f t="shared" si="118"/>
        <v>3</v>
      </c>
      <c r="H1851">
        <f t="shared" si="119"/>
        <v>513</v>
      </c>
    </row>
    <row r="1852" spans="1:8" x14ac:dyDescent="0.55000000000000004">
      <c r="A1852" s="6">
        <v>1.6133138332866609E+19</v>
      </c>
      <c r="B1852">
        <v>529</v>
      </c>
      <c r="C1852">
        <v>1</v>
      </c>
      <c r="D1852">
        <v>1659</v>
      </c>
      <c r="E1852">
        <f t="shared" si="116"/>
        <v>4</v>
      </c>
      <c r="F1852">
        <f t="shared" si="117"/>
        <v>1</v>
      </c>
      <c r="G1852">
        <f t="shared" si="118"/>
        <v>2</v>
      </c>
      <c r="H1852">
        <f t="shared" si="119"/>
        <v>412</v>
      </c>
    </row>
    <row r="1853" spans="1:8" x14ac:dyDescent="0.55000000000000004">
      <c r="A1853" s="6">
        <v>1.614429735529943E+19</v>
      </c>
      <c r="B1853">
        <v>185</v>
      </c>
      <c r="C1853">
        <v>1</v>
      </c>
      <c r="D1853">
        <v>767</v>
      </c>
      <c r="E1853">
        <f t="shared" si="116"/>
        <v>5</v>
      </c>
      <c r="F1853">
        <f t="shared" si="117"/>
        <v>1</v>
      </c>
      <c r="G1853">
        <f t="shared" si="118"/>
        <v>2</v>
      </c>
      <c r="H1853">
        <f t="shared" si="119"/>
        <v>512</v>
      </c>
    </row>
    <row r="1854" spans="1:8" x14ac:dyDescent="0.55000000000000004">
      <c r="A1854" s="6">
        <v>1.6145584499031321E+19</v>
      </c>
      <c r="B1854">
        <v>888</v>
      </c>
      <c r="C1854">
        <v>1</v>
      </c>
      <c r="D1854">
        <v>417</v>
      </c>
      <c r="E1854">
        <f t="shared" si="116"/>
        <v>2</v>
      </c>
      <c r="F1854">
        <f t="shared" si="117"/>
        <v>1</v>
      </c>
      <c r="G1854">
        <f t="shared" si="118"/>
        <v>1</v>
      </c>
      <c r="H1854">
        <f t="shared" si="119"/>
        <v>211</v>
      </c>
    </row>
    <row r="1855" spans="1:8" x14ac:dyDescent="0.55000000000000004">
      <c r="A1855" s="6">
        <v>1.6154370437383891E+19</v>
      </c>
      <c r="B1855">
        <v>815</v>
      </c>
      <c r="C1855">
        <v>1</v>
      </c>
      <c r="D1855">
        <v>127</v>
      </c>
      <c r="E1855">
        <f t="shared" si="116"/>
        <v>3</v>
      </c>
      <c r="F1855">
        <f t="shared" si="117"/>
        <v>1</v>
      </c>
      <c r="G1855">
        <f t="shared" si="118"/>
        <v>1</v>
      </c>
      <c r="H1855">
        <f t="shared" si="119"/>
        <v>311</v>
      </c>
    </row>
    <row r="1856" spans="1:8" x14ac:dyDescent="0.55000000000000004">
      <c r="A1856" s="6">
        <v>1.61628271192128E+19</v>
      </c>
      <c r="B1856">
        <v>884</v>
      </c>
      <c r="C1856">
        <v>3</v>
      </c>
      <c r="D1856">
        <v>4504</v>
      </c>
      <c r="E1856">
        <f t="shared" si="116"/>
        <v>2</v>
      </c>
      <c r="F1856">
        <f t="shared" si="117"/>
        <v>3</v>
      </c>
      <c r="G1856">
        <f t="shared" si="118"/>
        <v>3</v>
      </c>
      <c r="H1856">
        <f t="shared" si="119"/>
        <v>233</v>
      </c>
    </row>
    <row r="1857" spans="1:8" x14ac:dyDescent="0.55000000000000004">
      <c r="A1857" s="6">
        <v>1.6170855760568191E+19</v>
      </c>
      <c r="B1857">
        <v>21</v>
      </c>
      <c r="C1857">
        <v>2</v>
      </c>
      <c r="D1857">
        <v>1058</v>
      </c>
      <c r="E1857">
        <f t="shared" si="116"/>
        <v>5</v>
      </c>
      <c r="F1857">
        <f t="shared" si="117"/>
        <v>2</v>
      </c>
      <c r="G1857">
        <f t="shared" si="118"/>
        <v>2</v>
      </c>
      <c r="H1857">
        <f t="shared" si="119"/>
        <v>522</v>
      </c>
    </row>
    <row r="1858" spans="1:8" x14ac:dyDescent="0.55000000000000004">
      <c r="A1858" s="6">
        <v>1.6172224122890871E+19</v>
      </c>
      <c r="B1858">
        <v>393</v>
      </c>
      <c r="C1858">
        <v>1</v>
      </c>
      <c r="D1858">
        <v>49</v>
      </c>
      <c r="E1858">
        <f t="shared" si="116"/>
        <v>4</v>
      </c>
      <c r="F1858">
        <f t="shared" si="117"/>
        <v>1</v>
      </c>
      <c r="G1858">
        <f t="shared" si="118"/>
        <v>1</v>
      </c>
      <c r="H1858">
        <f t="shared" si="119"/>
        <v>411</v>
      </c>
    </row>
    <row r="1859" spans="1:8" x14ac:dyDescent="0.55000000000000004">
      <c r="A1859" s="6">
        <v>1.6193132783902421E+19</v>
      </c>
      <c r="B1859">
        <v>238</v>
      </c>
      <c r="C1859">
        <v>1</v>
      </c>
      <c r="D1859">
        <v>4077</v>
      </c>
      <c r="E1859">
        <f t="shared" ref="E1859:E1922" si="120">VLOOKUP(B1859,$K$5:$L$9,2,1)</f>
        <v>5</v>
      </c>
      <c r="F1859">
        <f t="shared" ref="F1859:F1922" si="121">VLOOKUP(C1859,$K$15:$L$17,2,1)</f>
        <v>1</v>
      </c>
      <c r="G1859">
        <f t="shared" ref="G1859:G1922" si="122">VLOOKUP(D1859,$K$24:$L$26,2,1)</f>
        <v>3</v>
      </c>
      <c r="H1859">
        <f t="shared" ref="H1859:H1922" si="123">E1859*100+F1859*10+G1859</f>
        <v>513</v>
      </c>
    </row>
    <row r="1860" spans="1:8" x14ac:dyDescent="0.55000000000000004">
      <c r="A1860" s="6">
        <v>1.621339977381309E+19</v>
      </c>
      <c r="B1860">
        <v>185</v>
      </c>
      <c r="C1860">
        <v>1</v>
      </c>
      <c r="D1860">
        <v>507</v>
      </c>
      <c r="E1860">
        <f t="shared" si="120"/>
        <v>5</v>
      </c>
      <c r="F1860">
        <f t="shared" si="121"/>
        <v>1</v>
      </c>
      <c r="G1860">
        <f t="shared" si="122"/>
        <v>1</v>
      </c>
      <c r="H1860">
        <f t="shared" si="123"/>
        <v>511</v>
      </c>
    </row>
    <row r="1861" spans="1:8" x14ac:dyDescent="0.55000000000000004">
      <c r="A1861" s="6">
        <v>1.622757487147571E+19</v>
      </c>
      <c r="B1861">
        <v>47</v>
      </c>
      <c r="C1861">
        <v>2</v>
      </c>
      <c r="D1861">
        <v>1493</v>
      </c>
      <c r="E1861">
        <f t="shared" si="120"/>
        <v>5</v>
      </c>
      <c r="F1861">
        <f t="shared" si="121"/>
        <v>2</v>
      </c>
      <c r="G1861">
        <f t="shared" si="122"/>
        <v>2</v>
      </c>
      <c r="H1861">
        <f t="shared" si="123"/>
        <v>522</v>
      </c>
    </row>
    <row r="1862" spans="1:8" x14ac:dyDescent="0.55000000000000004">
      <c r="A1862" s="6">
        <v>1.623089450224623E+19</v>
      </c>
      <c r="B1862">
        <v>0</v>
      </c>
      <c r="C1862">
        <v>1</v>
      </c>
      <c r="D1862">
        <v>933</v>
      </c>
      <c r="E1862">
        <f t="shared" si="120"/>
        <v>5</v>
      </c>
      <c r="F1862">
        <f t="shared" si="121"/>
        <v>1</v>
      </c>
      <c r="G1862">
        <f t="shared" si="122"/>
        <v>2</v>
      </c>
      <c r="H1862">
        <f t="shared" si="123"/>
        <v>512</v>
      </c>
    </row>
    <row r="1863" spans="1:8" x14ac:dyDescent="0.55000000000000004">
      <c r="A1863" s="6">
        <v>1.6249781279755069E+19</v>
      </c>
      <c r="B1863">
        <v>349</v>
      </c>
      <c r="C1863">
        <v>1</v>
      </c>
      <c r="D1863">
        <v>1660</v>
      </c>
      <c r="E1863">
        <f t="shared" si="120"/>
        <v>4</v>
      </c>
      <c r="F1863">
        <f t="shared" si="121"/>
        <v>1</v>
      </c>
      <c r="G1863">
        <f t="shared" si="122"/>
        <v>2</v>
      </c>
      <c r="H1863">
        <f t="shared" si="123"/>
        <v>412</v>
      </c>
    </row>
    <row r="1864" spans="1:8" x14ac:dyDescent="0.55000000000000004">
      <c r="A1864" s="6">
        <v>1.627222207656344E+19</v>
      </c>
      <c r="B1864">
        <v>69</v>
      </c>
      <c r="C1864">
        <v>2</v>
      </c>
      <c r="D1864">
        <v>1556</v>
      </c>
      <c r="E1864">
        <f t="shared" si="120"/>
        <v>5</v>
      </c>
      <c r="F1864">
        <f t="shared" si="121"/>
        <v>2</v>
      </c>
      <c r="G1864">
        <f t="shared" si="122"/>
        <v>2</v>
      </c>
      <c r="H1864">
        <f t="shared" si="123"/>
        <v>522</v>
      </c>
    </row>
    <row r="1865" spans="1:8" x14ac:dyDescent="0.55000000000000004">
      <c r="A1865" s="6">
        <v>1.627590938849545E+19</v>
      </c>
      <c r="B1865">
        <v>699</v>
      </c>
      <c r="C1865">
        <v>1</v>
      </c>
      <c r="D1865">
        <v>2390</v>
      </c>
      <c r="E1865">
        <f t="shared" si="120"/>
        <v>3</v>
      </c>
      <c r="F1865">
        <f t="shared" si="121"/>
        <v>1</v>
      </c>
      <c r="G1865">
        <f t="shared" si="122"/>
        <v>3</v>
      </c>
      <c r="H1865">
        <f t="shared" si="123"/>
        <v>313</v>
      </c>
    </row>
    <row r="1866" spans="1:8" x14ac:dyDescent="0.55000000000000004">
      <c r="A1866" s="6">
        <v>1.6286136303727159E+19</v>
      </c>
      <c r="B1866">
        <v>486</v>
      </c>
      <c r="C1866">
        <v>2</v>
      </c>
      <c r="D1866">
        <v>1120</v>
      </c>
      <c r="E1866">
        <f t="shared" si="120"/>
        <v>4</v>
      </c>
      <c r="F1866">
        <f t="shared" si="121"/>
        <v>2</v>
      </c>
      <c r="G1866">
        <f t="shared" si="122"/>
        <v>2</v>
      </c>
      <c r="H1866">
        <f t="shared" si="123"/>
        <v>422</v>
      </c>
    </row>
    <row r="1867" spans="1:8" x14ac:dyDescent="0.55000000000000004">
      <c r="A1867" s="6">
        <v>1.629364327482625E+19</v>
      </c>
      <c r="B1867">
        <v>386</v>
      </c>
      <c r="C1867">
        <v>1</v>
      </c>
      <c r="D1867">
        <v>667</v>
      </c>
      <c r="E1867">
        <f t="shared" si="120"/>
        <v>4</v>
      </c>
      <c r="F1867">
        <f t="shared" si="121"/>
        <v>1</v>
      </c>
      <c r="G1867">
        <f t="shared" si="122"/>
        <v>2</v>
      </c>
      <c r="H1867">
        <f t="shared" si="123"/>
        <v>412</v>
      </c>
    </row>
    <row r="1868" spans="1:8" x14ac:dyDescent="0.55000000000000004">
      <c r="A1868" s="6">
        <v>1.6295251240126349E+19</v>
      </c>
      <c r="B1868">
        <v>610</v>
      </c>
      <c r="C1868">
        <v>1</v>
      </c>
      <c r="D1868">
        <v>2440</v>
      </c>
      <c r="E1868">
        <f t="shared" si="120"/>
        <v>3</v>
      </c>
      <c r="F1868">
        <f t="shared" si="121"/>
        <v>1</v>
      </c>
      <c r="G1868">
        <f t="shared" si="122"/>
        <v>3</v>
      </c>
      <c r="H1868">
        <f t="shared" si="123"/>
        <v>313</v>
      </c>
    </row>
    <row r="1869" spans="1:8" x14ac:dyDescent="0.55000000000000004">
      <c r="A1869" s="6">
        <v>1.6299932316121301E+19</v>
      </c>
      <c r="B1869">
        <v>275</v>
      </c>
      <c r="C1869">
        <v>1</v>
      </c>
      <c r="D1869">
        <v>3570</v>
      </c>
      <c r="E1869">
        <f t="shared" si="120"/>
        <v>5</v>
      </c>
      <c r="F1869">
        <f t="shared" si="121"/>
        <v>1</v>
      </c>
      <c r="G1869">
        <f t="shared" si="122"/>
        <v>3</v>
      </c>
      <c r="H1869">
        <f t="shared" si="123"/>
        <v>513</v>
      </c>
    </row>
    <row r="1870" spans="1:8" x14ac:dyDescent="0.55000000000000004">
      <c r="A1870" s="6">
        <v>1.63031221324014E+19</v>
      </c>
      <c r="B1870">
        <v>148</v>
      </c>
      <c r="C1870">
        <v>1</v>
      </c>
      <c r="D1870">
        <v>1640</v>
      </c>
      <c r="E1870">
        <f t="shared" si="120"/>
        <v>5</v>
      </c>
      <c r="F1870">
        <f t="shared" si="121"/>
        <v>1</v>
      </c>
      <c r="G1870">
        <f t="shared" si="122"/>
        <v>2</v>
      </c>
      <c r="H1870">
        <f t="shared" si="123"/>
        <v>512</v>
      </c>
    </row>
    <row r="1871" spans="1:8" x14ac:dyDescent="0.55000000000000004">
      <c r="A1871" s="6">
        <v>1.632131349700778E+19</v>
      </c>
      <c r="B1871">
        <v>148</v>
      </c>
      <c r="C1871">
        <v>1</v>
      </c>
      <c r="D1871">
        <v>2801</v>
      </c>
      <c r="E1871">
        <f t="shared" si="120"/>
        <v>5</v>
      </c>
      <c r="F1871">
        <f t="shared" si="121"/>
        <v>1</v>
      </c>
      <c r="G1871">
        <f t="shared" si="122"/>
        <v>3</v>
      </c>
      <c r="H1871">
        <f t="shared" si="123"/>
        <v>513</v>
      </c>
    </row>
    <row r="1872" spans="1:8" x14ac:dyDescent="0.55000000000000004">
      <c r="A1872" s="6">
        <v>1.6322377794537411E+19</v>
      </c>
      <c r="B1872">
        <v>104</v>
      </c>
      <c r="C1872">
        <v>1</v>
      </c>
      <c r="D1872">
        <v>875</v>
      </c>
      <c r="E1872">
        <f t="shared" si="120"/>
        <v>5</v>
      </c>
      <c r="F1872">
        <f t="shared" si="121"/>
        <v>1</v>
      </c>
      <c r="G1872">
        <f t="shared" si="122"/>
        <v>2</v>
      </c>
      <c r="H1872">
        <f t="shared" si="123"/>
        <v>512</v>
      </c>
    </row>
    <row r="1873" spans="1:8" x14ac:dyDescent="0.55000000000000004">
      <c r="A1873" s="6">
        <v>1.633488305632271E+19</v>
      </c>
      <c r="B1873">
        <v>24</v>
      </c>
      <c r="C1873">
        <v>1</v>
      </c>
      <c r="D1873">
        <v>1680</v>
      </c>
      <c r="E1873">
        <f t="shared" si="120"/>
        <v>5</v>
      </c>
      <c r="F1873">
        <f t="shared" si="121"/>
        <v>1</v>
      </c>
      <c r="G1873">
        <f t="shared" si="122"/>
        <v>2</v>
      </c>
      <c r="H1873">
        <f t="shared" si="123"/>
        <v>512</v>
      </c>
    </row>
    <row r="1874" spans="1:8" x14ac:dyDescent="0.55000000000000004">
      <c r="A1874" s="6">
        <v>1.634188583066522E+19</v>
      </c>
      <c r="B1874">
        <v>41</v>
      </c>
      <c r="C1874">
        <v>2</v>
      </c>
      <c r="D1874">
        <v>7807</v>
      </c>
      <c r="E1874">
        <f t="shared" si="120"/>
        <v>5</v>
      </c>
      <c r="F1874">
        <f t="shared" si="121"/>
        <v>2</v>
      </c>
      <c r="G1874">
        <f t="shared" si="122"/>
        <v>3</v>
      </c>
      <c r="H1874">
        <f t="shared" si="123"/>
        <v>523</v>
      </c>
    </row>
    <row r="1875" spans="1:8" x14ac:dyDescent="0.55000000000000004">
      <c r="A1875" s="6">
        <v>1.6348048213521639E+19</v>
      </c>
      <c r="B1875">
        <v>376</v>
      </c>
      <c r="C1875">
        <v>1</v>
      </c>
      <c r="D1875">
        <v>372</v>
      </c>
      <c r="E1875">
        <f t="shared" si="120"/>
        <v>4</v>
      </c>
      <c r="F1875">
        <f t="shared" si="121"/>
        <v>1</v>
      </c>
      <c r="G1875">
        <f t="shared" si="122"/>
        <v>1</v>
      </c>
      <c r="H1875">
        <f t="shared" si="123"/>
        <v>411</v>
      </c>
    </row>
    <row r="1876" spans="1:8" x14ac:dyDescent="0.55000000000000004">
      <c r="A1876" s="6">
        <v>1.6352046609988569E+19</v>
      </c>
      <c r="B1876">
        <v>846</v>
      </c>
      <c r="C1876">
        <v>1</v>
      </c>
      <c r="D1876">
        <v>2997</v>
      </c>
      <c r="E1876">
        <f t="shared" si="120"/>
        <v>3</v>
      </c>
      <c r="F1876">
        <f t="shared" si="121"/>
        <v>1</v>
      </c>
      <c r="G1876">
        <f t="shared" si="122"/>
        <v>3</v>
      </c>
      <c r="H1876">
        <f t="shared" si="123"/>
        <v>313</v>
      </c>
    </row>
    <row r="1877" spans="1:8" x14ac:dyDescent="0.55000000000000004">
      <c r="A1877" s="6">
        <v>1.6357872062173041E+19</v>
      </c>
      <c r="B1877">
        <v>1257</v>
      </c>
      <c r="C1877">
        <v>1</v>
      </c>
      <c r="D1877">
        <v>2190</v>
      </c>
      <c r="E1877">
        <f t="shared" si="120"/>
        <v>1</v>
      </c>
      <c r="F1877">
        <f t="shared" si="121"/>
        <v>1</v>
      </c>
      <c r="G1877">
        <f t="shared" si="122"/>
        <v>2</v>
      </c>
      <c r="H1877">
        <f t="shared" si="123"/>
        <v>112</v>
      </c>
    </row>
    <row r="1878" spans="1:8" x14ac:dyDescent="0.55000000000000004">
      <c r="A1878" s="6">
        <v>1.637289501695036E+19</v>
      </c>
      <c r="B1878">
        <v>1199</v>
      </c>
      <c r="C1878">
        <v>1</v>
      </c>
      <c r="D1878">
        <v>385</v>
      </c>
      <c r="E1878">
        <f t="shared" si="120"/>
        <v>1</v>
      </c>
      <c r="F1878">
        <f t="shared" si="121"/>
        <v>1</v>
      </c>
      <c r="G1878">
        <f t="shared" si="122"/>
        <v>1</v>
      </c>
      <c r="H1878">
        <f t="shared" si="123"/>
        <v>111</v>
      </c>
    </row>
    <row r="1879" spans="1:8" x14ac:dyDescent="0.55000000000000004">
      <c r="A1879" s="6">
        <v>1.637643127043243E+19</v>
      </c>
      <c r="B1879">
        <v>847</v>
      </c>
      <c r="C1879">
        <v>1</v>
      </c>
      <c r="D1879">
        <v>3238</v>
      </c>
      <c r="E1879">
        <f t="shared" si="120"/>
        <v>3</v>
      </c>
      <c r="F1879">
        <f t="shared" si="121"/>
        <v>1</v>
      </c>
      <c r="G1879">
        <f t="shared" si="122"/>
        <v>3</v>
      </c>
      <c r="H1879">
        <f t="shared" si="123"/>
        <v>313</v>
      </c>
    </row>
    <row r="1880" spans="1:8" x14ac:dyDescent="0.55000000000000004">
      <c r="A1880" s="6">
        <v>1.6377734152005571E+19</v>
      </c>
      <c r="B1880">
        <v>288</v>
      </c>
      <c r="C1880">
        <v>1</v>
      </c>
      <c r="D1880">
        <v>938</v>
      </c>
      <c r="E1880">
        <f t="shared" si="120"/>
        <v>5</v>
      </c>
      <c r="F1880">
        <f t="shared" si="121"/>
        <v>1</v>
      </c>
      <c r="G1880">
        <f t="shared" si="122"/>
        <v>2</v>
      </c>
      <c r="H1880">
        <f t="shared" si="123"/>
        <v>512</v>
      </c>
    </row>
    <row r="1881" spans="1:8" x14ac:dyDescent="0.55000000000000004">
      <c r="A1881" s="6">
        <v>1.640554827617833E+19</v>
      </c>
      <c r="B1881">
        <v>836</v>
      </c>
      <c r="C1881">
        <v>2</v>
      </c>
      <c r="D1881">
        <v>3123</v>
      </c>
      <c r="E1881">
        <f t="shared" si="120"/>
        <v>3</v>
      </c>
      <c r="F1881">
        <f t="shared" si="121"/>
        <v>2</v>
      </c>
      <c r="G1881">
        <f t="shared" si="122"/>
        <v>3</v>
      </c>
      <c r="H1881">
        <f t="shared" si="123"/>
        <v>323</v>
      </c>
    </row>
    <row r="1882" spans="1:8" x14ac:dyDescent="0.55000000000000004">
      <c r="A1882" s="6">
        <v>1.640784717446102E+19</v>
      </c>
      <c r="B1882">
        <v>1176</v>
      </c>
      <c r="C1882">
        <v>1</v>
      </c>
      <c r="D1882">
        <v>317</v>
      </c>
      <c r="E1882">
        <f t="shared" si="120"/>
        <v>1</v>
      </c>
      <c r="F1882">
        <f t="shared" si="121"/>
        <v>1</v>
      </c>
      <c r="G1882">
        <f t="shared" si="122"/>
        <v>1</v>
      </c>
      <c r="H1882">
        <f t="shared" si="123"/>
        <v>111</v>
      </c>
    </row>
    <row r="1883" spans="1:8" x14ac:dyDescent="0.55000000000000004">
      <c r="A1883" s="6">
        <v>1.640879485980501E+19</v>
      </c>
      <c r="B1883">
        <v>753</v>
      </c>
      <c r="C1883">
        <v>1</v>
      </c>
      <c r="D1883">
        <v>2655</v>
      </c>
      <c r="E1883">
        <f t="shared" si="120"/>
        <v>3</v>
      </c>
      <c r="F1883">
        <f t="shared" si="121"/>
        <v>1</v>
      </c>
      <c r="G1883">
        <f t="shared" si="122"/>
        <v>3</v>
      </c>
      <c r="H1883">
        <f t="shared" si="123"/>
        <v>313</v>
      </c>
    </row>
    <row r="1884" spans="1:8" x14ac:dyDescent="0.55000000000000004">
      <c r="A1884" s="6">
        <v>1.6429661775723479E+19</v>
      </c>
      <c r="B1884">
        <v>210</v>
      </c>
      <c r="C1884">
        <v>2</v>
      </c>
      <c r="D1884">
        <v>2124</v>
      </c>
      <c r="E1884">
        <f t="shared" si="120"/>
        <v>5</v>
      </c>
      <c r="F1884">
        <f t="shared" si="121"/>
        <v>2</v>
      </c>
      <c r="G1884">
        <f t="shared" si="122"/>
        <v>2</v>
      </c>
      <c r="H1884">
        <f t="shared" si="123"/>
        <v>522</v>
      </c>
    </row>
    <row r="1885" spans="1:8" x14ac:dyDescent="0.55000000000000004">
      <c r="A1885" s="6">
        <v>1.64516283654221E+19</v>
      </c>
      <c r="B1885">
        <v>331</v>
      </c>
      <c r="C1885">
        <v>1</v>
      </c>
      <c r="D1885">
        <v>1500</v>
      </c>
      <c r="E1885">
        <f t="shared" si="120"/>
        <v>4</v>
      </c>
      <c r="F1885">
        <f t="shared" si="121"/>
        <v>1</v>
      </c>
      <c r="G1885">
        <f t="shared" si="122"/>
        <v>2</v>
      </c>
      <c r="H1885">
        <f t="shared" si="123"/>
        <v>412</v>
      </c>
    </row>
    <row r="1886" spans="1:8" x14ac:dyDescent="0.55000000000000004">
      <c r="A1886" s="6">
        <v>1.646635473202792E+19</v>
      </c>
      <c r="B1886">
        <v>16</v>
      </c>
      <c r="C1886">
        <v>3</v>
      </c>
      <c r="D1886">
        <v>1990</v>
      </c>
      <c r="E1886">
        <f t="shared" si="120"/>
        <v>5</v>
      </c>
      <c r="F1886">
        <f t="shared" si="121"/>
        <v>3</v>
      </c>
      <c r="G1886">
        <f t="shared" si="122"/>
        <v>2</v>
      </c>
      <c r="H1886">
        <f t="shared" si="123"/>
        <v>532</v>
      </c>
    </row>
    <row r="1887" spans="1:8" x14ac:dyDescent="0.55000000000000004">
      <c r="A1887" s="6">
        <v>1.6470547131161219E+19</v>
      </c>
      <c r="B1887">
        <v>241</v>
      </c>
      <c r="C1887">
        <v>1</v>
      </c>
      <c r="D1887">
        <v>1716</v>
      </c>
      <c r="E1887">
        <f t="shared" si="120"/>
        <v>5</v>
      </c>
      <c r="F1887">
        <f t="shared" si="121"/>
        <v>1</v>
      </c>
      <c r="G1887">
        <f t="shared" si="122"/>
        <v>2</v>
      </c>
      <c r="H1887">
        <f t="shared" si="123"/>
        <v>512</v>
      </c>
    </row>
    <row r="1888" spans="1:8" x14ac:dyDescent="0.55000000000000004">
      <c r="A1888" s="6">
        <v>1.647289932137508E+19</v>
      </c>
      <c r="B1888">
        <v>37</v>
      </c>
      <c r="C1888">
        <v>2</v>
      </c>
      <c r="D1888">
        <v>956</v>
      </c>
      <c r="E1888">
        <f t="shared" si="120"/>
        <v>5</v>
      </c>
      <c r="F1888">
        <f t="shared" si="121"/>
        <v>2</v>
      </c>
      <c r="G1888">
        <f t="shared" si="122"/>
        <v>2</v>
      </c>
      <c r="H1888">
        <f t="shared" si="123"/>
        <v>522</v>
      </c>
    </row>
    <row r="1889" spans="1:8" x14ac:dyDescent="0.55000000000000004">
      <c r="A1889" s="6">
        <v>1.647551731788708E+19</v>
      </c>
      <c r="B1889">
        <v>529</v>
      </c>
      <c r="C1889">
        <v>1</v>
      </c>
      <c r="D1889">
        <v>565</v>
      </c>
      <c r="E1889">
        <f t="shared" si="120"/>
        <v>4</v>
      </c>
      <c r="F1889">
        <f t="shared" si="121"/>
        <v>1</v>
      </c>
      <c r="G1889">
        <f t="shared" si="122"/>
        <v>1</v>
      </c>
      <c r="H1889">
        <f t="shared" si="123"/>
        <v>411</v>
      </c>
    </row>
    <row r="1890" spans="1:8" x14ac:dyDescent="0.55000000000000004">
      <c r="A1890" s="6">
        <v>1.6492270893537661E+19</v>
      </c>
      <c r="B1890">
        <v>1196</v>
      </c>
      <c r="C1890">
        <v>1</v>
      </c>
      <c r="D1890">
        <v>301</v>
      </c>
      <c r="E1890">
        <f t="shared" si="120"/>
        <v>1</v>
      </c>
      <c r="F1890">
        <f t="shared" si="121"/>
        <v>1</v>
      </c>
      <c r="G1890">
        <f t="shared" si="122"/>
        <v>1</v>
      </c>
      <c r="H1890">
        <f t="shared" si="123"/>
        <v>111</v>
      </c>
    </row>
    <row r="1891" spans="1:8" x14ac:dyDescent="0.55000000000000004">
      <c r="A1891" s="6">
        <v>1.6493277802192251E+19</v>
      </c>
      <c r="B1891">
        <v>1280</v>
      </c>
      <c r="C1891">
        <v>1</v>
      </c>
      <c r="D1891">
        <v>159</v>
      </c>
      <c r="E1891">
        <f t="shared" si="120"/>
        <v>1</v>
      </c>
      <c r="F1891">
        <f t="shared" si="121"/>
        <v>1</v>
      </c>
      <c r="G1891">
        <f t="shared" si="122"/>
        <v>1</v>
      </c>
      <c r="H1891">
        <f t="shared" si="123"/>
        <v>111</v>
      </c>
    </row>
    <row r="1892" spans="1:8" x14ac:dyDescent="0.55000000000000004">
      <c r="A1892" s="6">
        <v>1.649638375785138E+19</v>
      </c>
      <c r="B1892">
        <v>1010</v>
      </c>
      <c r="C1892">
        <v>1</v>
      </c>
      <c r="D1892">
        <v>287</v>
      </c>
      <c r="E1892">
        <f t="shared" si="120"/>
        <v>2</v>
      </c>
      <c r="F1892">
        <f t="shared" si="121"/>
        <v>1</v>
      </c>
      <c r="G1892">
        <f t="shared" si="122"/>
        <v>1</v>
      </c>
      <c r="H1892">
        <f t="shared" si="123"/>
        <v>211</v>
      </c>
    </row>
    <row r="1893" spans="1:8" x14ac:dyDescent="0.55000000000000004">
      <c r="A1893" s="6">
        <v>1.6500053159019121E+19</v>
      </c>
      <c r="B1893">
        <v>68</v>
      </c>
      <c r="C1893">
        <v>3</v>
      </c>
      <c r="D1893">
        <v>5370</v>
      </c>
      <c r="E1893">
        <f t="shared" si="120"/>
        <v>5</v>
      </c>
      <c r="F1893">
        <f t="shared" si="121"/>
        <v>3</v>
      </c>
      <c r="G1893">
        <f t="shared" si="122"/>
        <v>3</v>
      </c>
      <c r="H1893">
        <f t="shared" si="123"/>
        <v>533</v>
      </c>
    </row>
    <row r="1894" spans="1:8" x14ac:dyDescent="0.55000000000000004">
      <c r="A1894" s="6">
        <v>1.6508999763208319E+19</v>
      </c>
      <c r="B1894">
        <v>170</v>
      </c>
      <c r="C1894">
        <v>2</v>
      </c>
      <c r="D1894">
        <v>666</v>
      </c>
      <c r="E1894">
        <f t="shared" si="120"/>
        <v>5</v>
      </c>
      <c r="F1894">
        <f t="shared" si="121"/>
        <v>2</v>
      </c>
      <c r="G1894">
        <f t="shared" si="122"/>
        <v>2</v>
      </c>
      <c r="H1894">
        <f t="shared" si="123"/>
        <v>522</v>
      </c>
    </row>
    <row r="1895" spans="1:8" x14ac:dyDescent="0.55000000000000004">
      <c r="A1895" s="6">
        <v>1.650922240021025E+19</v>
      </c>
      <c r="B1895">
        <v>10</v>
      </c>
      <c r="C1895">
        <v>2</v>
      </c>
      <c r="D1895">
        <v>2002</v>
      </c>
      <c r="E1895">
        <f t="shared" si="120"/>
        <v>5</v>
      </c>
      <c r="F1895">
        <f t="shared" si="121"/>
        <v>2</v>
      </c>
      <c r="G1895">
        <f t="shared" si="122"/>
        <v>2</v>
      </c>
      <c r="H1895">
        <f t="shared" si="123"/>
        <v>522</v>
      </c>
    </row>
    <row r="1896" spans="1:8" x14ac:dyDescent="0.55000000000000004">
      <c r="A1896" s="6">
        <v>1.6530110765076251E+19</v>
      </c>
      <c r="B1896">
        <v>587</v>
      </c>
      <c r="C1896">
        <v>1</v>
      </c>
      <c r="D1896">
        <v>289</v>
      </c>
      <c r="E1896">
        <f t="shared" si="120"/>
        <v>3</v>
      </c>
      <c r="F1896">
        <f t="shared" si="121"/>
        <v>1</v>
      </c>
      <c r="G1896">
        <f t="shared" si="122"/>
        <v>1</v>
      </c>
      <c r="H1896">
        <f t="shared" si="123"/>
        <v>311</v>
      </c>
    </row>
    <row r="1897" spans="1:8" x14ac:dyDescent="0.55000000000000004">
      <c r="A1897" s="6">
        <v>1.65655313105826E+19</v>
      </c>
      <c r="B1897">
        <v>436</v>
      </c>
      <c r="C1897">
        <v>1</v>
      </c>
      <c r="D1897">
        <v>2738</v>
      </c>
      <c r="E1897">
        <f t="shared" si="120"/>
        <v>4</v>
      </c>
      <c r="F1897">
        <f t="shared" si="121"/>
        <v>1</v>
      </c>
      <c r="G1897">
        <f t="shared" si="122"/>
        <v>3</v>
      </c>
      <c r="H1897">
        <f t="shared" si="123"/>
        <v>413</v>
      </c>
    </row>
    <row r="1898" spans="1:8" x14ac:dyDescent="0.55000000000000004">
      <c r="A1898" s="6">
        <v>1.657858051704909E+19</v>
      </c>
      <c r="B1898">
        <v>586</v>
      </c>
      <c r="C1898">
        <v>1</v>
      </c>
      <c r="D1898">
        <v>479</v>
      </c>
      <c r="E1898">
        <f t="shared" si="120"/>
        <v>3</v>
      </c>
      <c r="F1898">
        <f t="shared" si="121"/>
        <v>1</v>
      </c>
      <c r="G1898">
        <f t="shared" si="122"/>
        <v>1</v>
      </c>
      <c r="H1898">
        <f t="shared" si="123"/>
        <v>311</v>
      </c>
    </row>
    <row r="1899" spans="1:8" x14ac:dyDescent="0.55000000000000004">
      <c r="A1899" s="6">
        <v>1.6583533684433861E+19</v>
      </c>
      <c r="B1899">
        <v>705</v>
      </c>
      <c r="C1899">
        <v>1</v>
      </c>
      <c r="D1899">
        <v>582</v>
      </c>
      <c r="E1899">
        <f t="shared" si="120"/>
        <v>3</v>
      </c>
      <c r="F1899">
        <f t="shared" si="121"/>
        <v>1</v>
      </c>
      <c r="G1899">
        <f t="shared" si="122"/>
        <v>1</v>
      </c>
      <c r="H1899">
        <f t="shared" si="123"/>
        <v>311</v>
      </c>
    </row>
    <row r="1900" spans="1:8" x14ac:dyDescent="0.55000000000000004">
      <c r="A1900" s="6">
        <v>1.659447872300382E+19</v>
      </c>
      <c r="B1900">
        <v>132</v>
      </c>
      <c r="C1900">
        <v>1</v>
      </c>
      <c r="D1900">
        <v>250</v>
      </c>
      <c r="E1900">
        <f t="shared" si="120"/>
        <v>5</v>
      </c>
      <c r="F1900">
        <f t="shared" si="121"/>
        <v>1</v>
      </c>
      <c r="G1900">
        <f t="shared" si="122"/>
        <v>1</v>
      </c>
      <c r="H1900">
        <f t="shared" si="123"/>
        <v>511</v>
      </c>
    </row>
    <row r="1901" spans="1:8" x14ac:dyDescent="0.55000000000000004">
      <c r="A1901" s="6">
        <v>1.6598048745780359E+19</v>
      </c>
      <c r="B1901">
        <v>659</v>
      </c>
      <c r="C1901">
        <v>1</v>
      </c>
      <c r="D1901">
        <v>5808</v>
      </c>
      <c r="E1901">
        <f t="shared" si="120"/>
        <v>3</v>
      </c>
      <c r="F1901">
        <f t="shared" si="121"/>
        <v>1</v>
      </c>
      <c r="G1901">
        <f t="shared" si="122"/>
        <v>3</v>
      </c>
      <c r="H1901">
        <f t="shared" si="123"/>
        <v>313</v>
      </c>
    </row>
    <row r="1902" spans="1:8" x14ac:dyDescent="0.55000000000000004">
      <c r="A1902" s="6">
        <v>1.6622913504659589E+19</v>
      </c>
      <c r="B1902">
        <v>986</v>
      </c>
      <c r="C1902">
        <v>1</v>
      </c>
      <c r="D1902">
        <v>6210</v>
      </c>
      <c r="E1902">
        <f t="shared" si="120"/>
        <v>2</v>
      </c>
      <c r="F1902">
        <f t="shared" si="121"/>
        <v>1</v>
      </c>
      <c r="G1902">
        <f t="shared" si="122"/>
        <v>3</v>
      </c>
      <c r="H1902">
        <f t="shared" si="123"/>
        <v>213</v>
      </c>
    </row>
    <row r="1903" spans="1:8" x14ac:dyDescent="0.55000000000000004">
      <c r="A1903" s="6">
        <v>1.6629909964198941E+19</v>
      </c>
      <c r="B1903">
        <v>1133</v>
      </c>
      <c r="C1903">
        <v>2</v>
      </c>
      <c r="D1903">
        <v>322</v>
      </c>
      <c r="E1903">
        <f t="shared" si="120"/>
        <v>2</v>
      </c>
      <c r="F1903">
        <f t="shared" si="121"/>
        <v>2</v>
      </c>
      <c r="G1903">
        <f t="shared" si="122"/>
        <v>1</v>
      </c>
      <c r="H1903">
        <f t="shared" si="123"/>
        <v>221</v>
      </c>
    </row>
    <row r="1904" spans="1:8" x14ac:dyDescent="0.55000000000000004">
      <c r="A1904" s="6">
        <v>1.6642459519053869E+19</v>
      </c>
      <c r="B1904">
        <v>25</v>
      </c>
      <c r="C1904">
        <v>1</v>
      </c>
      <c r="D1904">
        <v>114</v>
      </c>
      <c r="E1904">
        <f t="shared" si="120"/>
        <v>5</v>
      </c>
      <c r="F1904">
        <f t="shared" si="121"/>
        <v>1</v>
      </c>
      <c r="G1904">
        <f t="shared" si="122"/>
        <v>1</v>
      </c>
      <c r="H1904">
        <f t="shared" si="123"/>
        <v>511</v>
      </c>
    </row>
    <row r="1905" spans="1:8" x14ac:dyDescent="0.55000000000000004">
      <c r="A1905" s="6">
        <v>1.6644801055629181E+19</v>
      </c>
      <c r="B1905">
        <v>159</v>
      </c>
      <c r="C1905">
        <v>3</v>
      </c>
      <c r="D1905">
        <v>1160</v>
      </c>
      <c r="E1905">
        <f t="shared" si="120"/>
        <v>5</v>
      </c>
      <c r="F1905">
        <f t="shared" si="121"/>
        <v>3</v>
      </c>
      <c r="G1905">
        <f t="shared" si="122"/>
        <v>2</v>
      </c>
      <c r="H1905">
        <f t="shared" si="123"/>
        <v>532</v>
      </c>
    </row>
    <row r="1906" spans="1:8" x14ac:dyDescent="0.55000000000000004">
      <c r="A1906" s="6">
        <v>1.6648248093142911E+19</v>
      </c>
      <c r="B1906">
        <v>324</v>
      </c>
      <c r="C1906">
        <v>1</v>
      </c>
      <c r="D1906">
        <v>1030</v>
      </c>
      <c r="E1906">
        <f t="shared" si="120"/>
        <v>4</v>
      </c>
      <c r="F1906">
        <f t="shared" si="121"/>
        <v>1</v>
      </c>
      <c r="G1906">
        <f t="shared" si="122"/>
        <v>2</v>
      </c>
      <c r="H1906">
        <f t="shared" si="123"/>
        <v>412</v>
      </c>
    </row>
    <row r="1907" spans="1:8" x14ac:dyDescent="0.55000000000000004">
      <c r="A1907" s="6">
        <v>1.665388646333131E+19</v>
      </c>
      <c r="B1907">
        <v>211</v>
      </c>
      <c r="C1907">
        <v>2</v>
      </c>
      <c r="D1907">
        <v>3345</v>
      </c>
      <c r="E1907">
        <f t="shared" si="120"/>
        <v>5</v>
      </c>
      <c r="F1907">
        <f t="shared" si="121"/>
        <v>2</v>
      </c>
      <c r="G1907">
        <f t="shared" si="122"/>
        <v>3</v>
      </c>
      <c r="H1907">
        <f t="shared" si="123"/>
        <v>523</v>
      </c>
    </row>
    <row r="1908" spans="1:8" x14ac:dyDescent="0.55000000000000004">
      <c r="A1908" s="6">
        <v>1.6661811925703371E+19</v>
      </c>
      <c r="B1908">
        <v>208</v>
      </c>
      <c r="C1908">
        <v>1</v>
      </c>
      <c r="D1908">
        <v>229</v>
      </c>
      <c r="E1908">
        <f t="shared" si="120"/>
        <v>5</v>
      </c>
      <c r="F1908">
        <f t="shared" si="121"/>
        <v>1</v>
      </c>
      <c r="G1908">
        <f t="shared" si="122"/>
        <v>1</v>
      </c>
      <c r="H1908">
        <f t="shared" si="123"/>
        <v>511</v>
      </c>
    </row>
    <row r="1909" spans="1:8" x14ac:dyDescent="0.55000000000000004">
      <c r="A1909" s="6">
        <v>1.666302565504528E+19</v>
      </c>
      <c r="B1909">
        <v>529</v>
      </c>
      <c r="C1909">
        <v>1</v>
      </c>
      <c r="D1909">
        <v>354</v>
      </c>
      <c r="E1909">
        <f t="shared" si="120"/>
        <v>4</v>
      </c>
      <c r="F1909">
        <f t="shared" si="121"/>
        <v>1</v>
      </c>
      <c r="G1909">
        <f t="shared" si="122"/>
        <v>1</v>
      </c>
      <c r="H1909">
        <f t="shared" si="123"/>
        <v>411</v>
      </c>
    </row>
    <row r="1910" spans="1:8" x14ac:dyDescent="0.55000000000000004">
      <c r="A1910" s="6">
        <v>1.6665605870802829E+19</v>
      </c>
      <c r="B1910">
        <v>614</v>
      </c>
      <c r="C1910">
        <v>1</v>
      </c>
      <c r="D1910">
        <v>1600</v>
      </c>
      <c r="E1910">
        <f t="shared" si="120"/>
        <v>3</v>
      </c>
      <c r="F1910">
        <f t="shared" si="121"/>
        <v>1</v>
      </c>
      <c r="G1910">
        <f t="shared" si="122"/>
        <v>2</v>
      </c>
      <c r="H1910">
        <f t="shared" si="123"/>
        <v>312</v>
      </c>
    </row>
    <row r="1911" spans="1:8" x14ac:dyDescent="0.55000000000000004">
      <c r="A1911" s="6">
        <v>1.667248320503731E+19</v>
      </c>
      <c r="B1911">
        <v>559</v>
      </c>
      <c r="C1911">
        <v>1</v>
      </c>
      <c r="D1911">
        <v>162</v>
      </c>
      <c r="E1911">
        <f t="shared" si="120"/>
        <v>4</v>
      </c>
      <c r="F1911">
        <f t="shared" si="121"/>
        <v>1</v>
      </c>
      <c r="G1911">
        <f t="shared" si="122"/>
        <v>1</v>
      </c>
      <c r="H1911">
        <f t="shared" si="123"/>
        <v>411</v>
      </c>
    </row>
    <row r="1912" spans="1:8" x14ac:dyDescent="0.55000000000000004">
      <c r="A1912" s="6">
        <v>1.6680587595195251E+19</v>
      </c>
      <c r="B1912">
        <v>113</v>
      </c>
      <c r="C1912">
        <v>1</v>
      </c>
      <c r="D1912">
        <v>8300</v>
      </c>
      <c r="E1912">
        <f t="shared" si="120"/>
        <v>5</v>
      </c>
      <c r="F1912">
        <f t="shared" si="121"/>
        <v>1</v>
      </c>
      <c r="G1912">
        <f t="shared" si="122"/>
        <v>3</v>
      </c>
      <c r="H1912">
        <f t="shared" si="123"/>
        <v>513</v>
      </c>
    </row>
    <row r="1913" spans="1:8" x14ac:dyDescent="0.55000000000000004">
      <c r="A1913" s="6">
        <v>1.669079002947565E+19</v>
      </c>
      <c r="B1913">
        <v>1042</v>
      </c>
      <c r="C1913">
        <v>1</v>
      </c>
      <c r="D1913">
        <v>1650</v>
      </c>
      <c r="E1913">
        <f t="shared" si="120"/>
        <v>2</v>
      </c>
      <c r="F1913">
        <f t="shared" si="121"/>
        <v>1</v>
      </c>
      <c r="G1913">
        <f t="shared" si="122"/>
        <v>2</v>
      </c>
      <c r="H1913">
        <f t="shared" si="123"/>
        <v>212</v>
      </c>
    </row>
    <row r="1914" spans="1:8" x14ac:dyDescent="0.55000000000000004">
      <c r="A1914" s="6">
        <v>1.669571824780218E+19</v>
      </c>
      <c r="B1914">
        <v>588</v>
      </c>
      <c r="C1914">
        <v>2</v>
      </c>
      <c r="D1914">
        <v>1204</v>
      </c>
      <c r="E1914">
        <f t="shared" si="120"/>
        <v>3</v>
      </c>
      <c r="F1914">
        <f t="shared" si="121"/>
        <v>2</v>
      </c>
      <c r="G1914">
        <f t="shared" si="122"/>
        <v>2</v>
      </c>
      <c r="H1914">
        <f t="shared" si="123"/>
        <v>322</v>
      </c>
    </row>
    <row r="1915" spans="1:8" x14ac:dyDescent="0.55000000000000004">
      <c r="A1915" s="6">
        <v>1.6701735048719409E+19</v>
      </c>
      <c r="B1915">
        <v>26</v>
      </c>
      <c r="C1915">
        <v>1</v>
      </c>
      <c r="D1915">
        <v>676</v>
      </c>
      <c r="E1915">
        <f t="shared" si="120"/>
        <v>5</v>
      </c>
      <c r="F1915">
        <f t="shared" si="121"/>
        <v>1</v>
      </c>
      <c r="G1915">
        <f t="shared" si="122"/>
        <v>2</v>
      </c>
      <c r="H1915">
        <f t="shared" si="123"/>
        <v>512</v>
      </c>
    </row>
    <row r="1916" spans="1:8" x14ac:dyDescent="0.55000000000000004">
      <c r="A1916" s="6">
        <v>1.670911701449976E+19</v>
      </c>
      <c r="B1916">
        <v>221</v>
      </c>
      <c r="C1916">
        <v>2</v>
      </c>
      <c r="D1916">
        <v>1659</v>
      </c>
      <c r="E1916">
        <f t="shared" si="120"/>
        <v>5</v>
      </c>
      <c r="F1916">
        <f t="shared" si="121"/>
        <v>2</v>
      </c>
      <c r="G1916">
        <f t="shared" si="122"/>
        <v>2</v>
      </c>
      <c r="H1916">
        <f t="shared" si="123"/>
        <v>522</v>
      </c>
    </row>
    <row r="1917" spans="1:8" x14ac:dyDescent="0.55000000000000004">
      <c r="A1917" s="6">
        <v>1.67115837018606E+19</v>
      </c>
      <c r="B1917">
        <v>1009</v>
      </c>
      <c r="C1917">
        <v>1</v>
      </c>
      <c r="D1917">
        <v>741</v>
      </c>
      <c r="E1917">
        <f t="shared" si="120"/>
        <v>2</v>
      </c>
      <c r="F1917">
        <f t="shared" si="121"/>
        <v>1</v>
      </c>
      <c r="G1917">
        <f t="shared" si="122"/>
        <v>2</v>
      </c>
      <c r="H1917">
        <f t="shared" si="123"/>
        <v>212</v>
      </c>
    </row>
    <row r="1918" spans="1:8" x14ac:dyDescent="0.55000000000000004">
      <c r="A1918" s="6">
        <v>1.671170596198391E+19</v>
      </c>
      <c r="B1918">
        <v>82</v>
      </c>
      <c r="C1918">
        <v>3</v>
      </c>
      <c r="D1918">
        <v>2508</v>
      </c>
      <c r="E1918">
        <f t="shared" si="120"/>
        <v>5</v>
      </c>
      <c r="F1918">
        <f t="shared" si="121"/>
        <v>3</v>
      </c>
      <c r="G1918">
        <f t="shared" si="122"/>
        <v>3</v>
      </c>
      <c r="H1918">
        <f t="shared" si="123"/>
        <v>533</v>
      </c>
    </row>
    <row r="1919" spans="1:8" x14ac:dyDescent="0.55000000000000004">
      <c r="A1919" s="6">
        <v>1.6724399162421451E+19</v>
      </c>
      <c r="B1919">
        <v>42</v>
      </c>
      <c r="C1919">
        <v>1</v>
      </c>
      <c r="D1919">
        <v>1029</v>
      </c>
      <c r="E1919">
        <f t="shared" si="120"/>
        <v>5</v>
      </c>
      <c r="F1919">
        <f t="shared" si="121"/>
        <v>1</v>
      </c>
      <c r="G1919">
        <f t="shared" si="122"/>
        <v>2</v>
      </c>
      <c r="H1919">
        <f t="shared" si="123"/>
        <v>512</v>
      </c>
    </row>
    <row r="1920" spans="1:8" x14ac:dyDescent="0.55000000000000004">
      <c r="A1920" s="6">
        <v>1.673274317856599E+19</v>
      </c>
      <c r="B1920">
        <v>719</v>
      </c>
      <c r="C1920">
        <v>1</v>
      </c>
      <c r="D1920">
        <v>3030</v>
      </c>
      <c r="E1920">
        <f t="shared" si="120"/>
        <v>3</v>
      </c>
      <c r="F1920">
        <f t="shared" si="121"/>
        <v>1</v>
      </c>
      <c r="G1920">
        <f t="shared" si="122"/>
        <v>3</v>
      </c>
      <c r="H1920">
        <f t="shared" si="123"/>
        <v>313</v>
      </c>
    </row>
    <row r="1921" spans="1:8" x14ac:dyDescent="0.55000000000000004">
      <c r="A1921" s="6">
        <v>1.6742988234076729E+19</v>
      </c>
      <c r="B1921">
        <v>565</v>
      </c>
      <c r="C1921">
        <v>1</v>
      </c>
      <c r="D1921">
        <v>1378</v>
      </c>
      <c r="E1921">
        <f t="shared" si="120"/>
        <v>4</v>
      </c>
      <c r="F1921">
        <f t="shared" si="121"/>
        <v>1</v>
      </c>
      <c r="G1921">
        <f t="shared" si="122"/>
        <v>2</v>
      </c>
      <c r="H1921">
        <f t="shared" si="123"/>
        <v>412</v>
      </c>
    </row>
    <row r="1922" spans="1:8" x14ac:dyDescent="0.55000000000000004">
      <c r="A1922" s="6">
        <v>1.675114799969938E+19</v>
      </c>
      <c r="B1922">
        <v>284</v>
      </c>
      <c r="C1922">
        <v>1</v>
      </c>
      <c r="D1922">
        <v>1934</v>
      </c>
      <c r="E1922">
        <f t="shared" si="120"/>
        <v>5</v>
      </c>
      <c r="F1922">
        <f t="shared" si="121"/>
        <v>1</v>
      </c>
      <c r="G1922">
        <f t="shared" si="122"/>
        <v>2</v>
      </c>
      <c r="H1922">
        <f t="shared" si="123"/>
        <v>512</v>
      </c>
    </row>
    <row r="1923" spans="1:8" x14ac:dyDescent="0.55000000000000004">
      <c r="A1923" s="6">
        <v>1.675574844922743E+19</v>
      </c>
      <c r="B1923">
        <v>244</v>
      </c>
      <c r="C1923">
        <v>1</v>
      </c>
      <c r="D1923">
        <v>0</v>
      </c>
      <c r="E1923">
        <f t="shared" ref="E1923:E1986" si="124">VLOOKUP(B1923,$K$5:$L$9,2,1)</f>
        <v>5</v>
      </c>
      <c r="F1923">
        <f t="shared" ref="F1923:F1986" si="125">VLOOKUP(C1923,$K$15:$L$17,2,1)</f>
        <v>1</v>
      </c>
      <c r="G1923">
        <f t="shared" ref="G1923:G1986" si="126">VLOOKUP(D1923,$K$24:$L$26,2,1)</f>
        <v>1</v>
      </c>
      <c r="H1923">
        <f t="shared" ref="H1923:H1986" si="127">E1923*100+F1923*10+G1923</f>
        <v>511</v>
      </c>
    </row>
    <row r="1924" spans="1:8" x14ac:dyDescent="0.55000000000000004">
      <c r="A1924" s="6">
        <v>1.676357141237368E+19</v>
      </c>
      <c r="B1924">
        <v>212</v>
      </c>
      <c r="C1924">
        <v>2</v>
      </c>
      <c r="D1924">
        <v>146</v>
      </c>
      <c r="E1924">
        <f t="shared" si="124"/>
        <v>5</v>
      </c>
      <c r="F1924">
        <f t="shared" si="125"/>
        <v>2</v>
      </c>
      <c r="G1924">
        <f t="shared" si="126"/>
        <v>1</v>
      </c>
      <c r="H1924">
        <f t="shared" si="127"/>
        <v>521</v>
      </c>
    </row>
    <row r="1925" spans="1:8" x14ac:dyDescent="0.55000000000000004">
      <c r="A1925" s="6">
        <v>1.6771555217699459E+19</v>
      </c>
      <c r="B1925">
        <v>223</v>
      </c>
      <c r="C1925">
        <v>1</v>
      </c>
      <c r="D1925">
        <v>806</v>
      </c>
      <c r="E1925">
        <f t="shared" si="124"/>
        <v>5</v>
      </c>
      <c r="F1925">
        <f t="shared" si="125"/>
        <v>1</v>
      </c>
      <c r="G1925">
        <f t="shared" si="126"/>
        <v>2</v>
      </c>
      <c r="H1925">
        <f t="shared" si="127"/>
        <v>512</v>
      </c>
    </row>
    <row r="1926" spans="1:8" x14ac:dyDescent="0.55000000000000004">
      <c r="A1926" s="6">
        <v>1.677269360641493E+19</v>
      </c>
      <c r="B1926">
        <v>810</v>
      </c>
      <c r="C1926">
        <v>1</v>
      </c>
      <c r="D1926">
        <v>59</v>
      </c>
      <c r="E1926">
        <f t="shared" si="124"/>
        <v>3</v>
      </c>
      <c r="F1926">
        <f t="shared" si="125"/>
        <v>1</v>
      </c>
      <c r="G1926">
        <f t="shared" si="126"/>
        <v>1</v>
      </c>
      <c r="H1926">
        <f t="shared" si="127"/>
        <v>311</v>
      </c>
    </row>
    <row r="1927" spans="1:8" x14ac:dyDescent="0.55000000000000004">
      <c r="A1927" s="6">
        <v>1.6777193568567321E+19</v>
      </c>
      <c r="B1927">
        <v>472</v>
      </c>
      <c r="C1927">
        <v>2</v>
      </c>
      <c r="D1927">
        <v>4252</v>
      </c>
      <c r="E1927">
        <f t="shared" si="124"/>
        <v>4</v>
      </c>
      <c r="F1927">
        <f t="shared" si="125"/>
        <v>2</v>
      </c>
      <c r="G1927">
        <f t="shared" si="126"/>
        <v>3</v>
      </c>
      <c r="H1927">
        <f t="shared" si="127"/>
        <v>423</v>
      </c>
    </row>
    <row r="1928" spans="1:8" x14ac:dyDescent="0.55000000000000004">
      <c r="A1928" s="6">
        <v>1.679598666735361E+19</v>
      </c>
      <c r="B1928">
        <v>654</v>
      </c>
      <c r="C1928">
        <v>1</v>
      </c>
      <c r="D1928">
        <v>1650</v>
      </c>
      <c r="E1928">
        <f t="shared" si="124"/>
        <v>3</v>
      </c>
      <c r="F1928">
        <f t="shared" si="125"/>
        <v>1</v>
      </c>
      <c r="G1928">
        <f t="shared" si="126"/>
        <v>2</v>
      </c>
      <c r="H1928">
        <f t="shared" si="127"/>
        <v>312</v>
      </c>
    </row>
    <row r="1929" spans="1:8" x14ac:dyDescent="0.55000000000000004">
      <c r="A1929" s="6">
        <v>1.6798863010277089E+19</v>
      </c>
      <c r="B1929">
        <v>116</v>
      </c>
      <c r="C1929">
        <v>2</v>
      </c>
      <c r="D1929">
        <v>2457</v>
      </c>
      <c r="E1929">
        <f t="shared" si="124"/>
        <v>5</v>
      </c>
      <c r="F1929">
        <f t="shared" si="125"/>
        <v>2</v>
      </c>
      <c r="G1929">
        <f t="shared" si="126"/>
        <v>3</v>
      </c>
      <c r="H1929">
        <f t="shared" si="127"/>
        <v>523</v>
      </c>
    </row>
    <row r="1930" spans="1:8" x14ac:dyDescent="0.55000000000000004">
      <c r="A1930" s="6">
        <v>1.68054783561169E+19</v>
      </c>
      <c r="B1930">
        <v>502</v>
      </c>
      <c r="C1930">
        <v>1</v>
      </c>
      <c r="D1930">
        <v>180</v>
      </c>
      <c r="E1930">
        <f t="shared" si="124"/>
        <v>4</v>
      </c>
      <c r="F1930">
        <f t="shared" si="125"/>
        <v>1</v>
      </c>
      <c r="G1930">
        <f t="shared" si="126"/>
        <v>1</v>
      </c>
      <c r="H1930">
        <f t="shared" si="127"/>
        <v>411</v>
      </c>
    </row>
    <row r="1931" spans="1:8" x14ac:dyDescent="0.55000000000000004">
      <c r="A1931" s="6">
        <v>1.6808117805538869E+19</v>
      </c>
      <c r="B1931">
        <v>131</v>
      </c>
      <c r="C1931">
        <v>3</v>
      </c>
      <c r="D1931">
        <v>2472</v>
      </c>
      <c r="E1931">
        <f t="shared" si="124"/>
        <v>5</v>
      </c>
      <c r="F1931">
        <f t="shared" si="125"/>
        <v>3</v>
      </c>
      <c r="G1931">
        <f t="shared" si="126"/>
        <v>3</v>
      </c>
      <c r="H1931">
        <f t="shared" si="127"/>
        <v>533</v>
      </c>
    </row>
    <row r="1932" spans="1:8" x14ac:dyDescent="0.55000000000000004">
      <c r="A1932" s="6">
        <v>1.681618764775117E+19</v>
      </c>
      <c r="B1932">
        <v>1116</v>
      </c>
      <c r="C1932">
        <v>1</v>
      </c>
      <c r="D1932">
        <v>0</v>
      </c>
      <c r="E1932">
        <f t="shared" si="124"/>
        <v>2</v>
      </c>
      <c r="F1932">
        <f t="shared" si="125"/>
        <v>1</v>
      </c>
      <c r="G1932">
        <f t="shared" si="126"/>
        <v>1</v>
      </c>
      <c r="H1932">
        <f t="shared" si="127"/>
        <v>211</v>
      </c>
    </row>
    <row r="1933" spans="1:8" x14ac:dyDescent="0.55000000000000004">
      <c r="A1933" s="6">
        <v>1.6828427059661771E+19</v>
      </c>
      <c r="B1933">
        <v>1076</v>
      </c>
      <c r="C1933">
        <v>1</v>
      </c>
      <c r="D1933">
        <v>87</v>
      </c>
      <c r="E1933">
        <f t="shared" si="124"/>
        <v>2</v>
      </c>
      <c r="F1933">
        <f t="shared" si="125"/>
        <v>1</v>
      </c>
      <c r="G1933">
        <f t="shared" si="126"/>
        <v>1</v>
      </c>
      <c r="H1933">
        <f t="shared" si="127"/>
        <v>211</v>
      </c>
    </row>
    <row r="1934" spans="1:8" x14ac:dyDescent="0.55000000000000004">
      <c r="A1934" s="6">
        <v>1.6835746633637411E+19</v>
      </c>
      <c r="B1934">
        <v>351</v>
      </c>
      <c r="C1934">
        <v>1</v>
      </c>
      <c r="D1934">
        <v>4740</v>
      </c>
      <c r="E1934">
        <f t="shared" si="124"/>
        <v>4</v>
      </c>
      <c r="F1934">
        <f t="shared" si="125"/>
        <v>1</v>
      </c>
      <c r="G1934">
        <f t="shared" si="126"/>
        <v>3</v>
      </c>
      <c r="H1934">
        <f t="shared" si="127"/>
        <v>413</v>
      </c>
    </row>
    <row r="1935" spans="1:8" x14ac:dyDescent="0.55000000000000004">
      <c r="A1935" s="6">
        <v>1.6843239157042E+19</v>
      </c>
      <c r="B1935">
        <v>831</v>
      </c>
      <c r="C1935">
        <v>1</v>
      </c>
      <c r="D1935">
        <v>523</v>
      </c>
      <c r="E1935">
        <f t="shared" si="124"/>
        <v>3</v>
      </c>
      <c r="F1935">
        <f t="shared" si="125"/>
        <v>1</v>
      </c>
      <c r="G1935">
        <f t="shared" si="126"/>
        <v>1</v>
      </c>
      <c r="H1935">
        <f t="shared" si="127"/>
        <v>311</v>
      </c>
    </row>
    <row r="1936" spans="1:8" x14ac:dyDescent="0.55000000000000004">
      <c r="A1936" s="6">
        <v>1.684783760662197E+19</v>
      </c>
      <c r="B1936">
        <v>180</v>
      </c>
      <c r="C1936">
        <v>1</v>
      </c>
      <c r="D1936">
        <v>778</v>
      </c>
      <c r="E1936">
        <f t="shared" si="124"/>
        <v>5</v>
      </c>
      <c r="F1936">
        <f t="shared" si="125"/>
        <v>1</v>
      </c>
      <c r="G1936">
        <f t="shared" si="126"/>
        <v>2</v>
      </c>
      <c r="H1936">
        <f t="shared" si="127"/>
        <v>512</v>
      </c>
    </row>
    <row r="1937" spans="1:8" x14ac:dyDescent="0.55000000000000004">
      <c r="A1937" s="6">
        <v>1.6848572918924741E+19</v>
      </c>
      <c r="B1937">
        <v>841</v>
      </c>
      <c r="C1937">
        <v>1</v>
      </c>
      <c r="D1937">
        <v>459</v>
      </c>
      <c r="E1937">
        <f t="shared" si="124"/>
        <v>3</v>
      </c>
      <c r="F1937">
        <f t="shared" si="125"/>
        <v>1</v>
      </c>
      <c r="G1937">
        <f t="shared" si="126"/>
        <v>1</v>
      </c>
      <c r="H1937">
        <f t="shared" si="127"/>
        <v>311</v>
      </c>
    </row>
    <row r="1938" spans="1:8" x14ac:dyDescent="0.55000000000000004">
      <c r="A1938" s="6">
        <v>1.685469016719214E+19</v>
      </c>
      <c r="B1938">
        <v>34</v>
      </c>
      <c r="C1938">
        <v>3</v>
      </c>
      <c r="D1938">
        <v>4796</v>
      </c>
      <c r="E1938">
        <f t="shared" si="124"/>
        <v>5</v>
      </c>
      <c r="F1938">
        <f t="shared" si="125"/>
        <v>3</v>
      </c>
      <c r="G1938">
        <f t="shared" si="126"/>
        <v>3</v>
      </c>
      <c r="H1938">
        <f t="shared" si="127"/>
        <v>533</v>
      </c>
    </row>
    <row r="1939" spans="1:8" x14ac:dyDescent="0.55000000000000004">
      <c r="A1939" s="6">
        <v>1.6854811492381499E+19</v>
      </c>
      <c r="B1939">
        <v>600</v>
      </c>
      <c r="C1939">
        <v>2</v>
      </c>
      <c r="D1939">
        <v>4830</v>
      </c>
      <c r="E1939">
        <f t="shared" si="124"/>
        <v>3</v>
      </c>
      <c r="F1939">
        <f t="shared" si="125"/>
        <v>2</v>
      </c>
      <c r="G1939">
        <f t="shared" si="126"/>
        <v>3</v>
      </c>
      <c r="H1939">
        <f t="shared" si="127"/>
        <v>323</v>
      </c>
    </row>
    <row r="1940" spans="1:8" x14ac:dyDescent="0.55000000000000004">
      <c r="A1940" s="6">
        <v>1.686344105198377E+19</v>
      </c>
      <c r="B1940">
        <v>992</v>
      </c>
      <c r="C1940">
        <v>1</v>
      </c>
      <c r="D1940">
        <v>48</v>
      </c>
      <c r="E1940">
        <f t="shared" si="124"/>
        <v>2</v>
      </c>
      <c r="F1940">
        <f t="shared" si="125"/>
        <v>1</v>
      </c>
      <c r="G1940">
        <f t="shared" si="126"/>
        <v>1</v>
      </c>
      <c r="H1940">
        <f t="shared" si="127"/>
        <v>211</v>
      </c>
    </row>
    <row r="1941" spans="1:8" x14ac:dyDescent="0.55000000000000004">
      <c r="A1941" s="6">
        <v>1.6866689558705279E+19</v>
      </c>
      <c r="B1941">
        <v>426</v>
      </c>
      <c r="C1941">
        <v>1</v>
      </c>
      <c r="D1941">
        <v>298</v>
      </c>
      <c r="E1941">
        <f t="shared" si="124"/>
        <v>4</v>
      </c>
      <c r="F1941">
        <f t="shared" si="125"/>
        <v>1</v>
      </c>
      <c r="G1941">
        <f t="shared" si="126"/>
        <v>1</v>
      </c>
      <c r="H1941">
        <f t="shared" si="127"/>
        <v>411</v>
      </c>
    </row>
    <row r="1942" spans="1:8" x14ac:dyDescent="0.55000000000000004">
      <c r="A1942" s="6">
        <v>1.6892110945713719E+19</v>
      </c>
      <c r="B1942">
        <v>30</v>
      </c>
      <c r="C1942">
        <v>2</v>
      </c>
      <c r="D1942">
        <v>3371</v>
      </c>
      <c r="E1942">
        <f t="shared" si="124"/>
        <v>5</v>
      </c>
      <c r="F1942">
        <f t="shared" si="125"/>
        <v>2</v>
      </c>
      <c r="G1942">
        <f t="shared" si="126"/>
        <v>3</v>
      </c>
      <c r="H1942">
        <f t="shared" si="127"/>
        <v>523</v>
      </c>
    </row>
    <row r="1943" spans="1:8" x14ac:dyDescent="0.55000000000000004">
      <c r="A1943" s="6">
        <v>1.690305298798652E+19</v>
      </c>
      <c r="B1943">
        <v>870</v>
      </c>
      <c r="C1943">
        <v>1</v>
      </c>
      <c r="D1943">
        <v>294</v>
      </c>
      <c r="E1943">
        <f t="shared" si="124"/>
        <v>2</v>
      </c>
      <c r="F1943">
        <f t="shared" si="125"/>
        <v>1</v>
      </c>
      <c r="G1943">
        <f t="shared" si="126"/>
        <v>1</v>
      </c>
      <c r="H1943">
        <f t="shared" si="127"/>
        <v>211</v>
      </c>
    </row>
    <row r="1944" spans="1:8" x14ac:dyDescent="0.55000000000000004">
      <c r="A1944" s="6">
        <v>1.6915568040098779E+19</v>
      </c>
      <c r="B1944">
        <v>382</v>
      </c>
      <c r="C1944">
        <v>2</v>
      </c>
      <c r="D1944">
        <v>4580</v>
      </c>
      <c r="E1944">
        <f t="shared" si="124"/>
        <v>4</v>
      </c>
      <c r="F1944">
        <f t="shared" si="125"/>
        <v>2</v>
      </c>
      <c r="G1944">
        <f t="shared" si="126"/>
        <v>3</v>
      </c>
      <c r="H1944">
        <f t="shared" si="127"/>
        <v>423</v>
      </c>
    </row>
    <row r="1945" spans="1:8" x14ac:dyDescent="0.55000000000000004">
      <c r="A1945" s="6">
        <v>1.691837402705929E+19</v>
      </c>
      <c r="B1945">
        <v>361</v>
      </c>
      <c r="C1945">
        <v>1</v>
      </c>
      <c r="D1945">
        <v>2128</v>
      </c>
      <c r="E1945">
        <f t="shared" si="124"/>
        <v>4</v>
      </c>
      <c r="F1945">
        <f t="shared" si="125"/>
        <v>1</v>
      </c>
      <c r="G1945">
        <f t="shared" si="126"/>
        <v>2</v>
      </c>
      <c r="H1945">
        <f t="shared" si="127"/>
        <v>412</v>
      </c>
    </row>
    <row r="1946" spans="1:8" x14ac:dyDescent="0.55000000000000004">
      <c r="A1946" s="6">
        <v>1.693120736134671E+19</v>
      </c>
      <c r="B1946">
        <v>30</v>
      </c>
      <c r="C1946">
        <v>1</v>
      </c>
      <c r="D1946">
        <v>5824</v>
      </c>
      <c r="E1946">
        <f t="shared" si="124"/>
        <v>5</v>
      </c>
      <c r="F1946">
        <f t="shared" si="125"/>
        <v>1</v>
      </c>
      <c r="G1946">
        <f t="shared" si="126"/>
        <v>3</v>
      </c>
      <c r="H1946">
        <f t="shared" si="127"/>
        <v>513</v>
      </c>
    </row>
    <row r="1947" spans="1:8" x14ac:dyDescent="0.55000000000000004">
      <c r="A1947" s="6">
        <v>1.6942746840926949E+19</v>
      </c>
      <c r="B1947">
        <v>413</v>
      </c>
      <c r="C1947">
        <v>3</v>
      </c>
      <c r="D1947">
        <v>4877</v>
      </c>
      <c r="E1947">
        <f t="shared" si="124"/>
        <v>4</v>
      </c>
      <c r="F1947">
        <f t="shared" si="125"/>
        <v>3</v>
      </c>
      <c r="G1947">
        <f t="shared" si="126"/>
        <v>3</v>
      </c>
      <c r="H1947">
        <f t="shared" si="127"/>
        <v>433</v>
      </c>
    </row>
    <row r="1948" spans="1:8" x14ac:dyDescent="0.55000000000000004">
      <c r="A1948" s="6">
        <v>1.6955885148495741E+19</v>
      </c>
      <c r="B1948">
        <v>1205</v>
      </c>
      <c r="C1948">
        <v>1</v>
      </c>
      <c r="D1948">
        <v>1020</v>
      </c>
      <c r="E1948">
        <f t="shared" si="124"/>
        <v>1</v>
      </c>
      <c r="F1948">
        <f t="shared" si="125"/>
        <v>1</v>
      </c>
      <c r="G1948">
        <f t="shared" si="126"/>
        <v>2</v>
      </c>
      <c r="H1948">
        <f t="shared" si="127"/>
        <v>112</v>
      </c>
    </row>
    <row r="1949" spans="1:8" x14ac:dyDescent="0.55000000000000004">
      <c r="A1949" s="6">
        <v>1.698347685318213E+19</v>
      </c>
      <c r="B1949">
        <v>88</v>
      </c>
      <c r="C1949">
        <v>1</v>
      </c>
      <c r="D1949">
        <v>2259</v>
      </c>
      <c r="E1949">
        <f t="shared" si="124"/>
        <v>5</v>
      </c>
      <c r="F1949">
        <f t="shared" si="125"/>
        <v>1</v>
      </c>
      <c r="G1949">
        <f t="shared" si="126"/>
        <v>3</v>
      </c>
      <c r="H1949">
        <f t="shared" si="127"/>
        <v>513</v>
      </c>
    </row>
    <row r="1950" spans="1:8" x14ac:dyDescent="0.55000000000000004">
      <c r="A1950" s="6">
        <v>1.698759223686554E+19</v>
      </c>
      <c r="B1950">
        <v>680</v>
      </c>
      <c r="C1950">
        <v>1</v>
      </c>
      <c r="D1950">
        <v>180</v>
      </c>
      <c r="E1950">
        <f t="shared" si="124"/>
        <v>3</v>
      </c>
      <c r="F1950">
        <f t="shared" si="125"/>
        <v>1</v>
      </c>
      <c r="G1950">
        <f t="shared" si="126"/>
        <v>1</v>
      </c>
      <c r="H1950">
        <f t="shared" si="127"/>
        <v>311</v>
      </c>
    </row>
    <row r="1951" spans="1:8" x14ac:dyDescent="0.55000000000000004">
      <c r="A1951" s="6">
        <v>1.701416435649273E+19</v>
      </c>
      <c r="B1951">
        <v>406</v>
      </c>
      <c r="C1951">
        <v>1</v>
      </c>
      <c r="D1951">
        <v>790</v>
      </c>
      <c r="E1951">
        <f t="shared" si="124"/>
        <v>4</v>
      </c>
      <c r="F1951">
        <f t="shared" si="125"/>
        <v>1</v>
      </c>
      <c r="G1951">
        <f t="shared" si="126"/>
        <v>2</v>
      </c>
      <c r="H1951">
        <f t="shared" si="127"/>
        <v>412</v>
      </c>
    </row>
    <row r="1952" spans="1:8" x14ac:dyDescent="0.55000000000000004">
      <c r="A1952" s="6">
        <v>1.70230953070644E+19</v>
      </c>
      <c r="B1952">
        <v>1019</v>
      </c>
      <c r="C1952">
        <v>2</v>
      </c>
      <c r="D1952">
        <v>7734</v>
      </c>
      <c r="E1952">
        <f t="shared" si="124"/>
        <v>2</v>
      </c>
      <c r="F1952">
        <f t="shared" si="125"/>
        <v>2</v>
      </c>
      <c r="G1952">
        <f t="shared" si="126"/>
        <v>3</v>
      </c>
      <c r="H1952">
        <f t="shared" si="127"/>
        <v>223</v>
      </c>
    </row>
    <row r="1953" spans="1:8" x14ac:dyDescent="0.55000000000000004">
      <c r="A1953" s="6">
        <v>1.7037595928923709E+19</v>
      </c>
      <c r="B1953">
        <v>474</v>
      </c>
      <c r="C1953">
        <v>1</v>
      </c>
      <c r="D1953">
        <v>109</v>
      </c>
      <c r="E1953">
        <f t="shared" si="124"/>
        <v>4</v>
      </c>
      <c r="F1953">
        <f t="shared" si="125"/>
        <v>1</v>
      </c>
      <c r="G1953">
        <f t="shared" si="126"/>
        <v>1</v>
      </c>
      <c r="H1953">
        <f t="shared" si="127"/>
        <v>411</v>
      </c>
    </row>
    <row r="1954" spans="1:8" x14ac:dyDescent="0.55000000000000004">
      <c r="A1954" s="6">
        <v>1.7057264045690991E+19</v>
      </c>
      <c r="B1954">
        <v>621</v>
      </c>
      <c r="C1954">
        <v>1</v>
      </c>
      <c r="D1954">
        <v>664</v>
      </c>
      <c r="E1954">
        <f t="shared" si="124"/>
        <v>3</v>
      </c>
      <c r="F1954">
        <f t="shared" si="125"/>
        <v>1</v>
      </c>
      <c r="G1954">
        <f t="shared" si="126"/>
        <v>2</v>
      </c>
      <c r="H1954">
        <f t="shared" si="127"/>
        <v>312</v>
      </c>
    </row>
    <row r="1955" spans="1:8" x14ac:dyDescent="0.55000000000000004">
      <c r="A1955" s="6">
        <v>1.706242839478902E+19</v>
      </c>
      <c r="B1955">
        <v>315</v>
      </c>
      <c r="C1955">
        <v>2</v>
      </c>
      <c r="D1955">
        <v>1128</v>
      </c>
      <c r="E1955">
        <f t="shared" si="124"/>
        <v>4</v>
      </c>
      <c r="F1955">
        <f t="shared" si="125"/>
        <v>2</v>
      </c>
      <c r="G1955">
        <f t="shared" si="126"/>
        <v>2</v>
      </c>
      <c r="H1955">
        <f t="shared" si="127"/>
        <v>422</v>
      </c>
    </row>
    <row r="1956" spans="1:8" x14ac:dyDescent="0.55000000000000004">
      <c r="A1956" s="6">
        <v>1.706372138256819E+19</v>
      </c>
      <c r="B1956">
        <v>495</v>
      </c>
      <c r="C1956">
        <v>1</v>
      </c>
      <c r="D1956">
        <v>6985</v>
      </c>
      <c r="E1956">
        <f t="shared" si="124"/>
        <v>4</v>
      </c>
      <c r="F1956">
        <f t="shared" si="125"/>
        <v>1</v>
      </c>
      <c r="G1956">
        <f t="shared" si="126"/>
        <v>3</v>
      </c>
      <c r="H1956">
        <f t="shared" si="127"/>
        <v>413</v>
      </c>
    </row>
    <row r="1957" spans="1:8" x14ac:dyDescent="0.55000000000000004">
      <c r="A1957" s="6">
        <v>1.7064670473445911E+19</v>
      </c>
      <c r="B1957">
        <v>1147</v>
      </c>
      <c r="C1957">
        <v>1</v>
      </c>
      <c r="D1957">
        <v>946</v>
      </c>
      <c r="E1957">
        <f t="shared" si="124"/>
        <v>2</v>
      </c>
      <c r="F1957">
        <f t="shared" si="125"/>
        <v>1</v>
      </c>
      <c r="G1957">
        <f t="shared" si="126"/>
        <v>2</v>
      </c>
      <c r="H1957">
        <f t="shared" si="127"/>
        <v>212</v>
      </c>
    </row>
    <row r="1958" spans="1:8" x14ac:dyDescent="0.55000000000000004">
      <c r="A1958" s="6">
        <v>1.708265761661158E+19</v>
      </c>
      <c r="B1958">
        <v>169</v>
      </c>
      <c r="C1958">
        <v>1</v>
      </c>
      <c r="D1958">
        <v>507</v>
      </c>
      <c r="E1958">
        <f t="shared" si="124"/>
        <v>5</v>
      </c>
      <c r="F1958">
        <f t="shared" si="125"/>
        <v>1</v>
      </c>
      <c r="G1958">
        <f t="shared" si="126"/>
        <v>1</v>
      </c>
      <c r="H1958">
        <f t="shared" si="127"/>
        <v>511</v>
      </c>
    </row>
    <row r="1959" spans="1:8" x14ac:dyDescent="0.55000000000000004">
      <c r="A1959" s="6">
        <v>1.709462589206537E+19</v>
      </c>
      <c r="B1959">
        <v>773</v>
      </c>
      <c r="C1959">
        <v>2</v>
      </c>
      <c r="D1959">
        <v>201</v>
      </c>
      <c r="E1959">
        <f t="shared" si="124"/>
        <v>3</v>
      </c>
      <c r="F1959">
        <f t="shared" si="125"/>
        <v>2</v>
      </c>
      <c r="G1959">
        <f t="shared" si="126"/>
        <v>1</v>
      </c>
      <c r="H1959">
        <f t="shared" si="127"/>
        <v>321</v>
      </c>
    </row>
    <row r="1960" spans="1:8" x14ac:dyDescent="0.55000000000000004">
      <c r="A1960" s="6">
        <v>1.7101959863354759E+19</v>
      </c>
      <c r="B1960">
        <v>13</v>
      </c>
      <c r="C1960">
        <v>1</v>
      </c>
      <c r="D1960">
        <v>2746</v>
      </c>
      <c r="E1960">
        <f t="shared" si="124"/>
        <v>5</v>
      </c>
      <c r="F1960">
        <f t="shared" si="125"/>
        <v>1</v>
      </c>
      <c r="G1960">
        <f t="shared" si="126"/>
        <v>3</v>
      </c>
      <c r="H1960">
        <f t="shared" si="127"/>
        <v>513</v>
      </c>
    </row>
    <row r="1961" spans="1:8" x14ac:dyDescent="0.55000000000000004">
      <c r="A1961" s="6">
        <v>1.710465129836398E+19</v>
      </c>
      <c r="B1961">
        <v>482</v>
      </c>
      <c r="C1961">
        <v>2</v>
      </c>
      <c r="D1961">
        <v>29998</v>
      </c>
      <c r="E1961">
        <f t="shared" si="124"/>
        <v>4</v>
      </c>
      <c r="F1961">
        <f t="shared" si="125"/>
        <v>2</v>
      </c>
      <c r="G1961">
        <f t="shared" si="126"/>
        <v>3</v>
      </c>
      <c r="H1961">
        <f t="shared" si="127"/>
        <v>423</v>
      </c>
    </row>
    <row r="1962" spans="1:8" x14ac:dyDescent="0.55000000000000004">
      <c r="A1962" s="6">
        <v>1.714029759982669E+19</v>
      </c>
      <c r="B1962">
        <v>481</v>
      </c>
      <c r="C1962">
        <v>1</v>
      </c>
      <c r="D1962">
        <v>660</v>
      </c>
      <c r="E1962">
        <f t="shared" si="124"/>
        <v>4</v>
      </c>
      <c r="F1962">
        <f t="shared" si="125"/>
        <v>1</v>
      </c>
      <c r="G1962">
        <f t="shared" si="126"/>
        <v>2</v>
      </c>
      <c r="H1962">
        <f t="shared" si="127"/>
        <v>412</v>
      </c>
    </row>
    <row r="1963" spans="1:8" x14ac:dyDescent="0.55000000000000004">
      <c r="A1963" s="6">
        <v>1.7144049074298481E+19</v>
      </c>
      <c r="B1963">
        <v>865</v>
      </c>
      <c r="C1963">
        <v>1</v>
      </c>
      <c r="D1963">
        <v>910</v>
      </c>
      <c r="E1963">
        <f t="shared" si="124"/>
        <v>3</v>
      </c>
      <c r="F1963">
        <f t="shared" si="125"/>
        <v>1</v>
      </c>
      <c r="G1963">
        <f t="shared" si="126"/>
        <v>2</v>
      </c>
      <c r="H1963">
        <f t="shared" si="127"/>
        <v>312</v>
      </c>
    </row>
    <row r="1964" spans="1:8" x14ac:dyDescent="0.55000000000000004">
      <c r="A1964" s="6">
        <v>1.718629974621432E+19</v>
      </c>
      <c r="B1964">
        <v>59</v>
      </c>
      <c r="C1964">
        <v>1</v>
      </c>
      <c r="D1964">
        <v>14985</v>
      </c>
      <c r="E1964">
        <f t="shared" si="124"/>
        <v>5</v>
      </c>
      <c r="F1964">
        <f t="shared" si="125"/>
        <v>1</v>
      </c>
      <c r="G1964">
        <f t="shared" si="126"/>
        <v>3</v>
      </c>
      <c r="H1964">
        <f t="shared" si="127"/>
        <v>513</v>
      </c>
    </row>
    <row r="1965" spans="1:8" x14ac:dyDescent="0.55000000000000004">
      <c r="A1965" s="6">
        <v>1.7193496902024231E+19</v>
      </c>
      <c r="B1965">
        <v>1078</v>
      </c>
      <c r="C1965">
        <v>1</v>
      </c>
      <c r="D1965">
        <v>1380</v>
      </c>
      <c r="E1965">
        <f t="shared" si="124"/>
        <v>2</v>
      </c>
      <c r="F1965">
        <f t="shared" si="125"/>
        <v>1</v>
      </c>
      <c r="G1965">
        <f t="shared" si="126"/>
        <v>2</v>
      </c>
      <c r="H1965">
        <f t="shared" si="127"/>
        <v>212</v>
      </c>
    </row>
    <row r="1966" spans="1:8" x14ac:dyDescent="0.55000000000000004">
      <c r="A1966" s="6">
        <v>1.719510632926738E+19</v>
      </c>
      <c r="B1966">
        <v>163</v>
      </c>
      <c r="C1966">
        <v>1</v>
      </c>
      <c r="D1966">
        <v>6450</v>
      </c>
      <c r="E1966">
        <f t="shared" si="124"/>
        <v>5</v>
      </c>
      <c r="F1966">
        <f t="shared" si="125"/>
        <v>1</v>
      </c>
      <c r="G1966">
        <f t="shared" si="126"/>
        <v>3</v>
      </c>
      <c r="H1966">
        <f t="shared" si="127"/>
        <v>513</v>
      </c>
    </row>
    <row r="1967" spans="1:8" x14ac:dyDescent="0.55000000000000004">
      <c r="A1967" s="6">
        <v>1.7195823753244791E+19</v>
      </c>
      <c r="B1967">
        <v>191</v>
      </c>
      <c r="C1967">
        <v>4</v>
      </c>
      <c r="D1967">
        <v>1652</v>
      </c>
      <c r="E1967">
        <f t="shared" si="124"/>
        <v>5</v>
      </c>
      <c r="F1967">
        <f t="shared" si="125"/>
        <v>3</v>
      </c>
      <c r="G1967">
        <f t="shared" si="126"/>
        <v>2</v>
      </c>
      <c r="H1967">
        <f t="shared" si="127"/>
        <v>532</v>
      </c>
    </row>
    <row r="1968" spans="1:8" x14ac:dyDescent="0.55000000000000004">
      <c r="A1968" s="6">
        <v>1.7208461186914601E+19</v>
      </c>
      <c r="B1968">
        <v>894</v>
      </c>
      <c r="C1968">
        <v>1</v>
      </c>
      <c r="D1968">
        <v>910</v>
      </c>
      <c r="E1968">
        <f t="shared" si="124"/>
        <v>2</v>
      </c>
      <c r="F1968">
        <f t="shared" si="125"/>
        <v>1</v>
      </c>
      <c r="G1968">
        <f t="shared" si="126"/>
        <v>2</v>
      </c>
      <c r="H1968">
        <f t="shared" si="127"/>
        <v>212</v>
      </c>
    </row>
    <row r="1969" spans="1:8" x14ac:dyDescent="0.55000000000000004">
      <c r="A1969" s="6">
        <v>1.721946926227517E+19</v>
      </c>
      <c r="B1969">
        <v>257</v>
      </c>
      <c r="C1969">
        <v>1</v>
      </c>
      <c r="D1969">
        <v>2246</v>
      </c>
      <c r="E1969">
        <f t="shared" si="124"/>
        <v>5</v>
      </c>
      <c r="F1969">
        <f t="shared" si="125"/>
        <v>1</v>
      </c>
      <c r="G1969">
        <f t="shared" si="126"/>
        <v>2</v>
      </c>
      <c r="H1969">
        <f t="shared" si="127"/>
        <v>512</v>
      </c>
    </row>
    <row r="1970" spans="1:8" x14ac:dyDescent="0.55000000000000004">
      <c r="A1970" s="6">
        <v>1.7230858762118959E+19</v>
      </c>
      <c r="B1970">
        <v>515</v>
      </c>
      <c r="C1970">
        <v>1</v>
      </c>
      <c r="D1970">
        <v>2640</v>
      </c>
      <c r="E1970">
        <f t="shared" si="124"/>
        <v>4</v>
      </c>
      <c r="F1970">
        <f t="shared" si="125"/>
        <v>1</v>
      </c>
      <c r="G1970">
        <f t="shared" si="126"/>
        <v>3</v>
      </c>
      <c r="H1970">
        <f t="shared" si="127"/>
        <v>413</v>
      </c>
    </row>
    <row r="1971" spans="1:8" x14ac:dyDescent="0.55000000000000004">
      <c r="A1971" s="6">
        <v>1.723221723891175E+19</v>
      </c>
      <c r="B1971">
        <v>298</v>
      </c>
      <c r="C1971">
        <v>1</v>
      </c>
      <c r="D1971">
        <v>1055</v>
      </c>
      <c r="E1971">
        <f t="shared" si="124"/>
        <v>4</v>
      </c>
      <c r="F1971">
        <f t="shared" si="125"/>
        <v>1</v>
      </c>
      <c r="G1971">
        <f t="shared" si="126"/>
        <v>2</v>
      </c>
      <c r="H1971">
        <f t="shared" si="127"/>
        <v>412</v>
      </c>
    </row>
    <row r="1972" spans="1:8" x14ac:dyDescent="0.55000000000000004">
      <c r="A1972" s="6">
        <v>1.7244448920772749E+19</v>
      </c>
      <c r="B1972">
        <v>793</v>
      </c>
      <c r="C1972">
        <v>1</v>
      </c>
      <c r="D1972">
        <v>899</v>
      </c>
      <c r="E1972">
        <f t="shared" si="124"/>
        <v>3</v>
      </c>
      <c r="F1972">
        <f t="shared" si="125"/>
        <v>1</v>
      </c>
      <c r="G1972">
        <f t="shared" si="126"/>
        <v>2</v>
      </c>
      <c r="H1972">
        <f t="shared" si="127"/>
        <v>312</v>
      </c>
    </row>
    <row r="1973" spans="1:8" x14ac:dyDescent="0.55000000000000004">
      <c r="A1973" s="6">
        <v>1.7245230336518781E+19</v>
      </c>
      <c r="B1973">
        <v>31</v>
      </c>
      <c r="C1973">
        <v>2</v>
      </c>
      <c r="D1973">
        <v>5298</v>
      </c>
      <c r="E1973">
        <f t="shared" si="124"/>
        <v>5</v>
      </c>
      <c r="F1973">
        <f t="shared" si="125"/>
        <v>2</v>
      </c>
      <c r="G1973">
        <f t="shared" si="126"/>
        <v>3</v>
      </c>
      <c r="H1973">
        <f t="shared" si="127"/>
        <v>523</v>
      </c>
    </row>
    <row r="1974" spans="1:8" x14ac:dyDescent="0.55000000000000004">
      <c r="A1974" s="6">
        <v>1.724830351432611E+19</v>
      </c>
      <c r="B1974">
        <v>704</v>
      </c>
      <c r="C1974">
        <v>1</v>
      </c>
      <c r="D1974">
        <v>11097</v>
      </c>
      <c r="E1974">
        <f t="shared" si="124"/>
        <v>3</v>
      </c>
      <c r="F1974">
        <f t="shared" si="125"/>
        <v>1</v>
      </c>
      <c r="G1974">
        <f t="shared" si="126"/>
        <v>3</v>
      </c>
      <c r="H1974">
        <f t="shared" si="127"/>
        <v>313</v>
      </c>
    </row>
    <row r="1975" spans="1:8" x14ac:dyDescent="0.55000000000000004">
      <c r="A1975" s="6">
        <v>1.7258647960044689E+19</v>
      </c>
      <c r="B1975">
        <v>250</v>
      </c>
      <c r="C1975">
        <v>2</v>
      </c>
      <c r="D1975">
        <v>10308</v>
      </c>
      <c r="E1975">
        <f t="shared" si="124"/>
        <v>5</v>
      </c>
      <c r="F1975">
        <f t="shared" si="125"/>
        <v>2</v>
      </c>
      <c r="G1975">
        <f t="shared" si="126"/>
        <v>3</v>
      </c>
      <c r="H1975">
        <f t="shared" si="127"/>
        <v>523</v>
      </c>
    </row>
    <row r="1976" spans="1:8" x14ac:dyDescent="0.55000000000000004">
      <c r="A1976" s="6">
        <v>1.726111980381961E+19</v>
      </c>
      <c r="B1976">
        <v>1162</v>
      </c>
      <c r="C1976">
        <v>1</v>
      </c>
      <c r="D1976">
        <v>850</v>
      </c>
      <c r="E1976">
        <f t="shared" si="124"/>
        <v>1</v>
      </c>
      <c r="F1976">
        <f t="shared" si="125"/>
        <v>1</v>
      </c>
      <c r="G1976">
        <f t="shared" si="126"/>
        <v>2</v>
      </c>
      <c r="H1976">
        <f t="shared" si="127"/>
        <v>112</v>
      </c>
    </row>
    <row r="1977" spans="1:8" x14ac:dyDescent="0.55000000000000004">
      <c r="A1977" s="6">
        <v>1.7263309530364119E+19</v>
      </c>
      <c r="B1977">
        <v>372</v>
      </c>
      <c r="C1977">
        <v>1</v>
      </c>
      <c r="D1977">
        <v>179</v>
      </c>
      <c r="E1977">
        <f t="shared" si="124"/>
        <v>4</v>
      </c>
      <c r="F1977">
        <f t="shared" si="125"/>
        <v>1</v>
      </c>
      <c r="G1977">
        <f t="shared" si="126"/>
        <v>1</v>
      </c>
      <c r="H1977">
        <f t="shared" si="127"/>
        <v>411</v>
      </c>
    </row>
    <row r="1978" spans="1:8" x14ac:dyDescent="0.55000000000000004">
      <c r="A1978" s="6">
        <v>1.7269617080025881E+19</v>
      </c>
      <c r="B1978">
        <v>815</v>
      </c>
      <c r="C1978">
        <v>1</v>
      </c>
      <c r="D1978">
        <v>318</v>
      </c>
      <c r="E1978">
        <f t="shared" si="124"/>
        <v>3</v>
      </c>
      <c r="F1978">
        <f t="shared" si="125"/>
        <v>1</v>
      </c>
      <c r="G1978">
        <f t="shared" si="126"/>
        <v>1</v>
      </c>
      <c r="H1978">
        <f t="shared" si="127"/>
        <v>311</v>
      </c>
    </row>
    <row r="1979" spans="1:8" x14ac:dyDescent="0.55000000000000004">
      <c r="A1979" s="6">
        <v>1.7273082300137501E+19</v>
      </c>
      <c r="B1979">
        <v>41</v>
      </c>
      <c r="C1979">
        <v>2</v>
      </c>
      <c r="D1979">
        <v>5276</v>
      </c>
      <c r="E1979">
        <f t="shared" si="124"/>
        <v>5</v>
      </c>
      <c r="F1979">
        <f t="shared" si="125"/>
        <v>2</v>
      </c>
      <c r="G1979">
        <f t="shared" si="126"/>
        <v>3</v>
      </c>
      <c r="H1979">
        <f t="shared" si="127"/>
        <v>523</v>
      </c>
    </row>
    <row r="1980" spans="1:8" x14ac:dyDescent="0.55000000000000004">
      <c r="A1980" s="6">
        <v>1.7279929082511679E+19</v>
      </c>
      <c r="B1980">
        <v>457</v>
      </c>
      <c r="C1980">
        <v>1</v>
      </c>
      <c r="D1980">
        <v>525</v>
      </c>
      <c r="E1980">
        <f t="shared" si="124"/>
        <v>4</v>
      </c>
      <c r="F1980">
        <f t="shared" si="125"/>
        <v>1</v>
      </c>
      <c r="G1980">
        <f t="shared" si="126"/>
        <v>1</v>
      </c>
      <c r="H1980">
        <f t="shared" si="127"/>
        <v>411</v>
      </c>
    </row>
    <row r="1981" spans="1:8" x14ac:dyDescent="0.55000000000000004">
      <c r="A1981" s="6">
        <v>1.728308851418914E+19</v>
      </c>
      <c r="B1981">
        <v>182</v>
      </c>
      <c r="C1981">
        <v>2</v>
      </c>
      <c r="D1981">
        <v>2783</v>
      </c>
      <c r="E1981">
        <f t="shared" si="124"/>
        <v>5</v>
      </c>
      <c r="F1981">
        <f t="shared" si="125"/>
        <v>2</v>
      </c>
      <c r="G1981">
        <f t="shared" si="126"/>
        <v>3</v>
      </c>
      <c r="H1981">
        <f t="shared" si="127"/>
        <v>523</v>
      </c>
    </row>
    <row r="1982" spans="1:8" x14ac:dyDescent="0.55000000000000004">
      <c r="A1982" s="6">
        <v>1.73052055947601E+19</v>
      </c>
      <c r="B1982">
        <v>366</v>
      </c>
      <c r="C1982">
        <v>2</v>
      </c>
      <c r="D1982">
        <v>584</v>
      </c>
      <c r="E1982">
        <f t="shared" si="124"/>
        <v>4</v>
      </c>
      <c r="F1982">
        <f t="shared" si="125"/>
        <v>2</v>
      </c>
      <c r="G1982">
        <f t="shared" si="126"/>
        <v>1</v>
      </c>
      <c r="H1982">
        <f t="shared" si="127"/>
        <v>421</v>
      </c>
    </row>
    <row r="1983" spans="1:8" x14ac:dyDescent="0.55000000000000004">
      <c r="A1983" s="6">
        <v>1.732278700249387E+19</v>
      </c>
      <c r="B1983">
        <v>1207</v>
      </c>
      <c r="C1983">
        <v>1</v>
      </c>
      <c r="D1983">
        <v>385</v>
      </c>
      <c r="E1983">
        <f t="shared" si="124"/>
        <v>1</v>
      </c>
      <c r="F1983">
        <f t="shared" si="125"/>
        <v>1</v>
      </c>
      <c r="G1983">
        <f t="shared" si="126"/>
        <v>1</v>
      </c>
      <c r="H1983">
        <f t="shared" si="127"/>
        <v>111</v>
      </c>
    </row>
    <row r="1984" spans="1:8" x14ac:dyDescent="0.55000000000000004">
      <c r="A1984" s="6">
        <v>1.732389790384988E+19</v>
      </c>
      <c r="B1984">
        <v>320</v>
      </c>
      <c r="C1984">
        <v>1</v>
      </c>
      <c r="D1984">
        <v>318</v>
      </c>
      <c r="E1984">
        <f t="shared" si="124"/>
        <v>4</v>
      </c>
      <c r="F1984">
        <f t="shared" si="125"/>
        <v>1</v>
      </c>
      <c r="G1984">
        <f t="shared" si="126"/>
        <v>1</v>
      </c>
      <c r="H1984">
        <f t="shared" si="127"/>
        <v>411</v>
      </c>
    </row>
    <row r="1985" spans="1:8" x14ac:dyDescent="0.55000000000000004">
      <c r="A1985" s="6">
        <v>1.732494372109797E+19</v>
      </c>
      <c r="B1985">
        <v>728</v>
      </c>
      <c r="C1985">
        <v>1</v>
      </c>
      <c r="D1985">
        <v>297</v>
      </c>
      <c r="E1985">
        <f t="shared" si="124"/>
        <v>3</v>
      </c>
      <c r="F1985">
        <f t="shared" si="125"/>
        <v>1</v>
      </c>
      <c r="G1985">
        <f t="shared" si="126"/>
        <v>1</v>
      </c>
      <c r="H1985">
        <f t="shared" si="127"/>
        <v>311</v>
      </c>
    </row>
    <row r="1986" spans="1:8" x14ac:dyDescent="0.55000000000000004">
      <c r="A1986" s="6">
        <v>1.733656592255062E+19</v>
      </c>
      <c r="B1986">
        <v>606</v>
      </c>
      <c r="C1986">
        <v>2</v>
      </c>
      <c r="D1986">
        <v>580</v>
      </c>
      <c r="E1986">
        <f t="shared" si="124"/>
        <v>3</v>
      </c>
      <c r="F1986">
        <f t="shared" si="125"/>
        <v>2</v>
      </c>
      <c r="G1986">
        <f t="shared" si="126"/>
        <v>1</v>
      </c>
      <c r="H1986">
        <f t="shared" si="127"/>
        <v>321</v>
      </c>
    </row>
    <row r="1987" spans="1:8" x14ac:dyDescent="0.55000000000000004">
      <c r="A1987" s="6">
        <v>1.733921156462797E+19</v>
      </c>
      <c r="B1987">
        <v>596</v>
      </c>
      <c r="C1987">
        <v>1</v>
      </c>
      <c r="D1987">
        <v>413</v>
      </c>
      <c r="E1987">
        <f t="shared" ref="E1987:E2050" si="128">VLOOKUP(B1987,$K$5:$L$9,2,1)</f>
        <v>3</v>
      </c>
      <c r="F1987">
        <f t="shared" ref="F1987:F2050" si="129">VLOOKUP(C1987,$K$15:$L$17,2,1)</f>
        <v>1</v>
      </c>
      <c r="G1987">
        <f t="shared" ref="G1987:G2050" si="130">VLOOKUP(D1987,$K$24:$L$26,2,1)</f>
        <v>1</v>
      </c>
      <c r="H1987">
        <f t="shared" ref="H1987:H2050" si="131">E1987*100+F1987*10+G1987</f>
        <v>311</v>
      </c>
    </row>
    <row r="1988" spans="1:8" x14ac:dyDescent="0.55000000000000004">
      <c r="A1988" s="6">
        <v>1.73458171227591E+19</v>
      </c>
      <c r="B1988">
        <v>121</v>
      </c>
      <c r="C1988">
        <v>2</v>
      </c>
      <c r="D1988">
        <v>10804</v>
      </c>
      <c r="E1988">
        <f t="shared" si="128"/>
        <v>5</v>
      </c>
      <c r="F1988">
        <f t="shared" si="129"/>
        <v>2</v>
      </c>
      <c r="G1988">
        <f t="shared" si="130"/>
        <v>3</v>
      </c>
      <c r="H1988">
        <f t="shared" si="131"/>
        <v>523</v>
      </c>
    </row>
    <row r="1989" spans="1:8" x14ac:dyDescent="0.55000000000000004">
      <c r="A1989" s="6">
        <v>1.735436323830385E+19</v>
      </c>
      <c r="B1989">
        <v>1021</v>
      </c>
      <c r="C1989">
        <v>1</v>
      </c>
      <c r="D1989">
        <v>93</v>
      </c>
      <c r="E1989">
        <f t="shared" si="128"/>
        <v>2</v>
      </c>
      <c r="F1989">
        <f t="shared" si="129"/>
        <v>1</v>
      </c>
      <c r="G1989">
        <f t="shared" si="130"/>
        <v>1</v>
      </c>
      <c r="H1989">
        <f t="shared" si="131"/>
        <v>211</v>
      </c>
    </row>
    <row r="1990" spans="1:8" x14ac:dyDescent="0.55000000000000004">
      <c r="A1990" s="6">
        <v>1.736292643533686E+19</v>
      </c>
      <c r="B1990">
        <v>19</v>
      </c>
      <c r="C1990">
        <v>1</v>
      </c>
      <c r="D1990">
        <v>1420</v>
      </c>
      <c r="E1990">
        <f t="shared" si="128"/>
        <v>5</v>
      </c>
      <c r="F1990">
        <f t="shared" si="129"/>
        <v>1</v>
      </c>
      <c r="G1990">
        <f t="shared" si="130"/>
        <v>2</v>
      </c>
      <c r="H1990">
        <f t="shared" si="131"/>
        <v>512</v>
      </c>
    </row>
    <row r="1991" spans="1:8" x14ac:dyDescent="0.55000000000000004">
      <c r="A1991" s="6">
        <v>1.736830604946673E+19</v>
      </c>
      <c r="B1991">
        <v>109</v>
      </c>
      <c r="C1991">
        <v>1</v>
      </c>
      <c r="D1991">
        <v>56</v>
      </c>
      <c r="E1991">
        <f t="shared" si="128"/>
        <v>5</v>
      </c>
      <c r="F1991">
        <f t="shared" si="129"/>
        <v>1</v>
      </c>
      <c r="G1991">
        <f t="shared" si="130"/>
        <v>1</v>
      </c>
      <c r="H1991">
        <f t="shared" si="131"/>
        <v>511</v>
      </c>
    </row>
    <row r="1992" spans="1:8" x14ac:dyDescent="0.55000000000000004">
      <c r="A1992" s="6">
        <v>1.740634595632409E+19</v>
      </c>
      <c r="B1992">
        <v>72</v>
      </c>
      <c r="C1992">
        <v>1</v>
      </c>
      <c r="D1992">
        <v>258</v>
      </c>
      <c r="E1992">
        <f t="shared" si="128"/>
        <v>5</v>
      </c>
      <c r="F1992">
        <f t="shared" si="129"/>
        <v>1</v>
      </c>
      <c r="G1992">
        <f t="shared" si="130"/>
        <v>1</v>
      </c>
      <c r="H1992">
        <f t="shared" si="131"/>
        <v>511</v>
      </c>
    </row>
    <row r="1993" spans="1:8" x14ac:dyDescent="0.55000000000000004">
      <c r="A1993" s="6">
        <v>1.740972210083438E+19</v>
      </c>
      <c r="B1993">
        <v>1279</v>
      </c>
      <c r="C1993">
        <v>1</v>
      </c>
      <c r="D1993">
        <v>557</v>
      </c>
      <c r="E1993">
        <f t="shared" si="128"/>
        <v>1</v>
      </c>
      <c r="F1993">
        <f t="shared" si="129"/>
        <v>1</v>
      </c>
      <c r="G1993">
        <f t="shared" si="130"/>
        <v>1</v>
      </c>
      <c r="H1993">
        <f t="shared" si="131"/>
        <v>111</v>
      </c>
    </row>
    <row r="1994" spans="1:8" x14ac:dyDescent="0.55000000000000004">
      <c r="A1994" s="6">
        <v>1.7412463055458251E+19</v>
      </c>
      <c r="B1994">
        <v>48</v>
      </c>
      <c r="C1994">
        <v>1</v>
      </c>
      <c r="D1994">
        <v>246</v>
      </c>
      <c r="E1994">
        <f t="shared" si="128"/>
        <v>5</v>
      </c>
      <c r="F1994">
        <f t="shared" si="129"/>
        <v>1</v>
      </c>
      <c r="G1994">
        <f t="shared" si="130"/>
        <v>1</v>
      </c>
      <c r="H1994">
        <f t="shared" si="131"/>
        <v>511</v>
      </c>
    </row>
    <row r="1995" spans="1:8" x14ac:dyDescent="0.55000000000000004">
      <c r="A1995" s="6">
        <v>1.7418151020740131E+19</v>
      </c>
      <c r="B1995">
        <v>342</v>
      </c>
      <c r="C1995">
        <v>2</v>
      </c>
      <c r="D1995">
        <v>2832</v>
      </c>
      <c r="E1995">
        <f t="shared" si="128"/>
        <v>4</v>
      </c>
      <c r="F1995">
        <f t="shared" si="129"/>
        <v>2</v>
      </c>
      <c r="G1995">
        <f t="shared" si="130"/>
        <v>3</v>
      </c>
      <c r="H1995">
        <f t="shared" si="131"/>
        <v>423</v>
      </c>
    </row>
    <row r="1996" spans="1:8" x14ac:dyDescent="0.55000000000000004">
      <c r="A1996" s="6">
        <v>1.742464998586878E+19</v>
      </c>
      <c r="B1996">
        <v>639</v>
      </c>
      <c r="C1996">
        <v>2</v>
      </c>
      <c r="D1996">
        <v>116</v>
      </c>
      <c r="E1996">
        <f t="shared" si="128"/>
        <v>3</v>
      </c>
      <c r="F1996">
        <f t="shared" si="129"/>
        <v>2</v>
      </c>
      <c r="G1996">
        <f t="shared" si="130"/>
        <v>1</v>
      </c>
      <c r="H1996">
        <f t="shared" si="131"/>
        <v>321</v>
      </c>
    </row>
    <row r="1997" spans="1:8" x14ac:dyDescent="0.55000000000000004">
      <c r="A1997" s="6">
        <v>1.742902964721654E+19</v>
      </c>
      <c r="B1997">
        <v>454</v>
      </c>
      <c r="C1997">
        <v>2</v>
      </c>
      <c r="D1997">
        <v>493</v>
      </c>
      <c r="E1997">
        <f t="shared" si="128"/>
        <v>4</v>
      </c>
      <c r="F1997">
        <f t="shared" si="129"/>
        <v>2</v>
      </c>
      <c r="G1997">
        <f t="shared" si="130"/>
        <v>1</v>
      </c>
      <c r="H1997">
        <f t="shared" si="131"/>
        <v>421</v>
      </c>
    </row>
    <row r="1998" spans="1:8" x14ac:dyDescent="0.55000000000000004">
      <c r="A1998" s="6">
        <v>1.7433041954975681E+19</v>
      </c>
      <c r="B1998">
        <v>395</v>
      </c>
      <c r="C1998">
        <v>1</v>
      </c>
      <c r="D1998">
        <v>4790</v>
      </c>
      <c r="E1998">
        <f t="shared" si="128"/>
        <v>4</v>
      </c>
      <c r="F1998">
        <f t="shared" si="129"/>
        <v>1</v>
      </c>
      <c r="G1998">
        <f t="shared" si="130"/>
        <v>3</v>
      </c>
      <c r="H1998">
        <f t="shared" si="131"/>
        <v>413</v>
      </c>
    </row>
    <row r="1999" spans="1:8" x14ac:dyDescent="0.55000000000000004">
      <c r="A1999" s="6">
        <v>1.743565250362839E+19</v>
      </c>
      <c r="B1999">
        <v>495</v>
      </c>
      <c r="C1999">
        <v>1</v>
      </c>
      <c r="D1999">
        <v>25</v>
      </c>
      <c r="E1999">
        <f t="shared" si="128"/>
        <v>4</v>
      </c>
      <c r="F1999">
        <f t="shared" si="129"/>
        <v>1</v>
      </c>
      <c r="G1999">
        <f t="shared" si="130"/>
        <v>1</v>
      </c>
      <c r="H1999">
        <f t="shared" si="131"/>
        <v>411</v>
      </c>
    </row>
    <row r="2000" spans="1:8" x14ac:dyDescent="0.55000000000000004">
      <c r="A2000" s="6">
        <v>1.7450883086238751E+19</v>
      </c>
      <c r="B2000">
        <v>971</v>
      </c>
      <c r="C2000">
        <v>1</v>
      </c>
      <c r="D2000">
        <v>320</v>
      </c>
      <c r="E2000">
        <f t="shared" si="128"/>
        <v>2</v>
      </c>
      <c r="F2000">
        <f t="shared" si="129"/>
        <v>1</v>
      </c>
      <c r="G2000">
        <f t="shared" si="130"/>
        <v>1</v>
      </c>
      <c r="H2000">
        <f t="shared" si="131"/>
        <v>211</v>
      </c>
    </row>
    <row r="2001" spans="1:8" x14ac:dyDescent="0.55000000000000004">
      <c r="A2001" s="6">
        <v>1.7451978901407271E+19</v>
      </c>
      <c r="B2001">
        <v>50</v>
      </c>
      <c r="C2001">
        <v>1</v>
      </c>
      <c r="D2001">
        <v>7854</v>
      </c>
      <c r="E2001">
        <f t="shared" si="128"/>
        <v>5</v>
      </c>
      <c r="F2001">
        <f t="shared" si="129"/>
        <v>1</v>
      </c>
      <c r="G2001">
        <f t="shared" si="130"/>
        <v>3</v>
      </c>
      <c r="H2001">
        <f t="shared" si="131"/>
        <v>513</v>
      </c>
    </row>
    <row r="2002" spans="1:8" x14ac:dyDescent="0.55000000000000004">
      <c r="A2002" s="6">
        <v>1.746727121862911E+19</v>
      </c>
      <c r="B2002">
        <v>777</v>
      </c>
      <c r="C2002">
        <v>1</v>
      </c>
      <c r="D2002">
        <v>3790</v>
      </c>
      <c r="E2002">
        <f t="shared" si="128"/>
        <v>3</v>
      </c>
      <c r="F2002">
        <f t="shared" si="129"/>
        <v>1</v>
      </c>
      <c r="G2002">
        <f t="shared" si="130"/>
        <v>3</v>
      </c>
      <c r="H2002">
        <f t="shared" si="131"/>
        <v>313</v>
      </c>
    </row>
    <row r="2003" spans="1:8" x14ac:dyDescent="0.55000000000000004">
      <c r="A2003" s="6">
        <v>1.7470780820454431E+19</v>
      </c>
      <c r="B2003">
        <v>433</v>
      </c>
      <c r="C2003">
        <v>1</v>
      </c>
      <c r="D2003">
        <v>1521</v>
      </c>
      <c r="E2003">
        <f t="shared" si="128"/>
        <v>4</v>
      </c>
      <c r="F2003">
        <f t="shared" si="129"/>
        <v>1</v>
      </c>
      <c r="G2003">
        <f t="shared" si="130"/>
        <v>2</v>
      </c>
      <c r="H2003">
        <f t="shared" si="131"/>
        <v>412</v>
      </c>
    </row>
    <row r="2004" spans="1:8" x14ac:dyDescent="0.55000000000000004">
      <c r="A2004" s="6">
        <v>1.747375696233046E+19</v>
      </c>
      <c r="B2004">
        <v>104</v>
      </c>
      <c r="C2004">
        <v>2</v>
      </c>
      <c r="D2004">
        <v>4130.9399999999996</v>
      </c>
      <c r="E2004">
        <f t="shared" si="128"/>
        <v>5</v>
      </c>
      <c r="F2004">
        <f t="shared" si="129"/>
        <v>2</v>
      </c>
      <c r="G2004">
        <f t="shared" si="130"/>
        <v>3</v>
      </c>
      <c r="H2004">
        <f t="shared" si="131"/>
        <v>523</v>
      </c>
    </row>
    <row r="2005" spans="1:8" x14ac:dyDescent="0.55000000000000004">
      <c r="A2005" s="6">
        <v>1.748010131203328E+19</v>
      </c>
      <c r="B2005">
        <v>196</v>
      </c>
      <c r="C2005">
        <v>2</v>
      </c>
      <c r="D2005">
        <v>7046</v>
      </c>
      <c r="E2005">
        <f t="shared" si="128"/>
        <v>5</v>
      </c>
      <c r="F2005">
        <f t="shared" si="129"/>
        <v>2</v>
      </c>
      <c r="G2005">
        <f t="shared" si="130"/>
        <v>3</v>
      </c>
      <c r="H2005">
        <f t="shared" si="131"/>
        <v>523</v>
      </c>
    </row>
    <row r="2006" spans="1:8" x14ac:dyDescent="0.55000000000000004">
      <c r="A2006" s="6">
        <v>1.7493471554403781E+19</v>
      </c>
      <c r="B2006">
        <v>508</v>
      </c>
      <c r="C2006">
        <v>1</v>
      </c>
      <c r="D2006">
        <v>5999</v>
      </c>
      <c r="E2006">
        <f t="shared" si="128"/>
        <v>4</v>
      </c>
      <c r="F2006">
        <f t="shared" si="129"/>
        <v>1</v>
      </c>
      <c r="G2006">
        <f t="shared" si="130"/>
        <v>3</v>
      </c>
      <c r="H2006">
        <f t="shared" si="131"/>
        <v>413</v>
      </c>
    </row>
    <row r="2007" spans="1:8" x14ac:dyDescent="0.55000000000000004">
      <c r="A2007" s="6">
        <v>1.7496776803139271E+19</v>
      </c>
      <c r="B2007">
        <v>474</v>
      </c>
      <c r="C2007">
        <v>1</v>
      </c>
      <c r="D2007">
        <v>132</v>
      </c>
      <c r="E2007">
        <f t="shared" si="128"/>
        <v>4</v>
      </c>
      <c r="F2007">
        <f t="shared" si="129"/>
        <v>1</v>
      </c>
      <c r="G2007">
        <f t="shared" si="130"/>
        <v>1</v>
      </c>
      <c r="H2007">
        <f t="shared" si="131"/>
        <v>411</v>
      </c>
    </row>
    <row r="2008" spans="1:8" x14ac:dyDescent="0.55000000000000004">
      <c r="A2008" s="6">
        <v>1.750162701425094E+19</v>
      </c>
      <c r="B2008">
        <v>717</v>
      </c>
      <c r="C2008">
        <v>2</v>
      </c>
      <c r="D2008">
        <v>5475</v>
      </c>
      <c r="E2008">
        <f t="shared" si="128"/>
        <v>3</v>
      </c>
      <c r="F2008">
        <f t="shared" si="129"/>
        <v>2</v>
      </c>
      <c r="G2008">
        <f t="shared" si="130"/>
        <v>3</v>
      </c>
      <c r="H2008">
        <f t="shared" si="131"/>
        <v>323</v>
      </c>
    </row>
    <row r="2009" spans="1:8" x14ac:dyDescent="0.55000000000000004">
      <c r="A2009" s="6">
        <v>1.75160168514449E+19</v>
      </c>
      <c r="B2009">
        <v>672</v>
      </c>
      <c r="C2009">
        <v>1</v>
      </c>
      <c r="D2009">
        <v>901</v>
      </c>
      <c r="E2009">
        <f t="shared" si="128"/>
        <v>3</v>
      </c>
      <c r="F2009">
        <f t="shared" si="129"/>
        <v>1</v>
      </c>
      <c r="G2009">
        <f t="shared" si="130"/>
        <v>2</v>
      </c>
      <c r="H2009">
        <f t="shared" si="131"/>
        <v>312</v>
      </c>
    </row>
    <row r="2010" spans="1:8" x14ac:dyDescent="0.55000000000000004">
      <c r="A2010" s="6">
        <v>1.751723558495684E+19</v>
      </c>
      <c r="B2010">
        <v>39</v>
      </c>
      <c r="C2010">
        <v>1</v>
      </c>
      <c r="D2010">
        <v>1733</v>
      </c>
      <c r="E2010">
        <f t="shared" si="128"/>
        <v>5</v>
      </c>
      <c r="F2010">
        <f t="shared" si="129"/>
        <v>1</v>
      </c>
      <c r="G2010">
        <f t="shared" si="130"/>
        <v>2</v>
      </c>
      <c r="H2010">
        <f t="shared" si="131"/>
        <v>512</v>
      </c>
    </row>
    <row r="2011" spans="1:8" x14ac:dyDescent="0.55000000000000004">
      <c r="A2011" s="6">
        <v>1.7526643656921291E+19</v>
      </c>
      <c r="B2011">
        <v>506</v>
      </c>
      <c r="C2011">
        <v>1</v>
      </c>
      <c r="D2011">
        <v>3345</v>
      </c>
      <c r="E2011">
        <f t="shared" si="128"/>
        <v>4</v>
      </c>
      <c r="F2011">
        <f t="shared" si="129"/>
        <v>1</v>
      </c>
      <c r="G2011">
        <f t="shared" si="130"/>
        <v>3</v>
      </c>
      <c r="H2011">
        <f t="shared" si="131"/>
        <v>413</v>
      </c>
    </row>
    <row r="2012" spans="1:8" x14ac:dyDescent="0.55000000000000004">
      <c r="A2012" s="6">
        <v>1.753170147042397E+19</v>
      </c>
      <c r="B2012">
        <v>600</v>
      </c>
      <c r="C2012">
        <v>1</v>
      </c>
      <c r="D2012">
        <v>119</v>
      </c>
      <c r="E2012">
        <f t="shared" si="128"/>
        <v>3</v>
      </c>
      <c r="F2012">
        <f t="shared" si="129"/>
        <v>1</v>
      </c>
      <c r="G2012">
        <f t="shared" si="130"/>
        <v>1</v>
      </c>
      <c r="H2012">
        <f t="shared" si="131"/>
        <v>311</v>
      </c>
    </row>
    <row r="2013" spans="1:8" x14ac:dyDescent="0.55000000000000004">
      <c r="A2013" s="6">
        <v>1.7534096007983391E+19</v>
      </c>
      <c r="B2013">
        <v>551</v>
      </c>
      <c r="C2013">
        <v>1</v>
      </c>
      <c r="D2013">
        <v>297</v>
      </c>
      <c r="E2013">
        <f t="shared" si="128"/>
        <v>4</v>
      </c>
      <c r="F2013">
        <f t="shared" si="129"/>
        <v>1</v>
      </c>
      <c r="G2013">
        <f t="shared" si="130"/>
        <v>1</v>
      </c>
      <c r="H2013">
        <f t="shared" si="131"/>
        <v>411</v>
      </c>
    </row>
    <row r="2014" spans="1:8" x14ac:dyDescent="0.55000000000000004">
      <c r="A2014" s="6">
        <v>1.753490343112645E+19</v>
      </c>
      <c r="B2014">
        <v>567</v>
      </c>
      <c r="C2014">
        <v>2</v>
      </c>
      <c r="D2014">
        <v>1614</v>
      </c>
      <c r="E2014">
        <f t="shared" si="128"/>
        <v>4</v>
      </c>
      <c r="F2014">
        <f t="shared" si="129"/>
        <v>2</v>
      </c>
      <c r="G2014">
        <f t="shared" si="130"/>
        <v>2</v>
      </c>
      <c r="H2014">
        <f t="shared" si="131"/>
        <v>422</v>
      </c>
    </row>
    <row r="2015" spans="1:8" x14ac:dyDescent="0.55000000000000004">
      <c r="A2015" s="6">
        <v>1.753867985580528E+19</v>
      </c>
      <c r="B2015">
        <v>389</v>
      </c>
      <c r="C2015">
        <v>2</v>
      </c>
      <c r="D2015">
        <v>1848</v>
      </c>
      <c r="E2015">
        <f t="shared" si="128"/>
        <v>4</v>
      </c>
      <c r="F2015">
        <f t="shared" si="129"/>
        <v>2</v>
      </c>
      <c r="G2015">
        <f t="shared" si="130"/>
        <v>2</v>
      </c>
      <c r="H2015">
        <f t="shared" si="131"/>
        <v>422</v>
      </c>
    </row>
    <row r="2016" spans="1:8" x14ac:dyDescent="0.55000000000000004">
      <c r="A2016" s="6">
        <v>1.755281943127748E+19</v>
      </c>
      <c r="B2016">
        <v>648</v>
      </c>
      <c r="C2016">
        <v>1</v>
      </c>
      <c r="D2016">
        <v>9660</v>
      </c>
      <c r="E2016">
        <f t="shared" si="128"/>
        <v>3</v>
      </c>
      <c r="F2016">
        <f t="shared" si="129"/>
        <v>1</v>
      </c>
      <c r="G2016">
        <f t="shared" si="130"/>
        <v>3</v>
      </c>
      <c r="H2016">
        <f t="shared" si="131"/>
        <v>313</v>
      </c>
    </row>
    <row r="2017" spans="1:8" x14ac:dyDescent="0.55000000000000004">
      <c r="A2017" s="6">
        <v>1.7553228398623441E+19</v>
      </c>
      <c r="B2017">
        <v>115</v>
      </c>
      <c r="C2017">
        <v>1</v>
      </c>
      <c r="D2017">
        <v>838</v>
      </c>
      <c r="E2017">
        <f t="shared" si="128"/>
        <v>5</v>
      </c>
      <c r="F2017">
        <f t="shared" si="129"/>
        <v>1</v>
      </c>
      <c r="G2017">
        <f t="shared" si="130"/>
        <v>2</v>
      </c>
      <c r="H2017">
        <f t="shared" si="131"/>
        <v>512</v>
      </c>
    </row>
    <row r="2018" spans="1:8" x14ac:dyDescent="0.55000000000000004">
      <c r="A2018" s="6">
        <v>1.755766016541449E+19</v>
      </c>
      <c r="B2018">
        <v>311</v>
      </c>
      <c r="C2018">
        <v>1</v>
      </c>
      <c r="D2018">
        <v>255</v>
      </c>
      <c r="E2018">
        <f t="shared" si="128"/>
        <v>4</v>
      </c>
      <c r="F2018">
        <f t="shared" si="129"/>
        <v>1</v>
      </c>
      <c r="G2018">
        <f t="shared" si="130"/>
        <v>1</v>
      </c>
      <c r="H2018">
        <f t="shared" si="131"/>
        <v>411</v>
      </c>
    </row>
    <row r="2019" spans="1:8" x14ac:dyDescent="0.55000000000000004">
      <c r="A2019" s="6">
        <v>1.7563684205649531E+19</v>
      </c>
      <c r="B2019">
        <v>404</v>
      </c>
      <c r="C2019">
        <v>1</v>
      </c>
      <c r="D2019">
        <v>155</v>
      </c>
      <c r="E2019">
        <f t="shared" si="128"/>
        <v>4</v>
      </c>
      <c r="F2019">
        <f t="shared" si="129"/>
        <v>1</v>
      </c>
      <c r="G2019">
        <f t="shared" si="130"/>
        <v>1</v>
      </c>
      <c r="H2019">
        <f t="shared" si="131"/>
        <v>411</v>
      </c>
    </row>
    <row r="2020" spans="1:8" x14ac:dyDescent="0.55000000000000004">
      <c r="A2020" s="6">
        <v>1.756406149997612E+19</v>
      </c>
      <c r="B2020">
        <v>22</v>
      </c>
      <c r="C2020">
        <v>1</v>
      </c>
      <c r="D2020">
        <v>1115</v>
      </c>
      <c r="E2020">
        <f t="shared" si="128"/>
        <v>5</v>
      </c>
      <c r="F2020">
        <f t="shared" si="129"/>
        <v>1</v>
      </c>
      <c r="G2020">
        <f t="shared" si="130"/>
        <v>2</v>
      </c>
      <c r="H2020">
        <f t="shared" si="131"/>
        <v>512</v>
      </c>
    </row>
    <row r="2021" spans="1:8" x14ac:dyDescent="0.55000000000000004">
      <c r="A2021" s="6">
        <v>1.757283772298506E+19</v>
      </c>
      <c r="B2021">
        <v>619</v>
      </c>
      <c r="C2021">
        <v>2</v>
      </c>
      <c r="D2021">
        <v>1951</v>
      </c>
      <c r="E2021">
        <f t="shared" si="128"/>
        <v>3</v>
      </c>
      <c r="F2021">
        <f t="shared" si="129"/>
        <v>2</v>
      </c>
      <c r="G2021">
        <f t="shared" si="130"/>
        <v>2</v>
      </c>
      <c r="H2021">
        <f t="shared" si="131"/>
        <v>322</v>
      </c>
    </row>
    <row r="2022" spans="1:8" x14ac:dyDescent="0.55000000000000004">
      <c r="A2022" s="6">
        <v>1.757412242164845E+19</v>
      </c>
      <c r="B2022">
        <v>413</v>
      </c>
      <c r="C2022">
        <v>1</v>
      </c>
      <c r="D2022">
        <v>440</v>
      </c>
      <c r="E2022">
        <f t="shared" si="128"/>
        <v>4</v>
      </c>
      <c r="F2022">
        <f t="shared" si="129"/>
        <v>1</v>
      </c>
      <c r="G2022">
        <f t="shared" si="130"/>
        <v>1</v>
      </c>
      <c r="H2022">
        <f t="shared" si="131"/>
        <v>411</v>
      </c>
    </row>
    <row r="2023" spans="1:8" x14ac:dyDescent="0.55000000000000004">
      <c r="A2023" s="6">
        <v>1.7578254558691111E+19</v>
      </c>
      <c r="B2023">
        <v>280</v>
      </c>
      <c r="C2023">
        <v>1</v>
      </c>
      <c r="D2023">
        <v>2837</v>
      </c>
      <c r="E2023">
        <f t="shared" si="128"/>
        <v>5</v>
      </c>
      <c r="F2023">
        <f t="shared" si="129"/>
        <v>1</v>
      </c>
      <c r="G2023">
        <f t="shared" si="130"/>
        <v>3</v>
      </c>
      <c r="H2023">
        <f t="shared" si="131"/>
        <v>513</v>
      </c>
    </row>
    <row r="2024" spans="1:8" x14ac:dyDescent="0.55000000000000004">
      <c r="A2024" s="6">
        <v>1.758266025071504E+19</v>
      </c>
      <c r="B2024">
        <v>22</v>
      </c>
      <c r="C2024">
        <v>1</v>
      </c>
      <c r="D2024">
        <v>1336</v>
      </c>
      <c r="E2024">
        <f t="shared" si="128"/>
        <v>5</v>
      </c>
      <c r="F2024">
        <f t="shared" si="129"/>
        <v>1</v>
      </c>
      <c r="G2024">
        <f t="shared" si="130"/>
        <v>2</v>
      </c>
      <c r="H2024">
        <f t="shared" si="131"/>
        <v>512</v>
      </c>
    </row>
    <row r="2025" spans="1:8" x14ac:dyDescent="0.55000000000000004">
      <c r="A2025" s="6">
        <v>1.7584192800198799E+19</v>
      </c>
      <c r="B2025">
        <v>785</v>
      </c>
      <c r="C2025">
        <v>2</v>
      </c>
      <c r="D2025">
        <v>374</v>
      </c>
      <c r="E2025">
        <f t="shared" si="128"/>
        <v>3</v>
      </c>
      <c r="F2025">
        <f t="shared" si="129"/>
        <v>2</v>
      </c>
      <c r="G2025">
        <f t="shared" si="130"/>
        <v>1</v>
      </c>
      <c r="H2025">
        <f t="shared" si="131"/>
        <v>321</v>
      </c>
    </row>
    <row r="2026" spans="1:8" x14ac:dyDescent="0.55000000000000004">
      <c r="A2026" s="6">
        <v>1.758784029319852E+19</v>
      </c>
      <c r="B2026">
        <v>955</v>
      </c>
      <c r="C2026">
        <v>1</v>
      </c>
      <c r="D2026">
        <v>1576</v>
      </c>
      <c r="E2026">
        <f t="shared" si="128"/>
        <v>2</v>
      </c>
      <c r="F2026">
        <f t="shared" si="129"/>
        <v>1</v>
      </c>
      <c r="G2026">
        <f t="shared" si="130"/>
        <v>2</v>
      </c>
      <c r="H2026">
        <f t="shared" si="131"/>
        <v>212</v>
      </c>
    </row>
    <row r="2027" spans="1:8" x14ac:dyDescent="0.55000000000000004">
      <c r="A2027" s="6">
        <v>1.76099964690646E+19</v>
      </c>
      <c r="B2027">
        <v>332</v>
      </c>
      <c r="C2027">
        <v>1</v>
      </c>
      <c r="D2027">
        <v>335</v>
      </c>
      <c r="E2027">
        <f t="shared" si="128"/>
        <v>4</v>
      </c>
      <c r="F2027">
        <f t="shared" si="129"/>
        <v>1</v>
      </c>
      <c r="G2027">
        <f t="shared" si="130"/>
        <v>1</v>
      </c>
      <c r="H2027">
        <f t="shared" si="131"/>
        <v>411</v>
      </c>
    </row>
    <row r="2028" spans="1:8" x14ac:dyDescent="0.55000000000000004">
      <c r="A2028" s="6">
        <v>1.7614093725734171E+19</v>
      </c>
      <c r="B2028">
        <v>907</v>
      </c>
      <c r="C2028">
        <v>1</v>
      </c>
      <c r="D2028">
        <v>6975</v>
      </c>
      <c r="E2028">
        <f t="shared" si="128"/>
        <v>2</v>
      </c>
      <c r="F2028">
        <f t="shared" si="129"/>
        <v>1</v>
      </c>
      <c r="G2028">
        <f t="shared" si="130"/>
        <v>3</v>
      </c>
      <c r="H2028">
        <f t="shared" si="131"/>
        <v>213</v>
      </c>
    </row>
    <row r="2029" spans="1:8" x14ac:dyDescent="0.55000000000000004">
      <c r="A2029" s="6">
        <v>1.761906681546685E+19</v>
      </c>
      <c r="B2029">
        <v>118</v>
      </c>
      <c r="C2029">
        <v>3</v>
      </c>
      <c r="D2029">
        <v>3867</v>
      </c>
      <c r="E2029">
        <f t="shared" si="128"/>
        <v>5</v>
      </c>
      <c r="F2029">
        <f t="shared" si="129"/>
        <v>3</v>
      </c>
      <c r="G2029">
        <f t="shared" si="130"/>
        <v>3</v>
      </c>
      <c r="H2029">
        <f t="shared" si="131"/>
        <v>533</v>
      </c>
    </row>
    <row r="2030" spans="1:8" x14ac:dyDescent="0.55000000000000004">
      <c r="A2030" s="6">
        <v>1.763360733464313E+19</v>
      </c>
      <c r="B2030">
        <v>430</v>
      </c>
      <c r="C2030">
        <v>1</v>
      </c>
      <c r="D2030">
        <v>885</v>
      </c>
      <c r="E2030">
        <f t="shared" si="128"/>
        <v>4</v>
      </c>
      <c r="F2030">
        <f t="shared" si="129"/>
        <v>1</v>
      </c>
      <c r="G2030">
        <f t="shared" si="130"/>
        <v>2</v>
      </c>
      <c r="H2030">
        <f t="shared" si="131"/>
        <v>412</v>
      </c>
    </row>
    <row r="2031" spans="1:8" x14ac:dyDescent="0.55000000000000004">
      <c r="A2031" s="6">
        <v>1.764911761322428E+19</v>
      </c>
      <c r="B2031">
        <v>149</v>
      </c>
      <c r="C2031">
        <v>3</v>
      </c>
      <c r="D2031">
        <v>8566</v>
      </c>
      <c r="E2031">
        <f t="shared" si="128"/>
        <v>5</v>
      </c>
      <c r="F2031">
        <f t="shared" si="129"/>
        <v>3</v>
      </c>
      <c r="G2031">
        <f t="shared" si="130"/>
        <v>3</v>
      </c>
      <c r="H2031">
        <f t="shared" si="131"/>
        <v>533</v>
      </c>
    </row>
    <row r="2032" spans="1:8" x14ac:dyDescent="0.55000000000000004">
      <c r="A2032" s="6">
        <v>1.765545775684148E+19</v>
      </c>
      <c r="B2032">
        <v>1006</v>
      </c>
      <c r="C2032">
        <v>1</v>
      </c>
      <c r="D2032">
        <v>827</v>
      </c>
      <c r="E2032">
        <f t="shared" si="128"/>
        <v>2</v>
      </c>
      <c r="F2032">
        <f t="shared" si="129"/>
        <v>1</v>
      </c>
      <c r="G2032">
        <f t="shared" si="130"/>
        <v>2</v>
      </c>
      <c r="H2032">
        <f t="shared" si="131"/>
        <v>212</v>
      </c>
    </row>
    <row r="2033" spans="1:8" x14ac:dyDescent="0.55000000000000004">
      <c r="A2033" s="6">
        <v>1.765569553264256E+19</v>
      </c>
      <c r="B2033">
        <v>135</v>
      </c>
      <c r="C2033">
        <v>1</v>
      </c>
      <c r="D2033">
        <v>988</v>
      </c>
      <c r="E2033">
        <f t="shared" si="128"/>
        <v>5</v>
      </c>
      <c r="F2033">
        <f t="shared" si="129"/>
        <v>1</v>
      </c>
      <c r="G2033">
        <f t="shared" si="130"/>
        <v>2</v>
      </c>
      <c r="H2033">
        <f t="shared" si="131"/>
        <v>512</v>
      </c>
    </row>
    <row r="2034" spans="1:8" x14ac:dyDescent="0.55000000000000004">
      <c r="A2034" s="6">
        <v>1.765727192276854E+19</v>
      </c>
      <c r="B2034">
        <v>296</v>
      </c>
      <c r="C2034">
        <v>2</v>
      </c>
      <c r="D2034">
        <v>2317</v>
      </c>
      <c r="E2034">
        <f t="shared" si="128"/>
        <v>4</v>
      </c>
      <c r="F2034">
        <f t="shared" si="129"/>
        <v>2</v>
      </c>
      <c r="G2034">
        <f t="shared" si="130"/>
        <v>3</v>
      </c>
      <c r="H2034">
        <f t="shared" si="131"/>
        <v>423</v>
      </c>
    </row>
    <row r="2035" spans="1:8" x14ac:dyDescent="0.55000000000000004">
      <c r="A2035" s="6">
        <v>1.765796912698626E+19</v>
      </c>
      <c r="B2035">
        <v>726</v>
      </c>
      <c r="C2035">
        <v>1</v>
      </c>
      <c r="D2035">
        <v>2135</v>
      </c>
      <c r="E2035">
        <f t="shared" si="128"/>
        <v>3</v>
      </c>
      <c r="F2035">
        <f t="shared" si="129"/>
        <v>1</v>
      </c>
      <c r="G2035">
        <f t="shared" si="130"/>
        <v>2</v>
      </c>
      <c r="H2035">
        <f t="shared" si="131"/>
        <v>312</v>
      </c>
    </row>
    <row r="2036" spans="1:8" x14ac:dyDescent="0.55000000000000004">
      <c r="A2036" s="6">
        <v>1.766031630693997E+19</v>
      </c>
      <c r="B2036">
        <v>413</v>
      </c>
      <c r="C2036">
        <v>2</v>
      </c>
      <c r="D2036">
        <v>1430</v>
      </c>
      <c r="E2036">
        <f t="shared" si="128"/>
        <v>4</v>
      </c>
      <c r="F2036">
        <f t="shared" si="129"/>
        <v>2</v>
      </c>
      <c r="G2036">
        <f t="shared" si="130"/>
        <v>2</v>
      </c>
      <c r="H2036">
        <f t="shared" si="131"/>
        <v>422</v>
      </c>
    </row>
    <row r="2037" spans="1:8" x14ac:dyDescent="0.55000000000000004">
      <c r="A2037" s="6">
        <v>1.7685824260975499E+19</v>
      </c>
      <c r="B2037">
        <v>96</v>
      </c>
      <c r="C2037">
        <v>1</v>
      </c>
      <c r="D2037">
        <v>311</v>
      </c>
      <c r="E2037">
        <f t="shared" si="128"/>
        <v>5</v>
      </c>
      <c r="F2037">
        <f t="shared" si="129"/>
        <v>1</v>
      </c>
      <c r="G2037">
        <f t="shared" si="130"/>
        <v>1</v>
      </c>
      <c r="H2037">
        <f t="shared" si="131"/>
        <v>511</v>
      </c>
    </row>
    <row r="2038" spans="1:8" x14ac:dyDescent="0.55000000000000004">
      <c r="A2038" s="6">
        <v>1.76949978522245E+19</v>
      </c>
      <c r="B2038">
        <v>33</v>
      </c>
      <c r="C2038">
        <v>3</v>
      </c>
      <c r="D2038">
        <v>601</v>
      </c>
      <c r="E2038">
        <f t="shared" si="128"/>
        <v>5</v>
      </c>
      <c r="F2038">
        <f t="shared" si="129"/>
        <v>3</v>
      </c>
      <c r="G2038">
        <f t="shared" si="130"/>
        <v>1</v>
      </c>
      <c r="H2038">
        <f t="shared" si="131"/>
        <v>531</v>
      </c>
    </row>
    <row r="2039" spans="1:8" x14ac:dyDescent="0.55000000000000004">
      <c r="A2039" s="6">
        <v>1.769683217212792E+19</v>
      </c>
      <c r="B2039">
        <v>449</v>
      </c>
      <c r="C2039">
        <v>2</v>
      </c>
      <c r="D2039">
        <v>7075</v>
      </c>
      <c r="E2039">
        <f t="shared" si="128"/>
        <v>4</v>
      </c>
      <c r="F2039">
        <f t="shared" si="129"/>
        <v>2</v>
      </c>
      <c r="G2039">
        <f t="shared" si="130"/>
        <v>3</v>
      </c>
      <c r="H2039">
        <f t="shared" si="131"/>
        <v>423</v>
      </c>
    </row>
    <row r="2040" spans="1:8" x14ac:dyDescent="0.55000000000000004">
      <c r="A2040" s="6">
        <v>1.76979563705582E+19</v>
      </c>
      <c r="B2040">
        <v>480</v>
      </c>
      <c r="C2040">
        <v>1</v>
      </c>
      <c r="D2040">
        <v>3613</v>
      </c>
      <c r="E2040">
        <f t="shared" si="128"/>
        <v>4</v>
      </c>
      <c r="F2040">
        <f t="shared" si="129"/>
        <v>1</v>
      </c>
      <c r="G2040">
        <f t="shared" si="130"/>
        <v>3</v>
      </c>
      <c r="H2040">
        <f t="shared" si="131"/>
        <v>413</v>
      </c>
    </row>
    <row r="2041" spans="1:8" x14ac:dyDescent="0.55000000000000004">
      <c r="A2041" s="6">
        <v>1.7701496478709729E+19</v>
      </c>
      <c r="B2041">
        <v>105</v>
      </c>
      <c r="C2041">
        <v>1</v>
      </c>
      <c r="D2041">
        <v>380</v>
      </c>
      <c r="E2041">
        <f t="shared" si="128"/>
        <v>5</v>
      </c>
      <c r="F2041">
        <f t="shared" si="129"/>
        <v>1</v>
      </c>
      <c r="G2041">
        <f t="shared" si="130"/>
        <v>1</v>
      </c>
      <c r="H2041">
        <f t="shared" si="131"/>
        <v>511</v>
      </c>
    </row>
    <row r="2042" spans="1:8" x14ac:dyDescent="0.55000000000000004">
      <c r="A2042" s="6">
        <v>1.7714807636284101E+19</v>
      </c>
      <c r="B2042">
        <v>119</v>
      </c>
      <c r="C2042">
        <v>3</v>
      </c>
      <c r="D2042">
        <v>7228</v>
      </c>
      <c r="E2042">
        <f t="shared" si="128"/>
        <v>5</v>
      </c>
      <c r="F2042">
        <f t="shared" si="129"/>
        <v>3</v>
      </c>
      <c r="G2042">
        <f t="shared" si="130"/>
        <v>3</v>
      </c>
      <c r="H2042">
        <f t="shared" si="131"/>
        <v>533</v>
      </c>
    </row>
    <row r="2043" spans="1:8" x14ac:dyDescent="0.55000000000000004">
      <c r="A2043" s="6">
        <v>1.7718341296387379E+19</v>
      </c>
      <c r="B2043">
        <v>1131</v>
      </c>
      <c r="C2043">
        <v>2</v>
      </c>
      <c r="D2043">
        <v>1738</v>
      </c>
      <c r="E2043">
        <f t="shared" si="128"/>
        <v>2</v>
      </c>
      <c r="F2043">
        <f t="shared" si="129"/>
        <v>2</v>
      </c>
      <c r="G2043">
        <f t="shared" si="130"/>
        <v>2</v>
      </c>
      <c r="H2043">
        <f t="shared" si="131"/>
        <v>222</v>
      </c>
    </row>
    <row r="2044" spans="1:8" x14ac:dyDescent="0.55000000000000004">
      <c r="A2044" s="6">
        <v>1.7729421144758659E+19</v>
      </c>
      <c r="B2044">
        <v>416</v>
      </c>
      <c r="C2044">
        <v>1</v>
      </c>
      <c r="D2044">
        <v>563</v>
      </c>
      <c r="E2044">
        <f t="shared" si="128"/>
        <v>4</v>
      </c>
      <c r="F2044">
        <f t="shared" si="129"/>
        <v>1</v>
      </c>
      <c r="G2044">
        <f t="shared" si="130"/>
        <v>1</v>
      </c>
      <c r="H2044">
        <f t="shared" si="131"/>
        <v>411</v>
      </c>
    </row>
    <row r="2045" spans="1:8" x14ac:dyDescent="0.55000000000000004">
      <c r="A2045" s="6">
        <v>1.7735722794972459E+19</v>
      </c>
      <c r="B2045">
        <v>909</v>
      </c>
      <c r="C2045">
        <v>1</v>
      </c>
      <c r="D2045">
        <v>1507</v>
      </c>
      <c r="E2045">
        <f t="shared" si="128"/>
        <v>2</v>
      </c>
      <c r="F2045">
        <f t="shared" si="129"/>
        <v>1</v>
      </c>
      <c r="G2045">
        <f t="shared" si="130"/>
        <v>2</v>
      </c>
      <c r="H2045">
        <f t="shared" si="131"/>
        <v>212</v>
      </c>
    </row>
    <row r="2046" spans="1:8" x14ac:dyDescent="0.55000000000000004">
      <c r="A2046" s="6">
        <v>1.7742685391402451E+19</v>
      </c>
      <c r="B2046">
        <v>1014</v>
      </c>
      <c r="C2046">
        <v>1</v>
      </c>
      <c r="D2046">
        <v>561</v>
      </c>
      <c r="E2046">
        <f t="shared" si="128"/>
        <v>2</v>
      </c>
      <c r="F2046">
        <f t="shared" si="129"/>
        <v>1</v>
      </c>
      <c r="G2046">
        <f t="shared" si="130"/>
        <v>1</v>
      </c>
      <c r="H2046">
        <f t="shared" si="131"/>
        <v>211</v>
      </c>
    </row>
    <row r="2047" spans="1:8" x14ac:dyDescent="0.55000000000000004">
      <c r="A2047" s="6">
        <v>1.7751398782340669E+19</v>
      </c>
      <c r="B2047">
        <v>745</v>
      </c>
      <c r="C2047">
        <v>1</v>
      </c>
      <c r="D2047">
        <v>489</v>
      </c>
      <c r="E2047">
        <f t="shared" si="128"/>
        <v>3</v>
      </c>
      <c r="F2047">
        <f t="shared" si="129"/>
        <v>1</v>
      </c>
      <c r="G2047">
        <f t="shared" si="130"/>
        <v>1</v>
      </c>
      <c r="H2047">
        <f t="shared" si="131"/>
        <v>311</v>
      </c>
    </row>
    <row r="2048" spans="1:8" x14ac:dyDescent="0.55000000000000004">
      <c r="A2048" s="6">
        <v>1.775150302071936E+19</v>
      </c>
      <c r="B2048">
        <v>169</v>
      </c>
      <c r="C2048">
        <v>1</v>
      </c>
      <c r="D2048">
        <v>453</v>
      </c>
      <c r="E2048">
        <f t="shared" si="128"/>
        <v>5</v>
      </c>
      <c r="F2048">
        <f t="shared" si="129"/>
        <v>1</v>
      </c>
      <c r="G2048">
        <f t="shared" si="130"/>
        <v>1</v>
      </c>
      <c r="H2048">
        <f t="shared" si="131"/>
        <v>511</v>
      </c>
    </row>
    <row r="2049" spans="1:8" x14ac:dyDescent="0.55000000000000004">
      <c r="A2049" s="6">
        <v>1.7777396627559979E+19</v>
      </c>
      <c r="B2049">
        <v>84</v>
      </c>
      <c r="C2049">
        <v>1</v>
      </c>
      <c r="D2049">
        <v>699</v>
      </c>
      <c r="E2049">
        <f t="shared" si="128"/>
        <v>5</v>
      </c>
      <c r="F2049">
        <f t="shared" si="129"/>
        <v>1</v>
      </c>
      <c r="G2049">
        <f t="shared" si="130"/>
        <v>2</v>
      </c>
      <c r="H2049">
        <f t="shared" si="131"/>
        <v>512</v>
      </c>
    </row>
    <row r="2050" spans="1:8" x14ac:dyDescent="0.55000000000000004">
      <c r="A2050" s="6">
        <v>1.7784724407515521E+19</v>
      </c>
      <c r="B2050">
        <v>93</v>
      </c>
      <c r="C2050">
        <v>2</v>
      </c>
      <c r="D2050">
        <v>1627</v>
      </c>
      <c r="E2050">
        <f t="shared" si="128"/>
        <v>5</v>
      </c>
      <c r="F2050">
        <f t="shared" si="129"/>
        <v>2</v>
      </c>
      <c r="G2050">
        <f t="shared" si="130"/>
        <v>2</v>
      </c>
      <c r="H2050">
        <f t="shared" si="131"/>
        <v>522</v>
      </c>
    </row>
    <row r="2051" spans="1:8" x14ac:dyDescent="0.55000000000000004">
      <c r="A2051" s="6">
        <v>1.7799815536532591E+19</v>
      </c>
      <c r="B2051">
        <v>52</v>
      </c>
      <c r="C2051">
        <v>2</v>
      </c>
      <c r="D2051">
        <v>1745</v>
      </c>
      <c r="E2051">
        <f t="shared" ref="E2051:E2114" si="132">VLOOKUP(B2051,$K$5:$L$9,2,1)</f>
        <v>5</v>
      </c>
      <c r="F2051">
        <f t="shared" ref="F2051:F2114" si="133">VLOOKUP(C2051,$K$15:$L$17,2,1)</f>
        <v>2</v>
      </c>
      <c r="G2051">
        <f t="shared" ref="G2051:G2114" si="134">VLOOKUP(D2051,$K$24:$L$26,2,1)</f>
        <v>2</v>
      </c>
      <c r="H2051">
        <f t="shared" ref="H2051:H2114" si="135">E2051*100+F2051*10+G2051</f>
        <v>522</v>
      </c>
    </row>
    <row r="2052" spans="1:8" x14ac:dyDescent="0.55000000000000004">
      <c r="A2052" s="6">
        <v>1.780933424292872E+19</v>
      </c>
      <c r="B2052">
        <v>205</v>
      </c>
      <c r="C2052">
        <v>2</v>
      </c>
      <c r="D2052">
        <v>2143</v>
      </c>
      <c r="E2052">
        <f t="shared" si="132"/>
        <v>5</v>
      </c>
      <c r="F2052">
        <f t="shared" si="133"/>
        <v>2</v>
      </c>
      <c r="G2052">
        <f t="shared" si="134"/>
        <v>2</v>
      </c>
      <c r="H2052">
        <f t="shared" si="135"/>
        <v>522</v>
      </c>
    </row>
    <row r="2053" spans="1:8" x14ac:dyDescent="0.55000000000000004">
      <c r="A2053" s="6">
        <v>1.7830572075161309E+19</v>
      </c>
      <c r="B2053">
        <v>706</v>
      </c>
      <c r="C2053">
        <v>2</v>
      </c>
      <c r="D2053">
        <v>2045</v>
      </c>
      <c r="E2053">
        <f t="shared" si="132"/>
        <v>3</v>
      </c>
      <c r="F2053">
        <f t="shared" si="133"/>
        <v>2</v>
      </c>
      <c r="G2053">
        <f t="shared" si="134"/>
        <v>2</v>
      </c>
      <c r="H2053">
        <f t="shared" si="135"/>
        <v>322</v>
      </c>
    </row>
    <row r="2054" spans="1:8" x14ac:dyDescent="0.55000000000000004">
      <c r="A2054" s="6">
        <v>1.783469102070373E+19</v>
      </c>
      <c r="B2054">
        <v>1312</v>
      </c>
      <c r="C2054">
        <v>1</v>
      </c>
      <c r="D2054">
        <v>117</v>
      </c>
      <c r="E2054">
        <f t="shared" si="132"/>
        <v>1</v>
      </c>
      <c r="F2054">
        <f t="shared" si="133"/>
        <v>1</v>
      </c>
      <c r="G2054">
        <f t="shared" si="134"/>
        <v>1</v>
      </c>
      <c r="H2054">
        <f t="shared" si="135"/>
        <v>111</v>
      </c>
    </row>
    <row r="2055" spans="1:8" x14ac:dyDescent="0.55000000000000004">
      <c r="A2055" s="6">
        <v>1.784571887939184E+19</v>
      </c>
      <c r="B2055">
        <v>565</v>
      </c>
      <c r="C2055">
        <v>2</v>
      </c>
      <c r="D2055">
        <v>537</v>
      </c>
      <c r="E2055">
        <f t="shared" si="132"/>
        <v>4</v>
      </c>
      <c r="F2055">
        <f t="shared" si="133"/>
        <v>2</v>
      </c>
      <c r="G2055">
        <f t="shared" si="134"/>
        <v>1</v>
      </c>
      <c r="H2055">
        <f t="shared" si="135"/>
        <v>421</v>
      </c>
    </row>
    <row r="2056" spans="1:8" x14ac:dyDescent="0.55000000000000004">
      <c r="A2056" s="6">
        <v>1.7849563115073061E+19</v>
      </c>
      <c r="B2056">
        <v>634</v>
      </c>
      <c r="C2056">
        <v>3</v>
      </c>
      <c r="D2056">
        <v>2936</v>
      </c>
      <c r="E2056">
        <f t="shared" si="132"/>
        <v>3</v>
      </c>
      <c r="F2056">
        <f t="shared" si="133"/>
        <v>3</v>
      </c>
      <c r="G2056">
        <f t="shared" si="134"/>
        <v>3</v>
      </c>
      <c r="H2056">
        <f t="shared" si="135"/>
        <v>333</v>
      </c>
    </row>
    <row r="2057" spans="1:8" x14ac:dyDescent="0.55000000000000004">
      <c r="A2057" s="6">
        <v>1.7855228102245231E+19</v>
      </c>
      <c r="B2057">
        <v>668</v>
      </c>
      <c r="C2057">
        <v>1</v>
      </c>
      <c r="D2057">
        <v>1494</v>
      </c>
      <c r="E2057">
        <f t="shared" si="132"/>
        <v>3</v>
      </c>
      <c r="F2057">
        <f t="shared" si="133"/>
        <v>1</v>
      </c>
      <c r="G2057">
        <f t="shared" si="134"/>
        <v>2</v>
      </c>
      <c r="H2057">
        <f t="shared" si="135"/>
        <v>312</v>
      </c>
    </row>
    <row r="2058" spans="1:8" x14ac:dyDescent="0.55000000000000004">
      <c r="A2058" s="6">
        <v>1.786116080626841E+19</v>
      </c>
      <c r="B2058">
        <v>195</v>
      </c>
      <c r="C2058">
        <v>2</v>
      </c>
      <c r="D2058">
        <v>8698</v>
      </c>
      <c r="E2058">
        <f t="shared" si="132"/>
        <v>5</v>
      </c>
      <c r="F2058">
        <f t="shared" si="133"/>
        <v>2</v>
      </c>
      <c r="G2058">
        <f t="shared" si="134"/>
        <v>3</v>
      </c>
      <c r="H2058">
        <f t="shared" si="135"/>
        <v>523</v>
      </c>
    </row>
    <row r="2059" spans="1:8" x14ac:dyDescent="0.55000000000000004">
      <c r="A2059" s="6">
        <v>1.78681892567855E+19</v>
      </c>
      <c r="B2059">
        <v>125</v>
      </c>
      <c r="C2059">
        <v>2</v>
      </c>
      <c r="D2059">
        <v>1816</v>
      </c>
      <c r="E2059">
        <f t="shared" si="132"/>
        <v>5</v>
      </c>
      <c r="F2059">
        <f t="shared" si="133"/>
        <v>2</v>
      </c>
      <c r="G2059">
        <f t="shared" si="134"/>
        <v>2</v>
      </c>
      <c r="H2059">
        <f t="shared" si="135"/>
        <v>522</v>
      </c>
    </row>
    <row r="2060" spans="1:8" x14ac:dyDescent="0.55000000000000004">
      <c r="A2060" s="6">
        <v>1.787517190708941E+19</v>
      </c>
      <c r="B2060">
        <v>445</v>
      </c>
      <c r="C2060">
        <v>1</v>
      </c>
      <c r="D2060">
        <v>419</v>
      </c>
      <c r="E2060">
        <f t="shared" si="132"/>
        <v>4</v>
      </c>
      <c r="F2060">
        <f t="shared" si="133"/>
        <v>1</v>
      </c>
      <c r="G2060">
        <f t="shared" si="134"/>
        <v>1</v>
      </c>
      <c r="H2060">
        <f t="shared" si="135"/>
        <v>411</v>
      </c>
    </row>
    <row r="2061" spans="1:8" x14ac:dyDescent="0.55000000000000004">
      <c r="A2061" s="6">
        <v>1.7876883666677039E+19</v>
      </c>
      <c r="B2061">
        <v>376</v>
      </c>
      <c r="C2061">
        <v>3</v>
      </c>
      <c r="D2061">
        <v>18802</v>
      </c>
      <c r="E2061">
        <f t="shared" si="132"/>
        <v>4</v>
      </c>
      <c r="F2061">
        <f t="shared" si="133"/>
        <v>3</v>
      </c>
      <c r="G2061">
        <f t="shared" si="134"/>
        <v>3</v>
      </c>
      <c r="H2061">
        <f t="shared" si="135"/>
        <v>433</v>
      </c>
    </row>
    <row r="2062" spans="1:8" x14ac:dyDescent="0.55000000000000004">
      <c r="A2062" s="6">
        <v>1.790383277032789E+19</v>
      </c>
      <c r="B2062">
        <v>462</v>
      </c>
      <c r="C2062">
        <v>1</v>
      </c>
      <c r="D2062">
        <v>238</v>
      </c>
      <c r="E2062">
        <f t="shared" si="132"/>
        <v>4</v>
      </c>
      <c r="F2062">
        <f t="shared" si="133"/>
        <v>1</v>
      </c>
      <c r="G2062">
        <f t="shared" si="134"/>
        <v>1</v>
      </c>
      <c r="H2062">
        <f t="shared" si="135"/>
        <v>411</v>
      </c>
    </row>
    <row r="2063" spans="1:8" x14ac:dyDescent="0.55000000000000004">
      <c r="A2063" s="6">
        <v>1.7935006761815679E+19</v>
      </c>
      <c r="B2063">
        <v>757</v>
      </c>
      <c r="C2063">
        <v>1</v>
      </c>
      <c r="D2063">
        <v>2960</v>
      </c>
      <c r="E2063">
        <f t="shared" si="132"/>
        <v>3</v>
      </c>
      <c r="F2063">
        <f t="shared" si="133"/>
        <v>1</v>
      </c>
      <c r="G2063">
        <f t="shared" si="134"/>
        <v>3</v>
      </c>
      <c r="H2063">
        <f t="shared" si="135"/>
        <v>313</v>
      </c>
    </row>
    <row r="2064" spans="1:8" x14ac:dyDescent="0.55000000000000004">
      <c r="A2064" s="6">
        <v>1.793701719582576E+19</v>
      </c>
      <c r="B2064">
        <v>490</v>
      </c>
      <c r="C2064">
        <v>1</v>
      </c>
      <c r="D2064">
        <v>4265</v>
      </c>
      <c r="E2064">
        <f t="shared" si="132"/>
        <v>4</v>
      </c>
      <c r="F2064">
        <f t="shared" si="133"/>
        <v>1</v>
      </c>
      <c r="G2064">
        <f t="shared" si="134"/>
        <v>3</v>
      </c>
      <c r="H2064">
        <f t="shared" si="135"/>
        <v>413</v>
      </c>
    </row>
    <row r="2065" spans="1:8" x14ac:dyDescent="0.55000000000000004">
      <c r="A2065" s="6">
        <v>1.795121824473095E+19</v>
      </c>
      <c r="B2065">
        <v>461</v>
      </c>
      <c r="C2065">
        <v>1</v>
      </c>
      <c r="D2065">
        <v>29</v>
      </c>
      <c r="E2065">
        <f t="shared" si="132"/>
        <v>4</v>
      </c>
      <c r="F2065">
        <f t="shared" si="133"/>
        <v>1</v>
      </c>
      <c r="G2065">
        <f t="shared" si="134"/>
        <v>1</v>
      </c>
      <c r="H2065">
        <f t="shared" si="135"/>
        <v>411</v>
      </c>
    </row>
    <row r="2066" spans="1:8" x14ac:dyDescent="0.55000000000000004">
      <c r="A2066" s="6">
        <v>1.7951873441832131E+19</v>
      </c>
      <c r="B2066">
        <v>885</v>
      </c>
      <c r="C2066">
        <v>1</v>
      </c>
      <c r="D2066">
        <v>99</v>
      </c>
      <c r="E2066">
        <f t="shared" si="132"/>
        <v>2</v>
      </c>
      <c r="F2066">
        <f t="shared" si="133"/>
        <v>1</v>
      </c>
      <c r="G2066">
        <f t="shared" si="134"/>
        <v>1</v>
      </c>
      <c r="H2066">
        <f t="shared" si="135"/>
        <v>211</v>
      </c>
    </row>
    <row r="2067" spans="1:8" x14ac:dyDescent="0.55000000000000004">
      <c r="A2067" s="6">
        <v>1.7953314412259219E+19</v>
      </c>
      <c r="B2067">
        <v>455</v>
      </c>
      <c r="C2067">
        <v>1</v>
      </c>
      <c r="D2067">
        <v>4390</v>
      </c>
      <c r="E2067">
        <f t="shared" si="132"/>
        <v>4</v>
      </c>
      <c r="F2067">
        <f t="shared" si="133"/>
        <v>1</v>
      </c>
      <c r="G2067">
        <f t="shared" si="134"/>
        <v>3</v>
      </c>
      <c r="H2067">
        <f t="shared" si="135"/>
        <v>413</v>
      </c>
    </row>
    <row r="2068" spans="1:8" x14ac:dyDescent="0.55000000000000004">
      <c r="A2068" s="6">
        <v>1.7955982481916549E+19</v>
      </c>
      <c r="B2068">
        <v>981</v>
      </c>
      <c r="C2068">
        <v>2</v>
      </c>
      <c r="D2068">
        <v>1360</v>
      </c>
      <c r="E2068">
        <f t="shared" si="132"/>
        <v>2</v>
      </c>
      <c r="F2068">
        <f t="shared" si="133"/>
        <v>2</v>
      </c>
      <c r="G2068">
        <f t="shared" si="134"/>
        <v>2</v>
      </c>
      <c r="H2068">
        <f t="shared" si="135"/>
        <v>222</v>
      </c>
    </row>
    <row r="2069" spans="1:8" x14ac:dyDescent="0.55000000000000004">
      <c r="A2069" s="6">
        <v>1.7961524696104471E+19</v>
      </c>
      <c r="B2069">
        <v>290</v>
      </c>
      <c r="C2069">
        <v>1</v>
      </c>
      <c r="D2069">
        <v>129</v>
      </c>
      <c r="E2069">
        <f t="shared" si="132"/>
        <v>4</v>
      </c>
      <c r="F2069">
        <f t="shared" si="133"/>
        <v>1</v>
      </c>
      <c r="G2069">
        <f t="shared" si="134"/>
        <v>1</v>
      </c>
      <c r="H2069">
        <f t="shared" si="135"/>
        <v>411</v>
      </c>
    </row>
    <row r="2070" spans="1:8" x14ac:dyDescent="0.55000000000000004">
      <c r="A2070" s="6">
        <v>1.7968689873967131E+19</v>
      </c>
      <c r="B2070">
        <v>173</v>
      </c>
      <c r="C2070">
        <v>1</v>
      </c>
      <c r="D2070">
        <v>2874</v>
      </c>
      <c r="E2070">
        <f t="shared" si="132"/>
        <v>5</v>
      </c>
      <c r="F2070">
        <f t="shared" si="133"/>
        <v>1</v>
      </c>
      <c r="G2070">
        <f t="shared" si="134"/>
        <v>3</v>
      </c>
      <c r="H2070">
        <f t="shared" si="135"/>
        <v>513</v>
      </c>
    </row>
    <row r="2071" spans="1:8" x14ac:dyDescent="0.55000000000000004">
      <c r="A2071" s="6">
        <v>1.7972254181524779E+19</v>
      </c>
      <c r="B2071">
        <v>1205</v>
      </c>
      <c r="C2071">
        <v>1</v>
      </c>
      <c r="D2071">
        <v>2415</v>
      </c>
      <c r="E2071">
        <f t="shared" si="132"/>
        <v>1</v>
      </c>
      <c r="F2071">
        <f t="shared" si="133"/>
        <v>1</v>
      </c>
      <c r="G2071">
        <f t="shared" si="134"/>
        <v>3</v>
      </c>
      <c r="H2071">
        <f t="shared" si="135"/>
        <v>113</v>
      </c>
    </row>
    <row r="2072" spans="1:8" x14ac:dyDescent="0.55000000000000004">
      <c r="A2072" s="6">
        <v>1.7976821978033129E+19</v>
      </c>
      <c r="B2072">
        <v>959</v>
      </c>
      <c r="C2072">
        <v>1</v>
      </c>
      <c r="D2072">
        <v>1197</v>
      </c>
      <c r="E2072">
        <f t="shared" si="132"/>
        <v>2</v>
      </c>
      <c r="F2072">
        <f t="shared" si="133"/>
        <v>1</v>
      </c>
      <c r="G2072">
        <f t="shared" si="134"/>
        <v>2</v>
      </c>
      <c r="H2072">
        <f t="shared" si="135"/>
        <v>212</v>
      </c>
    </row>
    <row r="2073" spans="1:8" x14ac:dyDescent="0.55000000000000004">
      <c r="A2073" s="6">
        <v>1.7989877110360539E+19</v>
      </c>
      <c r="B2073">
        <v>333</v>
      </c>
      <c r="C2073">
        <v>1</v>
      </c>
      <c r="D2073">
        <v>1139</v>
      </c>
      <c r="E2073">
        <f t="shared" si="132"/>
        <v>4</v>
      </c>
      <c r="F2073">
        <f t="shared" si="133"/>
        <v>1</v>
      </c>
      <c r="G2073">
        <f t="shared" si="134"/>
        <v>2</v>
      </c>
      <c r="H2073">
        <f t="shared" si="135"/>
        <v>412</v>
      </c>
    </row>
    <row r="2074" spans="1:8" x14ac:dyDescent="0.55000000000000004">
      <c r="A2074" s="6">
        <v>1.799160600154973E+19</v>
      </c>
      <c r="B2074">
        <v>510</v>
      </c>
      <c r="C2074">
        <v>2</v>
      </c>
      <c r="D2074">
        <v>591</v>
      </c>
      <c r="E2074">
        <f t="shared" si="132"/>
        <v>4</v>
      </c>
      <c r="F2074">
        <f t="shared" si="133"/>
        <v>2</v>
      </c>
      <c r="G2074">
        <f t="shared" si="134"/>
        <v>1</v>
      </c>
      <c r="H2074">
        <f t="shared" si="135"/>
        <v>421</v>
      </c>
    </row>
    <row r="2075" spans="1:8" x14ac:dyDescent="0.55000000000000004">
      <c r="A2075" s="6">
        <v>1.8004859116404771E+19</v>
      </c>
      <c r="B2075">
        <v>519</v>
      </c>
      <c r="C2075">
        <v>1</v>
      </c>
      <c r="D2075">
        <v>238</v>
      </c>
      <c r="E2075">
        <f t="shared" si="132"/>
        <v>4</v>
      </c>
      <c r="F2075">
        <f t="shared" si="133"/>
        <v>1</v>
      </c>
      <c r="G2075">
        <f t="shared" si="134"/>
        <v>1</v>
      </c>
      <c r="H2075">
        <f t="shared" si="135"/>
        <v>411</v>
      </c>
    </row>
    <row r="2076" spans="1:8" x14ac:dyDescent="0.55000000000000004">
      <c r="A2076" s="6">
        <v>1.8017309185027719E+19</v>
      </c>
      <c r="B2076">
        <v>75</v>
      </c>
      <c r="C2076">
        <v>2</v>
      </c>
      <c r="D2076">
        <v>2054</v>
      </c>
      <c r="E2076">
        <f t="shared" si="132"/>
        <v>5</v>
      </c>
      <c r="F2076">
        <f t="shared" si="133"/>
        <v>2</v>
      </c>
      <c r="G2076">
        <f t="shared" si="134"/>
        <v>2</v>
      </c>
      <c r="H2076">
        <f t="shared" si="135"/>
        <v>522</v>
      </c>
    </row>
    <row r="2077" spans="1:8" x14ac:dyDescent="0.55000000000000004">
      <c r="A2077" s="6">
        <v>1.802287598892639E+19</v>
      </c>
      <c r="B2077">
        <v>694</v>
      </c>
      <c r="C2077">
        <v>2</v>
      </c>
      <c r="D2077">
        <v>1630</v>
      </c>
      <c r="E2077">
        <f t="shared" si="132"/>
        <v>3</v>
      </c>
      <c r="F2077">
        <f t="shared" si="133"/>
        <v>2</v>
      </c>
      <c r="G2077">
        <f t="shared" si="134"/>
        <v>2</v>
      </c>
      <c r="H2077">
        <f t="shared" si="135"/>
        <v>322</v>
      </c>
    </row>
    <row r="2078" spans="1:8" x14ac:dyDescent="0.55000000000000004">
      <c r="A2078" s="6">
        <v>1.802481165492719E+19</v>
      </c>
      <c r="B2078">
        <v>359</v>
      </c>
      <c r="C2078">
        <v>1</v>
      </c>
      <c r="D2078">
        <v>10848</v>
      </c>
      <c r="E2078">
        <f t="shared" si="132"/>
        <v>4</v>
      </c>
      <c r="F2078">
        <f t="shared" si="133"/>
        <v>1</v>
      </c>
      <c r="G2078">
        <f t="shared" si="134"/>
        <v>3</v>
      </c>
      <c r="H2078">
        <f t="shared" si="135"/>
        <v>413</v>
      </c>
    </row>
    <row r="2079" spans="1:8" x14ac:dyDescent="0.55000000000000004">
      <c r="A2079" s="6">
        <v>1.8030433549853759E+19</v>
      </c>
      <c r="B2079">
        <v>724</v>
      </c>
      <c r="C2079">
        <v>3</v>
      </c>
      <c r="D2079">
        <v>2383</v>
      </c>
      <c r="E2079">
        <f t="shared" si="132"/>
        <v>3</v>
      </c>
      <c r="F2079">
        <f t="shared" si="133"/>
        <v>3</v>
      </c>
      <c r="G2079">
        <f t="shared" si="134"/>
        <v>3</v>
      </c>
      <c r="H2079">
        <f t="shared" si="135"/>
        <v>333</v>
      </c>
    </row>
    <row r="2080" spans="1:8" x14ac:dyDescent="0.55000000000000004">
      <c r="A2080" s="6">
        <v>1.80353009413986E+19</v>
      </c>
      <c r="B2080">
        <v>431</v>
      </c>
      <c r="C2080">
        <v>1</v>
      </c>
      <c r="D2080">
        <v>2793</v>
      </c>
      <c r="E2080">
        <f t="shared" si="132"/>
        <v>4</v>
      </c>
      <c r="F2080">
        <f t="shared" si="133"/>
        <v>1</v>
      </c>
      <c r="G2080">
        <f t="shared" si="134"/>
        <v>3</v>
      </c>
      <c r="H2080">
        <f t="shared" si="135"/>
        <v>413</v>
      </c>
    </row>
    <row r="2081" spans="1:8" x14ac:dyDescent="0.55000000000000004">
      <c r="A2081" s="6">
        <v>1.8064953439810699E+19</v>
      </c>
      <c r="B2081">
        <v>713</v>
      </c>
      <c r="C2081">
        <v>2</v>
      </c>
      <c r="D2081">
        <v>12117</v>
      </c>
      <c r="E2081">
        <f t="shared" si="132"/>
        <v>3</v>
      </c>
      <c r="F2081">
        <f t="shared" si="133"/>
        <v>2</v>
      </c>
      <c r="G2081">
        <f t="shared" si="134"/>
        <v>3</v>
      </c>
      <c r="H2081">
        <f t="shared" si="135"/>
        <v>323</v>
      </c>
    </row>
    <row r="2082" spans="1:8" x14ac:dyDescent="0.55000000000000004">
      <c r="A2082" s="6">
        <v>1.8069216572077091E+19</v>
      </c>
      <c r="B2082">
        <v>14</v>
      </c>
      <c r="C2082">
        <v>1</v>
      </c>
      <c r="D2082">
        <v>2024</v>
      </c>
      <c r="E2082">
        <f t="shared" si="132"/>
        <v>5</v>
      </c>
      <c r="F2082">
        <f t="shared" si="133"/>
        <v>1</v>
      </c>
      <c r="G2082">
        <f t="shared" si="134"/>
        <v>2</v>
      </c>
      <c r="H2082">
        <f t="shared" si="135"/>
        <v>512</v>
      </c>
    </row>
    <row r="2083" spans="1:8" x14ac:dyDescent="0.55000000000000004">
      <c r="A2083" s="6">
        <v>1.8075727275591049E+19</v>
      </c>
      <c r="B2083">
        <v>4</v>
      </c>
      <c r="C2083">
        <v>1</v>
      </c>
      <c r="D2083">
        <v>286</v>
      </c>
      <c r="E2083">
        <f t="shared" si="132"/>
        <v>5</v>
      </c>
      <c r="F2083">
        <f t="shared" si="133"/>
        <v>1</v>
      </c>
      <c r="G2083">
        <f t="shared" si="134"/>
        <v>1</v>
      </c>
      <c r="H2083">
        <f t="shared" si="135"/>
        <v>511</v>
      </c>
    </row>
    <row r="2084" spans="1:8" x14ac:dyDescent="0.55000000000000004">
      <c r="A2084" s="6">
        <v>1.808540139662284E+19</v>
      </c>
      <c r="B2084">
        <v>258</v>
      </c>
      <c r="C2084">
        <v>1</v>
      </c>
      <c r="D2084">
        <v>676</v>
      </c>
      <c r="E2084">
        <f t="shared" si="132"/>
        <v>5</v>
      </c>
      <c r="F2084">
        <f t="shared" si="133"/>
        <v>1</v>
      </c>
      <c r="G2084">
        <f t="shared" si="134"/>
        <v>2</v>
      </c>
      <c r="H2084">
        <f t="shared" si="135"/>
        <v>512</v>
      </c>
    </row>
    <row r="2085" spans="1:8" x14ac:dyDescent="0.55000000000000004">
      <c r="A2085" s="6">
        <v>1.8095816446598441E+19</v>
      </c>
      <c r="B2085">
        <v>593</v>
      </c>
      <c r="C2085">
        <v>2</v>
      </c>
      <c r="D2085">
        <v>2022</v>
      </c>
      <c r="E2085">
        <f t="shared" si="132"/>
        <v>3</v>
      </c>
      <c r="F2085">
        <f t="shared" si="133"/>
        <v>2</v>
      </c>
      <c r="G2085">
        <f t="shared" si="134"/>
        <v>2</v>
      </c>
      <c r="H2085">
        <f t="shared" si="135"/>
        <v>322</v>
      </c>
    </row>
    <row r="2086" spans="1:8" x14ac:dyDescent="0.55000000000000004">
      <c r="A2086" s="6">
        <v>1.8105990993554E+19</v>
      </c>
      <c r="B2086">
        <v>105</v>
      </c>
      <c r="C2086">
        <v>2</v>
      </c>
      <c r="D2086">
        <v>877</v>
      </c>
      <c r="E2086">
        <f t="shared" si="132"/>
        <v>5</v>
      </c>
      <c r="F2086">
        <f t="shared" si="133"/>
        <v>2</v>
      </c>
      <c r="G2086">
        <f t="shared" si="134"/>
        <v>2</v>
      </c>
      <c r="H2086">
        <f t="shared" si="135"/>
        <v>522</v>
      </c>
    </row>
    <row r="2087" spans="1:8" x14ac:dyDescent="0.55000000000000004">
      <c r="A2087" s="6">
        <v>1.811954021724073E+19</v>
      </c>
      <c r="B2087">
        <v>1327</v>
      </c>
      <c r="C2087">
        <v>1</v>
      </c>
      <c r="D2087">
        <v>5010</v>
      </c>
      <c r="E2087">
        <f t="shared" si="132"/>
        <v>1</v>
      </c>
      <c r="F2087">
        <f t="shared" si="133"/>
        <v>1</v>
      </c>
      <c r="G2087">
        <f t="shared" si="134"/>
        <v>3</v>
      </c>
      <c r="H2087">
        <f t="shared" si="135"/>
        <v>113</v>
      </c>
    </row>
    <row r="2088" spans="1:8" x14ac:dyDescent="0.55000000000000004">
      <c r="A2088" s="6">
        <v>1.8137111385135651E+19</v>
      </c>
      <c r="B2088">
        <v>1024</v>
      </c>
      <c r="C2088">
        <v>3</v>
      </c>
      <c r="D2088">
        <v>316</v>
      </c>
      <c r="E2088">
        <f t="shared" si="132"/>
        <v>2</v>
      </c>
      <c r="F2088">
        <f t="shared" si="133"/>
        <v>3</v>
      </c>
      <c r="G2088">
        <f t="shared" si="134"/>
        <v>1</v>
      </c>
      <c r="H2088">
        <f t="shared" si="135"/>
        <v>231</v>
      </c>
    </row>
    <row r="2089" spans="1:8" x14ac:dyDescent="0.55000000000000004">
      <c r="A2089" s="6">
        <v>1.81502859460929E+19</v>
      </c>
      <c r="B2089">
        <v>45</v>
      </c>
      <c r="C2089">
        <v>1</v>
      </c>
      <c r="D2089">
        <v>808</v>
      </c>
      <c r="E2089">
        <f t="shared" si="132"/>
        <v>5</v>
      </c>
      <c r="F2089">
        <f t="shared" si="133"/>
        <v>1</v>
      </c>
      <c r="G2089">
        <f t="shared" si="134"/>
        <v>2</v>
      </c>
      <c r="H2089">
        <f t="shared" si="135"/>
        <v>512</v>
      </c>
    </row>
    <row r="2090" spans="1:8" x14ac:dyDescent="0.55000000000000004">
      <c r="A2090" s="6">
        <v>1.8150622644532199E+19</v>
      </c>
      <c r="B2090">
        <v>316</v>
      </c>
      <c r="C2090">
        <v>2</v>
      </c>
      <c r="D2090">
        <v>6569</v>
      </c>
      <c r="E2090">
        <f t="shared" si="132"/>
        <v>4</v>
      </c>
      <c r="F2090">
        <f t="shared" si="133"/>
        <v>2</v>
      </c>
      <c r="G2090">
        <f t="shared" si="134"/>
        <v>3</v>
      </c>
      <c r="H2090">
        <f t="shared" si="135"/>
        <v>423</v>
      </c>
    </row>
    <row r="2091" spans="1:8" x14ac:dyDescent="0.55000000000000004">
      <c r="A2091" s="6">
        <v>1.815082326075271E+19</v>
      </c>
      <c r="B2091">
        <v>964</v>
      </c>
      <c r="C2091">
        <v>2</v>
      </c>
      <c r="D2091">
        <v>1517</v>
      </c>
      <c r="E2091">
        <f t="shared" si="132"/>
        <v>2</v>
      </c>
      <c r="F2091">
        <f t="shared" si="133"/>
        <v>2</v>
      </c>
      <c r="G2091">
        <f t="shared" si="134"/>
        <v>2</v>
      </c>
      <c r="H2091">
        <f t="shared" si="135"/>
        <v>222</v>
      </c>
    </row>
    <row r="2092" spans="1:8" x14ac:dyDescent="0.55000000000000004">
      <c r="A2092" s="6">
        <v>1.815269932860136E+19</v>
      </c>
      <c r="B2092">
        <v>125</v>
      </c>
      <c r="C2092">
        <v>2</v>
      </c>
      <c r="D2092">
        <v>4831</v>
      </c>
      <c r="E2092">
        <f t="shared" si="132"/>
        <v>5</v>
      </c>
      <c r="F2092">
        <f t="shared" si="133"/>
        <v>2</v>
      </c>
      <c r="G2092">
        <f t="shared" si="134"/>
        <v>3</v>
      </c>
      <c r="H2092">
        <f t="shared" si="135"/>
        <v>523</v>
      </c>
    </row>
    <row r="2093" spans="1:8" x14ac:dyDescent="0.55000000000000004">
      <c r="A2093" s="6">
        <v>1.815677024883312E+19</v>
      </c>
      <c r="B2093">
        <v>224</v>
      </c>
      <c r="C2093">
        <v>1</v>
      </c>
      <c r="D2093">
        <v>246</v>
      </c>
      <c r="E2093">
        <f t="shared" si="132"/>
        <v>5</v>
      </c>
      <c r="F2093">
        <f t="shared" si="133"/>
        <v>1</v>
      </c>
      <c r="G2093">
        <f t="shared" si="134"/>
        <v>1</v>
      </c>
      <c r="H2093">
        <f t="shared" si="135"/>
        <v>511</v>
      </c>
    </row>
    <row r="2094" spans="1:8" x14ac:dyDescent="0.55000000000000004">
      <c r="A2094" s="6">
        <v>1.816587074405564E+19</v>
      </c>
      <c r="B2094">
        <v>1286</v>
      </c>
      <c r="C2094">
        <v>1</v>
      </c>
      <c r="D2094">
        <v>7740</v>
      </c>
      <c r="E2094">
        <f t="shared" si="132"/>
        <v>1</v>
      </c>
      <c r="F2094">
        <f t="shared" si="133"/>
        <v>1</v>
      </c>
      <c r="G2094">
        <f t="shared" si="134"/>
        <v>3</v>
      </c>
      <c r="H2094">
        <f t="shared" si="135"/>
        <v>113</v>
      </c>
    </row>
    <row r="2095" spans="1:8" x14ac:dyDescent="0.55000000000000004">
      <c r="A2095" s="6">
        <v>1.8182398520451611E+19</v>
      </c>
      <c r="B2095">
        <v>568</v>
      </c>
      <c r="C2095">
        <v>1</v>
      </c>
      <c r="D2095">
        <v>228</v>
      </c>
      <c r="E2095">
        <f t="shared" si="132"/>
        <v>4</v>
      </c>
      <c r="F2095">
        <f t="shared" si="133"/>
        <v>1</v>
      </c>
      <c r="G2095">
        <f t="shared" si="134"/>
        <v>1</v>
      </c>
      <c r="H2095">
        <f t="shared" si="135"/>
        <v>411</v>
      </c>
    </row>
    <row r="2096" spans="1:8" x14ac:dyDescent="0.55000000000000004">
      <c r="A2096" s="6">
        <v>1.820327599306591E+19</v>
      </c>
      <c r="B2096">
        <v>28</v>
      </c>
      <c r="C2096">
        <v>1</v>
      </c>
      <c r="D2096">
        <v>2412</v>
      </c>
      <c r="E2096">
        <f t="shared" si="132"/>
        <v>5</v>
      </c>
      <c r="F2096">
        <f t="shared" si="133"/>
        <v>1</v>
      </c>
      <c r="G2096">
        <f t="shared" si="134"/>
        <v>3</v>
      </c>
      <c r="H2096">
        <f t="shared" si="135"/>
        <v>513</v>
      </c>
    </row>
    <row r="2097" spans="1:8" x14ac:dyDescent="0.55000000000000004">
      <c r="A2097" s="6">
        <v>1.822140064359714E+19</v>
      </c>
      <c r="B2097">
        <v>576</v>
      </c>
      <c r="C2097">
        <v>1</v>
      </c>
      <c r="D2097">
        <v>234</v>
      </c>
      <c r="E2097">
        <f t="shared" si="132"/>
        <v>4</v>
      </c>
      <c r="F2097">
        <f t="shared" si="133"/>
        <v>1</v>
      </c>
      <c r="G2097">
        <f t="shared" si="134"/>
        <v>1</v>
      </c>
      <c r="H2097">
        <f t="shared" si="135"/>
        <v>411</v>
      </c>
    </row>
    <row r="2098" spans="1:8" x14ac:dyDescent="0.55000000000000004">
      <c r="A2098" s="6">
        <v>1.82282442793025E+19</v>
      </c>
      <c r="B2098">
        <v>259</v>
      </c>
      <c r="C2098">
        <v>1</v>
      </c>
      <c r="D2098">
        <v>2210</v>
      </c>
      <c r="E2098">
        <f t="shared" si="132"/>
        <v>5</v>
      </c>
      <c r="F2098">
        <f t="shared" si="133"/>
        <v>1</v>
      </c>
      <c r="G2098">
        <f t="shared" si="134"/>
        <v>2</v>
      </c>
      <c r="H2098">
        <f t="shared" si="135"/>
        <v>512</v>
      </c>
    </row>
    <row r="2099" spans="1:8" x14ac:dyDescent="0.55000000000000004">
      <c r="A2099" s="6">
        <v>1.824794439040693E+19</v>
      </c>
      <c r="B2099">
        <v>864</v>
      </c>
      <c r="C2099">
        <v>1</v>
      </c>
      <c r="D2099">
        <v>267</v>
      </c>
      <c r="E2099">
        <f t="shared" si="132"/>
        <v>3</v>
      </c>
      <c r="F2099">
        <f t="shared" si="133"/>
        <v>1</v>
      </c>
      <c r="G2099">
        <f t="shared" si="134"/>
        <v>1</v>
      </c>
      <c r="H2099">
        <f t="shared" si="135"/>
        <v>311</v>
      </c>
    </row>
    <row r="2100" spans="1:8" x14ac:dyDescent="0.55000000000000004">
      <c r="A2100" s="6">
        <v>1.825626145972831E+19</v>
      </c>
      <c r="B2100">
        <v>509</v>
      </c>
      <c r="C2100">
        <v>2</v>
      </c>
      <c r="D2100">
        <v>5850</v>
      </c>
      <c r="E2100">
        <f t="shared" si="132"/>
        <v>4</v>
      </c>
      <c r="F2100">
        <f t="shared" si="133"/>
        <v>2</v>
      </c>
      <c r="G2100">
        <f t="shared" si="134"/>
        <v>3</v>
      </c>
      <c r="H2100">
        <f t="shared" si="135"/>
        <v>423</v>
      </c>
    </row>
    <row r="2101" spans="1:8" x14ac:dyDescent="0.55000000000000004">
      <c r="A2101" s="6">
        <v>1.825832144440671E+19</v>
      </c>
      <c r="B2101">
        <v>50</v>
      </c>
      <c r="C2101">
        <v>1</v>
      </c>
      <c r="D2101">
        <v>519</v>
      </c>
      <c r="E2101">
        <f t="shared" si="132"/>
        <v>5</v>
      </c>
      <c r="F2101">
        <f t="shared" si="133"/>
        <v>1</v>
      </c>
      <c r="G2101">
        <f t="shared" si="134"/>
        <v>1</v>
      </c>
      <c r="H2101">
        <f t="shared" si="135"/>
        <v>511</v>
      </c>
    </row>
    <row r="2102" spans="1:8" x14ac:dyDescent="0.55000000000000004">
      <c r="A2102" s="6">
        <v>1.827375784926251E+19</v>
      </c>
      <c r="B2102">
        <v>1233</v>
      </c>
      <c r="C2102">
        <v>1</v>
      </c>
      <c r="D2102">
        <v>478</v>
      </c>
      <c r="E2102">
        <f t="shared" si="132"/>
        <v>1</v>
      </c>
      <c r="F2102">
        <f t="shared" si="133"/>
        <v>1</v>
      </c>
      <c r="G2102">
        <f t="shared" si="134"/>
        <v>1</v>
      </c>
      <c r="H2102">
        <f t="shared" si="135"/>
        <v>111</v>
      </c>
    </row>
    <row r="2103" spans="1:8" x14ac:dyDescent="0.55000000000000004">
      <c r="A2103" s="6">
        <v>1.828978405457094E+19</v>
      </c>
      <c r="B2103">
        <v>10</v>
      </c>
      <c r="C2103">
        <v>2</v>
      </c>
      <c r="D2103">
        <v>2448</v>
      </c>
      <c r="E2103">
        <f t="shared" si="132"/>
        <v>5</v>
      </c>
      <c r="F2103">
        <f t="shared" si="133"/>
        <v>2</v>
      </c>
      <c r="G2103">
        <f t="shared" si="134"/>
        <v>3</v>
      </c>
      <c r="H2103">
        <f t="shared" si="135"/>
        <v>523</v>
      </c>
    </row>
    <row r="2104" spans="1:8" x14ac:dyDescent="0.55000000000000004">
      <c r="A2104" s="6">
        <v>1.8290896633043259E+19</v>
      </c>
      <c r="B2104">
        <v>700</v>
      </c>
      <c r="C2104">
        <v>2</v>
      </c>
      <c r="D2104">
        <v>4061</v>
      </c>
      <c r="E2104">
        <f t="shared" si="132"/>
        <v>3</v>
      </c>
      <c r="F2104">
        <f t="shared" si="133"/>
        <v>2</v>
      </c>
      <c r="G2104">
        <f t="shared" si="134"/>
        <v>3</v>
      </c>
      <c r="H2104">
        <f t="shared" si="135"/>
        <v>323</v>
      </c>
    </row>
    <row r="2105" spans="1:8" x14ac:dyDescent="0.55000000000000004">
      <c r="A2105" s="6">
        <v>1.8296913374114109E+19</v>
      </c>
      <c r="B2105">
        <v>606</v>
      </c>
      <c r="C2105">
        <v>1</v>
      </c>
      <c r="D2105">
        <v>629</v>
      </c>
      <c r="E2105">
        <f t="shared" si="132"/>
        <v>3</v>
      </c>
      <c r="F2105">
        <f t="shared" si="133"/>
        <v>1</v>
      </c>
      <c r="G2105">
        <f t="shared" si="134"/>
        <v>1</v>
      </c>
      <c r="H2105">
        <f t="shared" si="135"/>
        <v>311</v>
      </c>
    </row>
    <row r="2106" spans="1:8" x14ac:dyDescent="0.55000000000000004">
      <c r="A2106" s="6">
        <v>1.830235197192389E+19</v>
      </c>
      <c r="B2106">
        <v>319</v>
      </c>
      <c r="C2106">
        <v>3</v>
      </c>
      <c r="D2106">
        <v>14945</v>
      </c>
      <c r="E2106">
        <f t="shared" si="132"/>
        <v>4</v>
      </c>
      <c r="F2106">
        <f t="shared" si="133"/>
        <v>3</v>
      </c>
      <c r="G2106">
        <f t="shared" si="134"/>
        <v>3</v>
      </c>
      <c r="H2106">
        <f t="shared" si="135"/>
        <v>433</v>
      </c>
    </row>
    <row r="2107" spans="1:8" x14ac:dyDescent="0.55000000000000004">
      <c r="A2107" s="6">
        <v>1.83139076252951E+19</v>
      </c>
      <c r="B2107">
        <v>513</v>
      </c>
      <c r="C2107">
        <v>3</v>
      </c>
      <c r="D2107">
        <v>8291</v>
      </c>
      <c r="E2107">
        <f t="shared" si="132"/>
        <v>4</v>
      </c>
      <c r="F2107">
        <f t="shared" si="133"/>
        <v>3</v>
      </c>
      <c r="G2107">
        <f t="shared" si="134"/>
        <v>3</v>
      </c>
      <c r="H2107">
        <f t="shared" si="135"/>
        <v>433</v>
      </c>
    </row>
    <row r="2108" spans="1:8" x14ac:dyDescent="0.55000000000000004">
      <c r="A2108" s="6">
        <v>1.832646097835544E+19</v>
      </c>
      <c r="B2108">
        <v>1</v>
      </c>
      <c r="C2108">
        <v>2</v>
      </c>
      <c r="D2108">
        <v>11106</v>
      </c>
      <c r="E2108">
        <f t="shared" si="132"/>
        <v>5</v>
      </c>
      <c r="F2108">
        <f t="shared" si="133"/>
        <v>2</v>
      </c>
      <c r="G2108">
        <f t="shared" si="134"/>
        <v>3</v>
      </c>
      <c r="H2108">
        <f t="shared" si="135"/>
        <v>523</v>
      </c>
    </row>
    <row r="2109" spans="1:8" x14ac:dyDescent="0.55000000000000004">
      <c r="A2109" s="6">
        <v>1.837888610150903E+19</v>
      </c>
      <c r="B2109">
        <v>403</v>
      </c>
      <c r="C2109">
        <v>1</v>
      </c>
      <c r="D2109">
        <v>768</v>
      </c>
      <c r="E2109">
        <f t="shared" si="132"/>
        <v>4</v>
      </c>
      <c r="F2109">
        <f t="shared" si="133"/>
        <v>1</v>
      </c>
      <c r="G2109">
        <f t="shared" si="134"/>
        <v>2</v>
      </c>
      <c r="H2109">
        <f t="shared" si="135"/>
        <v>412</v>
      </c>
    </row>
    <row r="2110" spans="1:8" x14ac:dyDescent="0.55000000000000004">
      <c r="A2110" s="6">
        <v>1.8380950668525359E+19</v>
      </c>
      <c r="B2110">
        <v>172</v>
      </c>
      <c r="C2110">
        <v>1</v>
      </c>
      <c r="D2110">
        <v>967</v>
      </c>
      <c r="E2110">
        <f t="shared" si="132"/>
        <v>5</v>
      </c>
      <c r="F2110">
        <f t="shared" si="133"/>
        <v>1</v>
      </c>
      <c r="G2110">
        <f t="shared" si="134"/>
        <v>2</v>
      </c>
      <c r="H2110">
        <f t="shared" si="135"/>
        <v>512</v>
      </c>
    </row>
    <row r="2111" spans="1:8" x14ac:dyDescent="0.55000000000000004">
      <c r="A2111" s="6">
        <v>1.8389639499405119E+19</v>
      </c>
      <c r="B2111">
        <v>959</v>
      </c>
      <c r="C2111">
        <v>1</v>
      </c>
      <c r="D2111">
        <v>258</v>
      </c>
      <c r="E2111">
        <f t="shared" si="132"/>
        <v>2</v>
      </c>
      <c r="F2111">
        <f t="shared" si="133"/>
        <v>1</v>
      </c>
      <c r="G2111">
        <f t="shared" si="134"/>
        <v>1</v>
      </c>
      <c r="H2111">
        <f t="shared" si="135"/>
        <v>211</v>
      </c>
    </row>
    <row r="2112" spans="1:8" x14ac:dyDescent="0.55000000000000004">
      <c r="A2112" s="6">
        <v>1.8411369914734201E+19</v>
      </c>
      <c r="B2112">
        <v>218</v>
      </c>
      <c r="C2112">
        <v>1</v>
      </c>
      <c r="D2112">
        <v>663</v>
      </c>
      <c r="E2112">
        <f t="shared" si="132"/>
        <v>5</v>
      </c>
      <c r="F2112">
        <f t="shared" si="133"/>
        <v>1</v>
      </c>
      <c r="G2112">
        <f t="shared" si="134"/>
        <v>2</v>
      </c>
      <c r="H2112">
        <f t="shared" si="135"/>
        <v>512</v>
      </c>
    </row>
    <row r="2113" spans="1:8" x14ac:dyDescent="0.55000000000000004">
      <c r="A2113" s="6">
        <v>1.842367595461267E+19</v>
      </c>
      <c r="B2113">
        <v>1235</v>
      </c>
      <c r="C2113">
        <v>1</v>
      </c>
      <c r="D2113">
        <v>459</v>
      </c>
      <c r="E2113">
        <f t="shared" si="132"/>
        <v>1</v>
      </c>
      <c r="F2113">
        <f t="shared" si="133"/>
        <v>1</v>
      </c>
      <c r="G2113">
        <f t="shared" si="134"/>
        <v>1</v>
      </c>
      <c r="H2113">
        <f t="shared" si="135"/>
        <v>111</v>
      </c>
    </row>
    <row r="2114" spans="1:8" x14ac:dyDescent="0.55000000000000004">
      <c r="A2114" s="6">
        <v>1.843320053906817E+19</v>
      </c>
      <c r="B2114">
        <v>1030</v>
      </c>
      <c r="C2114">
        <v>1</v>
      </c>
      <c r="D2114">
        <v>3290</v>
      </c>
      <c r="E2114">
        <f t="shared" si="132"/>
        <v>2</v>
      </c>
      <c r="F2114">
        <f t="shared" si="133"/>
        <v>1</v>
      </c>
      <c r="G2114">
        <f t="shared" si="134"/>
        <v>3</v>
      </c>
      <c r="H2114">
        <f t="shared" si="135"/>
        <v>213</v>
      </c>
    </row>
    <row r="2115" spans="1:8" x14ac:dyDescent="0.55000000000000004">
      <c r="A2115" s="6">
        <v>1.8435387853663261E+19</v>
      </c>
      <c r="B2115">
        <v>267</v>
      </c>
      <c r="C2115">
        <v>1</v>
      </c>
      <c r="D2115">
        <v>5179</v>
      </c>
      <c r="E2115">
        <f t="shared" ref="E2115:E2117" si="136">VLOOKUP(B2115,$K$5:$L$9,2,1)</f>
        <v>5</v>
      </c>
      <c r="F2115">
        <f t="shared" ref="F2115:F2117" si="137">VLOOKUP(C2115,$K$15:$L$17,2,1)</f>
        <v>1</v>
      </c>
      <c r="G2115">
        <f t="shared" ref="G2115:G2117" si="138">VLOOKUP(D2115,$K$24:$L$26,2,1)</f>
        <v>3</v>
      </c>
      <c r="H2115">
        <f t="shared" ref="H2115:H2117" si="139">E2115*100+F2115*10+G2115</f>
        <v>513</v>
      </c>
    </row>
    <row r="2116" spans="1:8" x14ac:dyDescent="0.55000000000000004">
      <c r="A2116" s="6">
        <v>1.8440167898002801E+19</v>
      </c>
      <c r="B2116">
        <v>390</v>
      </c>
      <c r="C2116">
        <v>1</v>
      </c>
      <c r="D2116">
        <v>500</v>
      </c>
      <c r="E2116">
        <f t="shared" si="136"/>
        <v>4</v>
      </c>
      <c r="F2116">
        <f t="shared" si="137"/>
        <v>1</v>
      </c>
      <c r="G2116">
        <f t="shared" si="138"/>
        <v>1</v>
      </c>
      <c r="H2116">
        <f t="shared" si="139"/>
        <v>411</v>
      </c>
    </row>
    <row r="2117" spans="1:8" x14ac:dyDescent="0.55000000000000004">
      <c r="A2117" s="6">
        <v>1.8443997980654549E+19</v>
      </c>
      <c r="B2117">
        <v>318</v>
      </c>
      <c r="C2117">
        <v>1</v>
      </c>
      <c r="D2117">
        <v>3760</v>
      </c>
      <c r="E2117">
        <f t="shared" si="136"/>
        <v>4</v>
      </c>
      <c r="F2117">
        <f t="shared" si="137"/>
        <v>1</v>
      </c>
      <c r="G2117">
        <f t="shared" si="138"/>
        <v>3</v>
      </c>
      <c r="H2117">
        <f t="shared" si="139"/>
        <v>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0D12-2F4C-4E9A-B05F-16DB93D313B6}">
  <dimension ref="A1:Q2117"/>
  <sheetViews>
    <sheetView tabSelected="1" zoomScaleNormal="100" workbookViewId="0">
      <selection activeCell="A2" sqref="A2:XFD8"/>
    </sheetView>
  </sheetViews>
  <sheetFormatPr defaultRowHeight="14.4" x14ac:dyDescent="0.55000000000000004"/>
  <cols>
    <col min="1" max="1" width="13.68359375" customWidth="1"/>
    <col min="6" max="6" width="14.05078125" customWidth="1"/>
    <col min="9" max="9" width="14.41796875" customWidth="1"/>
    <col min="10" max="10" width="11.578125" customWidth="1"/>
    <col min="11" max="11" width="14.05078125" customWidth="1"/>
    <col min="17" max="17" width="15.734375" customWidth="1"/>
  </cols>
  <sheetData>
    <row r="1" spans="1:17" x14ac:dyDescent="0.55000000000000004">
      <c r="A1" s="1" t="s">
        <v>0</v>
      </c>
      <c r="B1" s="13" t="s">
        <v>1213</v>
      </c>
      <c r="C1" s="14" t="s">
        <v>1214</v>
      </c>
      <c r="D1" s="15" t="s">
        <v>1215</v>
      </c>
      <c r="E1" s="7" t="s">
        <v>1216</v>
      </c>
      <c r="F1" t="s">
        <v>1235</v>
      </c>
      <c r="L1" t="s">
        <v>1236</v>
      </c>
      <c r="P1" t="s">
        <v>1227</v>
      </c>
    </row>
    <row r="2" spans="1:17" ht="27" customHeight="1" x14ac:dyDescent="0.55000000000000004">
      <c r="A2" s="6">
        <v>2816901033034348</v>
      </c>
      <c r="B2">
        <v>2</v>
      </c>
      <c r="C2">
        <v>1</v>
      </c>
      <c r="D2">
        <v>1</v>
      </c>
      <c r="E2">
        <v>211</v>
      </c>
      <c r="F2" t="s">
        <v>1234</v>
      </c>
      <c r="I2" t="s">
        <v>1235</v>
      </c>
      <c r="L2">
        <v>3</v>
      </c>
      <c r="M2">
        <v>2</v>
      </c>
      <c r="N2">
        <v>1</v>
      </c>
      <c r="P2" s="16">
        <v>51</v>
      </c>
      <c r="Q2" s="16" t="s">
        <v>1228</v>
      </c>
    </row>
    <row r="3" spans="1:17" ht="27" customHeight="1" x14ac:dyDescent="0.55000000000000004">
      <c r="A3" s="6">
        <v>8764728508113736</v>
      </c>
      <c r="B3">
        <v>5</v>
      </c>
      <c r="C3">
        <v>1</v>
      </c>
      <c r="D3">
        <v>3</v>
      </c>
      <c r="E3">
        <v>513</v>
      </c>
      <c r="F3" t="s">
        <v>1228</v>
      </c>
      <c r="I3" t="s">
        <v>1234</v>
      </c>
      <c r="J3">
        <f>COUNTIF(F:F,I3)</f>
        <v>358</v>
      </c>
      <c r="L3" s="17">
        <f>COUNTIFS($F:$F,$I3,$D:$D,L$2)/$J3</f>
        <v>0.1787709497206704</v>
      </c>
      <c r="M3" s="17">
        <f t="shared" ref="M3:N8" si="0">COUNTIFS($F:$F,$I3,$D:$D,M$2)/$J3</f>
        <v>0.28770949720670391</v>
      </c>
      <c r="N3" s="17">
        <f t="shared" si="0"/>
        <v>0.53351955307262566</v>
      </c>
      <c r="P3" s="16">
        <v>52</v>
      </c>
      <c r="Q3" s="16" t="s">
        <v>1229</v>
      </c>
    </row>
    <row r="4" spans="1:17" ht="27" customHeight="1" x14ac:dyDescent="0.55000000000000004">
      <c r="A4" s="6">
        <v>2.675483009273758E+16</v>
      </c>
      <c r="B4">
        <v>3</v>
      </c>
      <c r="C4">
        <v>1</v>
      </c>
      <c r="D4">
        <v>1</v>
      </c>
      <c r="E4">
        <v>311</v>
      </c>
      <c r="F4" t="s">
        <v>1233</v>
      </c>
      <c r="I4" t="s">
        <v>1228</v>
      </c>
      <c r="J4">
        <f t="shared" ref="J4:J8" si="1">COUNTIF(F:F,I4)</f>
        <v>458</v>
      </c>
      <c r="L4" s="17">
        <f t="shared" ref="L4:L8" si="2">COUNTIFS($F:$F,$I4,$D:$D,L$2)/$J4</f>
        <v>0.28602620087336245</v>
      </c>
      <c r="M4" s="17">
        <f t="shared" si="0"/>
        <v>0.38427947598253276</v>
      </c>
      <c r="N4" s="17">
        <f t="shared" si="0"/>
        <v>0.3296943231441048</v>
      </c>
      <c r="P4" s="16">
        <v>42</v>
      </c>
      <c r="Q4" s="16" t="s">
        <v>1229</v>
      </c>
    </row>
    <row r="5" spans="1:17" ht="27" customHeight="1" x14ac:dyDescent="0.55000000000000004">
      <c r="A5" s="6">
        <v>4.159539491611084E+16</v>
      </c>
      <c r="B5">
        <v>4</v>
      </c>
      <c r="C5">
        <v>1</v>
      </c>
      <c r="D5">
        <v>1</v>
      </c>
      <c r="E5">
        <v>411</v>
      </c>
      <c r="F5" t="s">
        <v>1233</v>
      </c>
      <c r="I5" t="s">
        <v>1233</v>
      </c>
      <c r="J5">
        <f t="shared" si="1"/>
        <v>793</v>
      </c>
      <c r="L5" s="17">
        <f t="shared" si="2"/>
        <v>0.26229508196721313</v>
      </c>
      <c r="M5" s="17">
        <f t="shared" si="0"/>
        <v>0.33921815889029006</v>
      </c>
      <c r="N5" s="17">
        <f t="shared" si="0"/>
        <v>0.39848675914249687</v>
      </c>
      <c r="P5" s="16">
        <v>53</v>
      </c>
      <c r="Q5" s="16" t="s">
        <v>1230</v>
      </c>
    </row>
    <row r="6" spans="1:17" ht="27" customHeight="1" x14ac:dyDescent="0.55000000000000004">
      <c r="A6" s="6">
        <v>4.2908079193108336E+16</v>
      </c>
      <c r="B6">
        <v>3</v>
      </c>
      <c r="C6">
        <v>2</v>
      </c>
      <c r="D6">
        <v>2</v>
      </c>
      <c r="E6">
        <v>322</v>
      </c>
      <c r="F6" t="s">
        <v>1233</v>
      </c>
      <c r="I6" t="s">
        <v>1229</v>
      </c>
      <c r="J6">
        <f t="shared" si="1"/>
        <v>367</v>
      </c>
      <c r="L6" s="17">
        <f t="shared" si="2"/>
        <v>0.53133514986376018</v>
      </c>
      <c r="M6" s="17">
        <f t="shared" si="0"/>
        <v>0.35149863760217986</v>
      </c>
      <c r="N6" s="17">
        <f t="shared" si="0"/>
        <v>0.11716621253405994</v>
      </c>
      <c r="P6" s="16">
        <v>43</v>
      </c>
      <c r="Q6" s="16" t="s">
        <v>1230</v>
      </c>
    </row>
    <row r="7" spans="1:17" ht="27" customHeight="1" x14ac:dyDescent="0.55000000000000004">
      <c r="A7" s="6">
        <v>4.3439807576502672E+16</v>
      </c>
      <c r="B7">
        <v>5</v>
      </c>
      <c r="C7">
        <v>1</v>
      </c>
      <c r="D7">
        <v>3</v>
      </c>
      <c r="E7">
        <v>513</v>
      </c>
      <c r="F7" t="s">
        <v>1228</v>
      </c>
      <c r="I7" t="s">
        <v>1230</v>
      </c>
      <c r="J7">
        <f t="shared" si="1"/>
        <v>126</v>
      </c>
      <c r="L7" s="17">
        <f t="shared" si="2"/>
        <v>0.7857142857142857</v>
      </c>
      <c r="M7" s="17">
        <f t="shared" si="0"/>
        <v>0.1984126984126984</v>
      </c>
      <c r="N7" s="17">
        <f t="shared" si="0"/>
        <v>1.5873015873015872E-2</v>
      </c>
      <c r="P7" s="16">
        <v>33</v>
      </c>
      <c r="Q7" s="16" t="s">
        <v>1231</v>
      </c>
    </row>
    <row r="8" spans="1:17" ht="27" customHeight="1" x14ac:dyDescent="0.55000000000000004">
      <c r="A8" s="6">
        <v>6.2331944931402336E+16</v>
      </c>
      <c r="B8">
        <v>5</v>
      </c>
      <c r="C8">
        <v>2</v>
      </c>
      <c r="D8">
        <v>1</v>
      </c>
      <c r="E8">
        <v>521</v>
      </c>
      <c r="F8" t="s">
        <v>1229</v>
      </c>
      <c r="I8" t="s">
        <v>1231</v>
      </c>
      <c r="J8">
        <f t="shared" si="1"/>
        <v>14</v>
      </c>
      <c r="L8" s="17">
        <f t="shared" si="2"/>
        <v>0.6428571428571429</v>
      </c>
      <c r="M8" s="17">
        <f t="shared" si="0"/>
        <v>0.21428571428571427</v>
      </c>
      <c r="N8" s="17">
        <f t="shared" si="0"/>
        <v>0.14285714285714285</v>
      </c>
      <c r="P8" s="16">
        <v>23</v>
      </c>
      <c r="Q8" s="16" t="s">
        <v>1231</v>
      </c>
    </row>
    <row r="9" spans="1:17" x14ac:dyDescent="0.55000000000000004">
      <c r="A9" s="6">
        <v>7.1926447705133344E+16</v>
      </c>
      <c r="B9">
        <v>2</v>
      </c>
      <c r="C9">
        <v>1</v>
      </c>
      <c r="D9">
        <v>1</v>
      </c>
      <c r="E9">
        <v>211</v>
      </c>
      <c r="F9" t="s">
        <v>1234</v>
      </c>
      <c r="P9" s="16">
        <v>13</v>
      </c>
      <c r="Q9" s="16" t="s">
        <v>1232</v>
      </c>
    </row>
    <row r="10" spans="1:17" x14ac:dyDescent="0.55000000000000004">
      <c r="A10" s="6">
        <v>7.5960602852994256E+16</v>
      </c>
      <c r="B10">
        <v>5</v>
      </c>
      <c r="C10">
        <v>2</v>
      </c>
      <c r="D10">
        <v>2</v>
      </c>
      <c r="E10">
        <v>522</v>
      </c>
      <c r="F10" t="s">
        <v>1229</v>
      </c>
      <c r="P10" s="16">
        <v>41</v>
      </c>
      <c r="Q10" s="16" t="s">
        <v>1233</v>
      </c>
    </row>
    <row r="11" spans="1:17" x14ac:dyDescent="0.55000000000000004">
      <c r="A11" s="6">
        <v>7.658255809365472E+16</v>
      </c>
      <c r="B11">
        <v>3</v>
      </c>
      <c r="C11">
        <v>1</v>
      </c>
      <c r="D11">
        <v>1</v>
      </c>
      <c r="E11">
        <v>311</v>
      </c>
      <c r="F11" t="s">
        <v>1233</v>
      </c>
      <c r="P11" s="16">
        <v>31</v>
      </c>
      <c r="Q11" s="16" t="s">
        <v>1233</v>
      </c>
    </row>
    <row r="12" spans="1:17" x14ac:dyDescent="0.55000000000000004">
      <c r="A12" s="6">
        <v>7.7522488485274096E+16</v>
      </c>
      <c r="B12">
        <v>4</v>
      </c>
      <c r="C12">
        <v>2</v>
      </c>
      <c r="D12">
        <v>2</v>
      </c>
      <c r="E12">
        <v>422</v>
      </c>
      <c r="F12" t="s">
        <v>1229</v>
      </c>
      <c r="P12" s="16">
        <v>32</v>
      </c>
      <c r="Q12" s="16" t="s">
        <v>1233</v>
      </c>
    </row>
    <row r="13" spans="1:17" x14ac:dyDescent="0.55000000000000004">
      <c r="A13" s="6">
        <v>1.0133316379391859E+17</v>
      </c>
      <c r="B13">
        <v>4</v>
      </c>
      <c r="C13">
        <v>1</v>
      </c>
      <c r="D13">
        <v>3</v>
      </c>
      <c r="E13">
        <v>413</v>
      </c>
      <c r="F13" t="s">
        <v>1233</v>
      </c>
      <c r="P13" s="16">
        <v>21</v>
      </c>
      <c r="Q13" s="16" t="s">
        <v>1234</v>
      </c>
    </row>
    <row r="14" spans="1:17" x14ac:dyDescent="0.55000000000000004">
      <c r="A14" s="6">
        <v>1.050880082467677E+17</v>
      </c>
      <c r="B14">
        <v>2</v>
      </c>
      <c r="C14">
        <v>1</v>
      </c>
      <c r="D14">
        <v>3</v>
      </c>
      <c r="E14">
        <v>213</v>
      </c>
      <c r="F14" t="s">
        <v>1234</v>
      </c>
      <c r="P14" s="16">
        <v>22</v>
      </c>
      <c r="Q14" s="16" t="s">
        <v>1234</v>
      </c>
    </row>
    <row r="15" spans="1:17" x14ac:dyDescent="0.55000000000000004">
      <c r="A15" s="6">
        <v>1.125281831084453E+17</v>
      </c>
      <c r="B15">
        <v>2</v>
      </c>
      <c r="C15">
        <v>1</v>
      </c>
      <c r="D15">
        <v>1</v>
      </c>
      <c r="E15">
        <v>211</v>
      </c>
      <c r="F15" t="s">
        <v>1234</v>
      </c>
      <c r="P15" s="16">
        <v>11</v>
      </c>
      <c r="Q15" s="16" t="s">
        <v>1234</v>
      </c>
    </row>
    <row r="16" spans="1:17" x14ac:dyDescent="0.55000000000000004">
      <c r="A16" s="6">
        <v>1.179509387340972E+17</v>
      </c>
      <c r="B16">
        <v>4</v>
      </c>
      <c r="C16">
        <v>1</v>
      </c>
      <c r="D16">
        <v>2</v>
      </c>
      <c r="E16">
        <v>412</v>
      </c>
      <c r="F16" t="s">
        <v>1233</v>
      </c>
      <c r="P16" s="16">
        <v>12</v>
      </c>
      <c r="Q16" s="16" t="s">
        <v>1234</v>
      </c>
    </row>
    <row r="17" spans="1:6" x14ac:dyDescent="0.55000000000000004">
      <c r="A17" s="6">
        <v>1.205505894706743E+17</v>
      </c>
      <c r="B17">
        <v>4</v>
      </c>
      <c r="C17">
        <v>1</v>
      </c>
      <c r="D17">
        <v>2</v>
      </c>
      <c r="E17">
        <v>412</v>
      </c>
      <c r="F17" t="s">
        <v>1233</v>
      </c>
    </row>
    <row r="18" spans="1:6" x14ac:dyDescent="0.55000000000000004">
      <c r="A18" s="6">
        <v>1.262782042322577E+17</v>
      </c>
      <c r="B18">
        <v>5</v>
      </c>
      <c r="C18">
        <v>1</v>
      </c>
      <c r="D18">
        <v>2</v>
      </c>
      <c r="E18">
        <v>512</v>
      </c>
      <c r="F18" t="s">
        <v>1228</v>
      </c>
    </row>
    <row r="19" spans="1:6" x14ac:dyDescent="0.55000000000000004">
      <c r="A19" s="6">
        <v>1.508520758869896E+17</v>
      </c>
      <c r="B19">
        <v>5</v>
      </c>
      <c r="C19">
        <v>1</v>
      </c>
      <c r="D19">
        <v>1</v>
      </c>
      <c r="E19">
        <v>511</v>
      </c>
      <c r="F19" t="s">
        <v>1228</v>
      </c>
    </row>
    <row r="20" spans="1:6" x14ac:dyDescent="0.55000000000000004">
      <c r="A20" s="6">
        <v>1.5129134836081629E+17</v>
      </c>
      <c r="B20">
        <v>1</v>
      </c>
      <c r="C20">
        <v>1</v>
      </c>
      <c r="D20">
        <v>1</v>
      </c>
      <c r="E20">
        <v>111</v>
      </c>
      <c r="F20" t="s">
        <v>1234</v>
      </c>
    </row>
    <row r="21" spans="1:6" x14ac:dyDescent="0.55000000000000004">
      <c r="A21" s="6">
        <v>1.6006104658813891E+17</v>
      </c>
      <c r="B21">
        <v>5</v>
      </c>
      <c r="C21">
        <v>1</v>
      </c>
      <c r="D21">
        <v>2</v>
      </c>
      <c r="E21">
        <v>512</v>
      </c>
      <c r="F21" t="s">
        <v>1228</v>
      </c>
    </row>
    <row r="22" spans="1:6" x14ac:dyDescent="0.55000000000000004">
      <c r="A22" s="6">
        <v>1.7892811772394758E+17</v>
      </c>
      <c r="B22">
        <v>5</v>
      </c>
      <c r="C22">
        <v>2</v>
      </c>
      <c r="D22">
        <v>2</v>
      </c>
      <c r="E22">
        <v>522</v>
      </c>
      <c r="F22" t="s">
        <v>1229</v>
      </c>
    </row>
    <row r="23" spans="1:6" x14ac:dyDescent="0.55000000000000004">
      <c r="A23" s="6">
        <v>1.8435006646178829E+17</v>
      </c>
      <c r="B23">
        <v>5</v>
      </c>
      <c r="C23">
        <v>1</v>
      </c>
      <c r="D23">
        <v>3</v>
      </c>
      <c r="E23">
        <v>513</v>
      </c>
      <c r="F23" t="s">
        <v>1228</v>
      </c>
    </row>
    <row r="24" spans="1:6" x14ac:dyDescent="0.55000000000000004">
      <c r="A24" s="6">
        <v>1.844682043730959E+17</v>
      </c>
      <c r="B24">
        <v>1</v>
      </c>
      <c r="C24">
        <v>1</v>
      </c>
      <c r="D24">
        <v>1</v>
      </c>
      <c r="E24">
        <v>111</v>
      </c>
      <c r="F24" t="s">
        <v>1234</v>
      </c>
    </row>
    <row r="25" spans="1:6" x14ac:dyDescent="0.55000000000000004">
      <c r="A25" s="6">
        <v>1.991966278736863E+17</v>
      </c>
      <c r="B25">
        <v>5</v>
      </c>
      <c r="C25">
        <v>1</v>
      </c>
      <c r="D25">
        <v>2</v>
      </c>
      <c r="E25">
        <v>512</v>
      </c>
      <c r="F25" t="s">
        <v>1228</v>
      </c>
    </row>
    <row r="26" spans="1:6" x14ac:dyDescent="0.55000000000000004">
      <c r="A26" s="6">
        <v>2.0274978980772051E+17</v>
      </c>
      <c r="B26">
        <v>5</v>
      </c>
      <c r="C26">
        <v>1</v>
      </c>
      <c r="D26">
        <v>1</v>
      </c>
      <c r="E26">
        <v>511</v>
      </c>
      <c r="F26" t="s">
        <v>1228</v>
      </c>
    </row>
    <row r="27" spans="1:6" x14ac:dyDescent="0.55000000000000004">
      <c r="A27" s="6">
        <v>2.0614502803442918E+17</v>
      </c>
      <c r="B27">
        <v>5</v>
      </c>
      <c r="C27">
        <v>1</v>
      </c>
      <c r="D27">
        <v>1</v>
      </c>
      <c r="E27">
        <v>511</v>
      </c>
      <c r="F27" t="s">
        <v>1228</v>
      </c>
    </row>
    <row r="28" spans="1:6" x14ac:dyDescent="0.55000000000000004">
      <c r="A28" s="6">
        <v>2.1153047796426621E+17</v>
      </c>
      <c r="B28">
        <v>4</v>
      </c>
      <c r="C28">
        <v>1</v>
      </c>
      <c r="D28">
        <v>2</v>
      </c>
      <c r="E28">
        <v>412</v>
      </c>
      <c r="F28" t="s">
        <v>1233</v>
      </c>
    </row>
    <row r="29" spans="1:6" x14ac:dyDescent="0.55000000000000004">
      <c r="A29" s="6">
        <v>2.170703312628712E+17</v>
      </c>
      <c r="B29">
        <v>5</v>
      </c>
      <c r="C29">
        <v>1</v>
      </c>
      <c r="D29">
        <v>3</v>
      </c>
      <c r="E29">
        <v>513</v>
      </c>
      <c r="F29" t="s">
        <v>1228</v>
      </c>
    </row>
    <row r="30" spans="1:6" x14ac:dyDescent="0.55000000000000004">
      <c r="A30" s="6">
        <v>2.2735627226089562E+17</v>
      </c>
      <c r="B30">
        <v>1</v>
      </c>
      <c r="C30">
        <v>1</v>
      </c>
      <c r="D30">
        <v>1</v>
      </c>
      <c r="E30">
        <v>111</v>
      </c>
      <c r="F30" t="s">
        <v>1234</v>
      </c>
    </row>
    <row r="31" spans="1:6" x14ac:dyDescent="0.55000000000000004">
      <c r="A31" s="6">
        <v>2.510202513728401E+17</v>
      </c>
      <c r="B31">
        <v>5</v>
      </c>
      <c r="C31">
        <v>2</v>
      </c>
      <c r="D31">
        <v>2</v>
      </c>
      <c r="E31">
        <v>522</v>
      </c>
      <c r="F31" t="s">
        <v>1229</v>
      </c>
    </row>
    <row r="32" spans="1:6" x14ac:dyDescent="0.55000000000000004">
      <c r="A32" s="6">
        <v>2.5539692136129722E+17</v>
      </c>
      <c r="B32">
        <v>4</v>
      </c>
      <c r="C32">
        <v>3</v>
      </c>
      <c r="D32">
        <v>3</v>
      </c>
      <c r="E32">
        <v>433</v>
      </c>
      <c r="F32" t="s">
        <v>1230</v>
      </c>
    </row>
    <row r="33" spans="1:6" x14ac:dyDescent="0.55000000000000004">
      <c r="A33" s="6">
        <v>2.558736456745999E+17</v>
      </c>
      <c r="B33">
        <v>4</v>
      </c>
      <c r="C33">
        <v>2</v>
      </c>
      <c r="D33">
        <v>3</v>
      </c>
      <c r="E33">
        <v>423</v>
      </c>
      <c r="F33" t="s">
        <v>1229</v>
      </c>
    </row>
    <row r="34" spans="1:6" x14ac:dyDescent="0.55000000000000004">
      <c r="A34" s="6">
        <v>2.6284022932710202E+17</v>
      </c>
      <c r="B34">
        <v>4</v>
      </c>
      <c r="C34">
        <v>2</v>
      </c>
      <c r="D34">
        <v>1</v>
      </c>
      <c r="E34">
        <v>421</v>
      </c>
      <c r="F34" t="s">
        <v>1229</v>
      </c>
    </row>
    <row r="35" spans="1:6" x14ac:dyDescent="0.55000000000000004">
      <c r="A35" s="6">
        <v>2.6730237118069891E+17</v>
      </c>
      <c r="B35">
        <v>5</v>
      </c>
      <c r="C35">
        <v>2</v>
      </c>
      <c r="D35">
        <v>2</v>
      </c>
      <c r="E35">
        <v>522</v>
      </c>
      <c r="F35" t="s">
        <v>1229</v>
      </c>
    </row>
    <row r="36" spans="1:6" x14ac:dyDescent="0.55000000000000004">
      <c r="A36" s="6">
        <v>2.7912441794673299E+17</v>
      </c>
      <c r="B36">
        <v>5</v>
      </c>
      <c r="C36">
        <v>1</v>
      </c>
      <c r="D36">
        <v>2</v>
      </c>
      <c r="E36">
        <v>512</v>
      </c>
      <c r="F36" t="s">
        <v>1228</v>
      </c>
    </row>
    <row r="37" spans="1:6" x14ac:dyDescent="0.55000000000000004">
      <c r="A37" s="6">
        <v>3.0216912176067718E+17</v>
      </c>
      <c r="B37">
        <v>5</v>
      </c>
      <c r="C37">
        <v>1</v>
      </c>
      <c r="D37">
        <v>1</v>
      </c>
      <c r="E37">
        <v>511</v>
      </c>
      <c r="F37" t="s">
        <v>1228</v>
      </c>
    </row>
    <row r="38" spans="1:6" x14ac:dyDescent="0.55000000000000004">
      <c r="A38" s="6">
        <v>3.0310206824360947E+17</v>
      </c>
      <c r="B38">
        <v>5</v>
      </c>
      <c r="C38">
        <v>3</v>
      </c>
      <c r="D38">
        <v>3</v>
      </c>
      <c r="E38">
        <v>533</v>
      </c>
      <c r="F38" t="s">
        <v>1230</v>
      </c>
    </row>
    <row r="39" spans="1:6" x14ac:dyDescent="0.55000000000000004">
      <c r="A39" s="6">
        <v>3.1122270540513478E+17</v>
      </c>
      <c r="B39">
        <v>5</v>
      </c>
      <c r="C39">
        <v>1</v>
      </c>
      <c r="D39">
        <v>1</v>
      </c>
      <c r="E39">
        <v>511</v>
      </c>
      <c r="F39" t="s">
        <v>1228</v>
      </c>
    </row>
    <row r="40" spans="1:6" x14ac:dyDescent="0.55000000000000004">
      <c r="A40" s="6">
        <v>3.3239069988387597E+17</v>
      </c>
      <c r="B40">
        <v>3</v>
      </c>
      <c r="C40">
        <v>2</v>
      </c>
      <c r="D40">
        <v>3</v>
      </c>
      <c r="E40">
        <v>323</v>
      </c>
      <c r="F40" t="s">
        <v>1233</v>
      </c>
    </row>
    <row r="41" spans="1:6" x14ac:dyDescent="0.55000000000000004">
      <c r="A41" s="6">
        <v>3.3761717883426061E+17</v>
      </c>
      <c r="B41">
        <v>2</v>
      </c>
      <c r="C41">
        <v>1</v>
      </c>
      <c r="D41">
        <v>1</v>
      </c>
      <c r="E41">
        <v>211</v>
      </c>
      <c r="F41" t="s">
        <v>1234</v>
      </c>
    </row>
    <row r="42" spans="1:6" x14ac:dyDescent="0.55000000000000004">
      <c r="A42" s="6">
        <v>3.496079894106553E+17</v>
      </c>
      <c r="B42">
        <v>3</v>
      </c>
      <c r="C42">
        <v>1</v>
      </c>
      <c r="D42">
        <v>2</v>
      </c>
      <c r="E42">
        <v>312</v>
      </c>
      <c r="F42" t="s">
        <v>1233</v>
      </c>
    </row>
    <row r="43" spans="1:6" x14ac:dyDescent="0.55000000000000004">
      <c r="A43" s="6">
        <v>3.599136762635753E+17</v>
      </c>
      <c r="B43">
        <v>4</v>
      </c>
      <c r="C43">
        <v>1</v>
      </c>
      <c r="D43">
        <v>3</v>
      </c>
      <c r="E43">
        <v>413</v>
      </c>
      <c r="F43" t="s">
        <v>1233</v>
      </c>
    </row>
    <row r="44" spans="1:6" x14ac:dyDescent="0.55000000000000004">
      <c r="A44" s="6">
        <v>3.6529955794416147E+17</v>
      </c>
      <c r="B44">
        <v>4</v>
      </c>
      <c r="C44">
        <v>1</v>
      </c>
      <c r="D44">
        <v>2</v>
      </c>
      <c r="E44">
        <v>412</v>
      </c>
      <c r="F44" t="s">
        <v>1233</v>
      </c>
    </row>
    <row r="45" spans="1:6" x14ac:dyDescent="0.55000000000000004">
      <c r="A45" s="6">
        <v>3.7695374929120262E+17</v>
      </c>
      <c r="B45">
        <v>2</v>
      </c>
      <c r="C45">
        <v>1</v>
      </c>
      <c r="D45">
        <v>2</v>
      </c>
      <c r="E45">
        <v>212</v>
      </c>
      <c r="F45" t="s">
        <v>1234</v>
      </c>
    </row>
    <row r="46" spans="1:6" x14ac:dyDescent="0.55000000000000004">
      <c r="A46" s="6">
        <v>4.0056088428659872E+17</v>
      </c>
      <c r="B46">
        <v>5</v>
      </c>
      <c r="C46">
        <v>1</v>
      </c>
      <c r="D46">
        <v>1</v>
      </c>
      <c r="E46">
        <v>511</v>
      </c>
      <c r="F46" t="s">
        <v>1228</v>
      </c>
    </row>
    <row r="47" spans="1:6" x14ac:dyDescent="0.55000000000000004">
      <c r="A47" s="6">
        <v>4.0567490631498502E+17</v>
      </c>
      <c r="B47">
        <v>2</v>
      </c>
      <c r="C47">
        <v>1</v>
      </c>
      <c r="D47">
        <v>1</v>
      </c>
      <c r="E47">
        <v>211</v>
      </c>
      <c r="F47" t="s">
        <v>1234</v>
      </c>
    </row>
    <row r="48" spans="1:6" x14ac:dyDescent="0.55000000000000004">
      <c r="A48" s="6">
        <v>4.2128249009435482E+17</v>
      </c>
      <c r="B48">
        <v>5</v>
      </c>
      <c r="C48">
        <v>1</v>
      </c>
      <c r="D48">
        <v>2</v>
      </c>
      <c r="E48">
        <v>512</v>
      </c>
      <c r="F48" t="s">
        <v>1228</v>
      </c>
    </row>
    <row r="49" spans="1:6" x14ac:dyDescent="0.55000000000000004">
      <c r="A49" s="6">
        <v>4.2232134497167789E+17</v>
      </c>
      <c r="B49">
        <v>3</v>
      </c>
      <c r="C49">
        <v>2</v>
      </c>
      <c r="D49">
        <v>3</v>
      </c>
      <c r="E49">
        <v>323</v>
      </c>
      <c r="F49" t="s">
        <v>1233</v>
      </c>
    </row>
    <row r="50" spans="1:6" x14ac:dyDescent="0.55000000000000004">
      <c r="A50" s="6">
        <v>4.2674102297674528E+17</v>
      </c>
      <c r="B50">
        <v>5</v>
      </c>
      <c r="C50">
        <v>2</v>
      </c>
      <c r="D50">
        <v>1</v>
      </c>
      <c r="E50">
        <v>521</v>
      </c>
      <c r="F50" t="s">
        <v>1229</v>
      </c>
    </row>
    <row r="51" spans="1:6" x14ac:dyDescent="0.55000000000000004">
      <c r="A51" s="6">
        <v>4.3485892790521062E+17</v>
      </c>
      <c r="B51">
        <v>3</v>
      </c>
      <c r="C51">
        <v>1</v>
      </c>
      <c r="D51">
        <v>2</v>
      </c>
      <c r="E51">
        <v>312</v>
      </c>
      <c r="F51" t="s">
        <v>1233</v>
      </c>
    </row>
    <row r="52" spans="1:6" x14ac:dyDescent="0.55000000000000004">
      <c r="A52" s="6">
        <v>4.6013205350899379E+17</v>
      </c>
      <c r="B52">
        <v>5</v>
      </c>
      <c r="C52">
        <v>1</v>
      </c>
      <c r="D52">
        <v>2</v>
      </c>
      <c r="E52">
        <v>512</v>
      </c>
      <c r="F52" t="s">
        <v>1228</v>
      </c>
    </row>
    <row r="53" spans="1:6" x14ac:dyDescent="0.55000000000000004">
      <c r="A53" s="6">
        <v>4.7412492185996429E+17</v>
      </c>
      <c r="B53">
        <v>5</v>
      </c>
      <c r="C53">
        <v>3</v>
      </c>
      <c r="D53">
        <v>3</v>
      </c>
      <c r="E53">
        <v>533</v>
      </c>
      <c r="F53" t="s">
        <v>1230</v>
      </c>
    </row>
    <row r="54" spans="1:6" x14ac:dyDescent="0.55000000000000004">
      <c r="A54" s="6">
        <v>4.8461358195959821E+17</v>
      </c>
      <c r="B54">
        <v>5</v>
      </c>
      <c r="C54">
        <v>2</v>
      </c>
      <c r="D54">
        <v>3</v>
      </c>
      <c r="E54">
        <v>523</v>
      </c>
      <c r="F54" t="s">
        <v>1229</v>
      </c>
    </row>
    <row r="55" spans="1:6" x14ac:dyDescent="0.55000000000000004">
      <c r="A55" s="6">
        <v>4.9488081381740602E+17</v>
      </c>
      <c r="B55">
        <v>5</v>
      </c>
      <c r="C55">
        <v>1</v>
      </c>
      <c r="D55">
        <v>1</v>
      </c>
      <c r="E55">
        <v>511</v>
      </c>
      <c r="F55" t="s">
        <v>1228</v>
      </c>
    </row>
    <row r="56" spans="1:6" x14ac:dyDescent="0.55000000000000004">
      <c r="A56" s="6">
        <v>5.0554200549703558E+17</v>
      </c>
      <c r="B56">
        <v>5</v>
      </c>
      <c r="C56">
        <v>1</v>
      </c>
      <c r="D56">
        <v>3</v>
      </c>
      <c r="E56">
        <v>513</v>
      </c>
      <c r="F56" t="s">
        <v>1228</v>
      </c>
    </row>
    <row r="57" spans="1:6" x14ac:dyDescent="0.55000000000000004">
      <c r="A57" s="6">
        <v>5.101889176606089E+17</v>
      </c>
      <c r="B57">
        <v>5</v>
      </c>
      <c r="C57">
        <v>2</v>
      </c>
      <c r="D57">
        <v>3</v>
      </c>
      <c r="E57">
        <v>523</v>
      </c>
      <c r="F57" t="s">
        <v>1229</v>
      </c>
    </row>
    <row r="58" spans="1:6" x14ac:dyDescent="0.55000000000000004">
      <c r="A58" s="6">
        <v>5.1490237090920947E+17</v>
      </c>
      <c r="B58">
        <v>4</v>
      </c>
      <c r="C58">
        <v>3</v>
      </c>
      <c r="D58">
        <v>3</v>
      </c>
      <c r="E58">
        <v>433</v>
      </c>
      <c r="F58" t="s">
        <v>1230</v>
      </c>
    </row>
    <row r="59" spans="1:6" x14ac:dyDescent="0.55000000000000004">
      <c r="A59" s="6">
        <v>5.2033099489170362E+17</v>
      </c>
      <c r="B59">
        <v>5</v>
      </c>
      <c r="C59">
        <v>1</v>
      </c>
      <c r="D59">
        <v>3</v>
      </c>
      <c r="E59">
        <v>513</v>
      </c>
      <c r="F59" t="s">
        <v>1228</v>
      </c>
    </row>
    <row r="60" spans="1:6" x14ac:dyDescent="0.55000000000000004">
      <c r="A60" s="6">
        <v>5.2409836785042022E+17</v>
      </c>
      <c r="B60">
        <v>5</v>
      </c>
      <c r="C60">
        <v>1</v>
      </c>
      <c r="D60">
        <v>3</v>
      </c>
      <c r="E60">
        <v>513</v>
      </c>
      <c r="F60" t="s">
        <v>1228</v>
      </c>
    </row>
    <row r="61" spans="1:6" x14ac:dyDescent="0.55000000000000004">
      <c r="A61" s="6">
        <v>5.2888979487340147E+17</v>
      </c>
      <c r="B61">
        <v>5</v>
      </c>
      <c r="C61">
        <v>2</v>
      </c>
      <c r="D61">
        <v>3</v>
      </c>
      <c r="E61">
        <v>523</v>
      </c>
      <c r="F61" t="s">
        <v>1229</v>
      </c>
    </row>
    <row r="62" spans="1:6" x14ac:dyDescent="0.55000000000000004">
      <c r="A62" s="6">
        <v>5.4414353538628083E+17</v>
      </c>
      <c r="B62">
        <v>5</v>
      </c>
      <c r="C62">
        <v>1</v>
      </c>
      <c r="D62">
        <v>3</v>
      </c>
      <c r="E62">
        <v>513</v>
      </c>
      <c r="F62" t="s">
        <v>1228</v>
      </c>
    </row>
    <row r="63" spans="1:6" x14ac:dyDescent="0.55000000000000004">
      <c r="A63" s="6">
        <v>5.718961874495673E+17</v>
      </c>
      <c r="B63">
        <v>5</v>
      </c>
      <c r="C63">
        <v>3</v>
      </c>
      <c r="D63">
        <v>3</v>
      </c>
      <c r="E63">
        <v>533</v>
      </c>
      <c r="F63" t="s">
        <v>1230</v>
      </c>
    </row>
    <row r="64" spans="1:6" x14ac:dyDescent="0.55000000000000004">
      <c r="A64" s="6">
        <v>5.7242372799877747E+17</v>
      </c>
      <c r="B64">
        <v>5</v>
      </c>
      <c r="C64">
        <v>1</v>
      </c>
      <c r="D64">
        <v>3</v>
      </c>
      <c r="E64">
        <v>513</v>
      </c>
      <c r="F64" t="s">
        <v>1228</v>
      </c>
    </row>
    <row r="65" spans="1:6" x14ac:dyDescent="0.55000000000000004">
      <c r="A65" s="6">
        <v>5.7520093369095059E+17</v>
      </c>
      <c r="B65">
        <v>4</v>
      </c>
      <c r="C65">
        <v>1</v>
      </c>
      <c r="D65">
        <v>1</v>
      </c>
      <c r="E65">
        <v>411</v>
      </c>
      <c r="F65" t="s">
        <v>1233</v>
      </c>
    </row>
    <row r="66" spans="1:6" x14ac:dyDescent="0.55000000000000004">
      <c r="A66" s="6">
        <v>5.8332898819975539E+17</v>
      </c>
      <c r="B66">
        <v>5</v>
      </c>
      <c r="C66">
        <v>1</v>
      </c>
      <c r="D66">
        <v>1</v>
      </c>
      <c r="E66">
        <v>511</v>
      </c>
      <c r="F66" t="s">
        <v>1228</v>
      </c>
    </row>
    <row r="67" spans="1:6" x14ac:dyDescent="0.55000000000000004">
      <c r="A67" s="6">
        <v>5.8347292509330957E+17</v>
      </c>
      <c r="B67">
        <v>3</v>
      </c>
      <c r="C67">
        <v>1</v>
      </c>
      <c r="D67">
        <v>2</v>
      </c>
      <c r="E67">
        <v>312</v>
      </c>
      <c r="F67" t="s">
        <v>1233</v>
      </c>
    </row>
    <row r="68" spans="1:6" x14ac:dyDescent="0.55000000000000004">
      <c r="A68" s="6">
        <v>5.9528414625950733E+17</v>
      </c>
      <c r="B68">
        <v>3</v>
      </c>
      <c r="C68">
        <v>1</v>
      </c>
      <c r="D68">
        <v>3</v>
      </c>
      <c r="E68">
        <v>313</v>
      </c>
      <c r="F68" t="s">
        <v>1233</v>
      </c>
    </row>
    <row r="69" spans="1:6" x14ac:dyDescent="0.55000000000000004">
      <c r="A69" s="6">
        <v>6.4384708484770816E+17</v>
      </c>
      <c r="B69">
        <v>4</v>
      </c>
      <c r="C69">
        <v>2</v>
      </c>
      <c r="D69">
        <v>2</v>
      </c>
      <c r="E69">
        <v>422</v>
      </c>
      <c r="F69" t="s">
        <v>1229</v>
      </c>
    </row>
    <row r="70" spans="1:6" x14ac:dyDescent="0.55000000000000004">
      <c r="A70" s="6">
        <v>6.5042221589072218E+17</v>
      </c>
      <c r="B70">
        <v>4</v>
      </c>
      <c r="C70">
        <v>1</v>
      </c>
      <c r="D70">
        <v>2</v>
      </c>
      <c r="E70">
        <v>412</v>
      </c>
      <c r="F70" t="s">
        <v>1233</v>
      </c>
    </row>
    <row r="71" spans="1:6" x14ac:dyDescent="0.55000000000000004">
      <c r="A71" s="6">
        <v>6.5094737371796442E+17</v>
      </c>
      <c r="B71">
        <v>2</v>
      </c>
      <c r="C71">
        <v>1</v>
      </c>
      <c r="D71">
        <v>1</v>
      </c>
      <c r="E71">
        <v>211</v>
      </c>
      <c r="F71" t="s">
        <v>1234</v>
      </c>
    </row>
    <row r="72" spans="1:6" x14ac:dyDescent="0.55000000000000004">
      <c r="A72" s="6">
        <v>6.5503717846688806E+17</v>
      </c>
      <c r="B72">
        <v>3</v>
      </c>
      <c r="C72">
        <v>1</v>
      </c>
      <c r="D72">
        <v>1</v>
      </c>
      <c r="E72">
        <v>311</v>
      </c>
      <c r="F72" t="s">
        <v>1233</v>
      </c>
    </row>
    <row r="73" spans="1:6" x14ac:dyDescent="0.55000000000000004">
      <c r="A73" s="6">
        <v>6.6437018081170381E+17</v>
      </c>
      <c r="B73">
        <v>4</v>
      </c>
      <c r="C73">
        <v>3</v>
      </c>
      <c r="D73">
        <v>3</v>
      </c>
      <c r="E73">
        <v>433</v>
      </c>
      <c r="F73" t="s">
        <v>1230</v>
      </c>
    </row>
    <row r="74" spans="1:6" x14ac:dyDescent="0.55000000000000004">
      <c r="A74" s="6">
        <v>6.7143940165693606E+17</v>
      </c>
      <c r="B74">
        <v>3</v>
      </c>
      <c r="C74">
        <v>1</v>
      </c>
      <c r="D74">
        <v>2</v>
      </c>
      <c r="E74">
        <v>312</v>
      </c>
      <c r="F74" t="s">
        <v>1233</v>
      </c>
    </row>
    <row r="75" spans="1:6" x14ac:dyDescent="0.55000000000000004">
      <c r="A75" s="6">
        <v>6.9147518516432422E+17</v>
      </c>
      <c r="B75">
        <v>5</v>
      </c>
      <c r="C75">
        <v>3</v>
      </c>
      <c r="D75">
        <v>3</v>
      </c>
      <c r="E75">
        <v>533</v>
      </c>
      <c r="F75" t="s">
        <v>1230</v>
      </c>
    </row>
    <row r="76" spans="1:6" x14ac:dyDescent="0.55000000000000004">
      <c r="A76" s="6">
        <v>6.9217811551564902E+17</v>
      </c>
      <c r="B76">
        <v>2</v>
      </c>
      <c r="C76">
        <v>1</v>
      </c>
      <c r="D76">
        <v>1</v>
      </c>
      <c r="E76">
        <v>211</v>
      </c>
      <c r="F76" t="s">
        <v>1234</v>
      </c>
    </row>
    <row r="77" spans="1:6" x14ac:dyDescent="0.55000000000000004">
      <c r="A77" s="6">
        <v>7.0215235198250227E+17</v>
      </c>
      <c r="B77">
        <v>4</v>
      </c>
      <c r="C77">
        <v>1</v>
      </c>
      <c r="D77">
        <v>3</v>
      </c>
      <c r="E77">
        <v>413</v>
      </c>
      <c r="F77" t="s">
        <v>1233</v>
      </c>
    </row>
    <row r="78" spans="1:6" x14ac:dyDescent="0.55000000000000004">
      <c r="A78" s="6">
        <v>7.0551409579902822E+17</v>
      </c>
      <c r="B78">
        <v>5</v>
      </c>
      <c r="C78">
        <v>1</v>
      </c>
      <c r="D78">
        <v>2</v>
      </c>
      <c r="E78">
        <v>512</v>
      </c>
      <c r="F78" t="s">
        <v>1228</v>
      </c>
    </row>
    <row r="79" spans="1:6" x14ac:dyDescent="0.55000000000000004">
      <c r="A79" s="6">
        <v>7.1131906820418394E+17</v>
      </c>
      <c r="B79">
        <v>5</v>
      </c>
      <c r="C79">
        <v>2</v>
      </c>
      <c r="D79">
        <v>3</v>
      </c>
      <c r="E79">
        <v>523</v>
      </c>
      <c r="F79" t="s">
        <v>1229</v>
      </c>
    </row>
    <row r="80" spans="1:6" x14ac:dyDescent="0.55000000000000004">
      <c r="A80" s="6">
        <v>7.4680932947525184E+17</v>
      </c>
      <c r="B80">
        <v>5</v>
      </c>
      <c r="C80">
        <v>2</v>
      </c>
      <c r="D80">
        <v>3</v>
      </c>
      <c r="E80">
        <v>523</v>
      </c>
      <c r="F80" t="s">
        <v>1229</v>
      </c>
    </row>
    <row r="81" spans="1:6" x14ac:dyDescent="0.55000000000000004">
      <c r="A81" s="6">
        <v>7.7097380129693888E+17</v>
      </c>
      <c r="B81">
        <v>4</v>
      </c>
      <c r="C81">
        <v>1</v>
      </c>
      <c r="D81">
        <v>3</v>
      </c>
      <c r="E81">
        <v>413</v>
      </c>
      <c r="F81" t="s">
        <v>1233</v>
      </c>
    </row>
    <row r="82" spans="1:6" x14ac:dyDescent="0.55000000000000004">
      <c r="A82" s="6">
        <v>7.7222975608200474E+17</v>
      </c>
      <c r="B82">
        <v>2</v>
      </c>
      <c r="C82">
        <v>1</v>
      </c>
      <c r="D82">
        <v>1</v>
      </c>
      <c r="E82">
        <v>211</v>
      </c>
      <c r="F82" t="s">
        <v>1234</v>
      </c>
    </row>
    <row r="83" spans="1:6" x14ac:dyDescent="0.55000000000000004">
      <c r="A83" s="6">
        <v>7.7311230077990822E+17</v>
      </c>
      <c r="B83">
        <v>5</v>
      </c>
      <c r="C83">
        <v>3</v>
      </c>
      <c r="D83">
        <v>3</v>
      </c>
      <c r="E83">
        <v>533</v>
      </c>
      <c r="F83" t="s">
        <v>1230</v>
      </c>
    </row>
    <row r="84" spans="1:6" x14ac:dyDescent="0.55000000000000004">
      <c r="A84" s="6">
        <v>7.7545241007708902E+17</v>
      </c>
      <c r="B84">
        <v>4</v>
      </c>
      <c r="C84">
        <v>3</v>
      </c>
      <c r="D84">
        <v>2</v>
      </c>
      <c r="E84">
        <v>432</v>
      </c>
      <c r="F84" t="s">
        <v>1230</v>
      </c>
    </row>
    <row r="85" spans="1:6" x14ac:dyDescent="0.55000000000000004">
      <c r="A85" s="6">
        <v>7.8213919786076019E+17</v>
      </c>
      <c r="B85">
        <v>5</v>
      </c>
      <c r="C85">
        <v>1</v>
      </c>
      <c r="D85">
        <v>1</v>
      </c>
      <c r="E85">
        <v>511</v>
      </c>
      <c r="F85" t="s">
        <v>1228</v>
      </c>
    </row>
    <row r="86" spans="1:6" x14ac:dyDescent="0.55000000000000004">
      <c r="A86" s="6">
        <v>7.8620508395246733E+17</v>
      </c>
      <c r="B86">
        <v>1</v>
      </c>
      <c r="C86">
        <v>2</v>
      </c>
      <c r="D86">
        <v>3</v>
      </c>
      <c r="E86">
        <v>123</v>
      </c>
      <c r="F86" t="s">
        <v>1234</v>
      </c>
    </row>
    <row r="87" spans="1:6" x14ac:dyDescent="0.55000000000000004">
      <c r="A87" s="6">
        <v>8.0436897055711142E+17</v>
      </c>
      <c r="B87">
        <v>5</v>
      </c>
      <c r="C87">
        <v>2</v>
      </c>
      <c r="D87">
        <v>2</v>
      </c>
      <c r="E87">
        <v>522</v>
      </c>
      <c r="F87" t="s">
        <v>1229</v>
      </c>
    </row>
    <row r="88" spans="1:6" x14ac:dyDescent="0.55000000000000004">
      <c r="A88" s="6">
        <v>8.0907281256138419E+17</v>
      </c>
      <c r="B88">
        <v>3</v>
      </c>
      <c r="C88">
        <v>1</v>
      </c>
      <c r="D88">
        <v>3</v>
      </c>
      <c r="E88">
        <v>313</v>
      </c>
      <c r="F88" t="s">
        <v>1233</v>
      </c>
    </row>
    <row r="89" spans="1:6" x14ac:dyDescent="0.55000000000000004">
      <c r="A89" s="6">
        <v>8.2096220943901811E+17</v>
      </c>
      <c r="B89">
        <v>4</v>
      </c>
      <c r="C89">
        <v>1</v>
      </c>
      <c r="D89">
        <v>3</v>
      </c>
      <c r="E89">
        <v>413</v>
      </c>
      <c r="F89" t="s">
        <v>1233</v>
      </c>
    </row>
    <row r="90" spans="1:6" x14ac:dyDescent="0.55000000000000004">
      <c r="A90" s="6">
        <v>8.466503340618112E+17</v>
      </c>
      <c r="B90">
        <v>3</v>
      </c>
      <c r="C90">
        <v>2</v>
      </c>
      <c r="D90">
        <v>2</v>
      </c>
      <c r="E90">
        <v>322</v>
      </c>
      <c r="F90" t="s">
        <v>1233</v>
      </c>
    </row>
    <row r="91" spans="1:6" x14ac:dyDescent="0.55000000000000004">
      <c r="A91" s="6">
        <v>8.5783702206405376E+17</v>
      </c>
      <c r="B91">
        <v>1</v>
      </c>
      <c r="C91">
        <v>2</v>
      </c>
      <c r="D91">
        <v>1</v>
      </c>
      <c r="E91">
        <v>121</v>
      </c>
      <c r="F91" t="s">
        <v>1234</v>
      </c>
    </row>
    <row r="92" spans="1:6" x14ac:dyDescent="0.55000000000000004">
      <c r="A92" s="6">
        <v>8.8108714399872422E+17</v>
      </c>
      <c r="B92">
        <v>1</v>
      </c>
      <c r="C92">
        <v>1</v>
      </c>
      <c r="D92">
        <v>1</v>
      </c>
      <c r="E92">
        <v>111</v>
      </c>
      <c r="F92" t="s">
        <v>1234</v>
      </c>
    </row>
    <row r="93" spans="1:6" x14ac:dyDescent="0.55000000000000004">
      <c r="A93" s="6">
        <v>8.8511970587505523E+17</v>
      </c>
      <c r="B93">
        <v>2</v>
      </c>
      <c r="C93">
        <v>1</v>
      </c>
      <c r="D93">
        <v>3</v>
      </c>
      <c r="E93">
        <v>213</v>
      </c>
      <c r="F93" t="s">
        <v>1234</v>
      </c>
    </row>
    <row r="94" spans="1:6" x14ac:dyDescent="0.55000000000000004">
      <c r="A94" s="6">
        <v>8.8780906955512128E+17</v>
      </c>
      <c r="B94">
        <v>4</v>
      </c>
      <c r="C94">
        <v>1</v>
      </c>
      <c r="D94">
        <v>2</v>
      </c>
      <c r="E94">
        <v>412</v>
      </c>
      <c r="F94" t="s">
        <v>1233</v>
      </c>
    </row>
    <row r="95" spans="1:6" x14ac:dyDescent="0.55000000000000004">
      <c r="A95" s="6">
        <v>8.9076997654689088E+17</v>
      </c>
      <c r="B95">
        <v>4</v>
      </c>
      <c r="C95">
        <v>2</v>
      </c>
      <c r="D95">
        <v>3</v>
      </c>
      <c r="E95">
        <v>423</v>
      </c>
      <c r="F95" t="s">
        <v>1229</v>
      </c>
    </row>
    <row r="96" spans="1:6" x14ac:dyDescent="0.55000000000000004">
      <c r="A96" s="6">
        <v>8.9188782512294784E+17</v>
      </c>
      <c r="B96">
        <v>5</v>
      </c>
      <c r="C96">
        <v>3</v>
      </c>
      <c r="D96">
        <v>2</v>
      </c>
      <c r="E96">
        <v>532</v>
      </c>
      <c r="F96" t="s">
        <v>1230</v>
      </c>
    </row>
    <row r="97" spans="1:6" x14ac:dyDescent="0.55000000000000004">
      <c r="A97" s="6">
        <v>8.9323290244367526E+17</v>
      </c>
      <c r="B97">
        <v>4</v>
      </c>
      <c r="C97">
        <v>3</v>
      </c>
      <c r="D97">
        <v>3</v>
      </c>
      <c r="E97">
        <v>433</v>
      </c>
      <c r="F97" t="s">
        <v>1230</v>
      </c>
    </row>
    <row r="98" spans="1:6" x14ac:dyDescent="0.55000000000000004">
      <c r="A98" s="6">
        <v>9.0032645547577498E+17</v>
      </c>
      <c r="B98">
        <v>5</v>
      </c>
      <c r="C98">
        <v>2</v>
      </c>
      <c r="D98">
        <v>2</v>
      </c>
      <c r="E98">
        <v>522</v>
      </c>
      <c r="F98" t="s">
        <v>1229</v>
      </c>
    </row>
    <row r="99" spans="1:6" x14ac:dyDescent="0.55000000000000004">
      <c r="A99" s="6">
        <v>9.4126919788709043E+17</v>
      </c>
      <c r="B99">
        <v>2</v>
      </c>
      <c r="C99">
        <v>1</v>
      </c>
      <c r="D99">
        <v>1</v>
      </c>
      <c r="E99">
        <v>211</v>
      </c>
      <c r="F99" t="s">
        <v>1234</v>
      </c>
    </row>
    <row r="100" spans="1:6" x14ac:dyDescent="0.55000000000000004">
      <c r="A100" s="6">
        <v>9.5319592315029478E+17</v>
      </c>
      <c r="B100">
        <v>5</v>
      </c>
      <c r="C100">
        <v>3</v>
      </c>
      <c r="D100">
        <v>3</v>
      </c>
      <c r="E100">
        <v>533</v>
      </c>
      <c r="F100" t="s">
        <v>1230</v>
      </c>
    </row>
    <row r="101" spans="1:6" x14ac:dyDescent="0.55000000000000004">
      <c r="A101" s="6">
        <v>9.6473097955478285E+17</v>
      </c>
      <c r="B101">
        <v>5</v>
      </c>
      <c r="C101">
        <v>2</v>
      </c>
      <c r="D101">
        <v>2</v>
      </c>
      <c r="E101">
        <v>522</v>
      </c>
      <c r="F101" t="s">
        <v>1229</v>
      </c>
    </row>
    <row r="102" spans="1:6" x14ac:dyDescent="0.55000000000000004">
      <c r="A102" s="6">
        <v>9.6724537078458496E+17</v>
      </c>
      <c r="B102">
        <v>5</v>
      </c>
      <c r="C102">
        <v>3</v>
      </c>
      <c r="D102">
        <v>3</v>
      </c>
      <c r="E102">
        <v>533</v>
      </c>
      <c r="F102" t="s">
        <v>1230</v>
      </c>
    </row>
    <row r="103" spans="1:6" x14ac:dyDescent="0.55000000000000004">
      <c r="A103" s="6">
        <v>9.7907267103041267E+17</v>
      </c>
      <c r="B103">
        <v>5</v>
      </c>
      <c r="C103">
        <v>2</v>
      </c>
      <c r="D103">
        <v>2</v>
      </c>
      <c r="E103">
        <v>522</v>
      </c>
      <c r="F103" t="s">
        <v>1229</v>
      </c>
    </row>
    <row r="104" spans="1:6" x14ac:dyDescent="0.55000000000000004">
      <c r="A104" s="6">
        <v>9.8270771362328934E+17</v>
      </c>
      <c r="B104">
        <v>4</v>
      </c>
      <c r="C104">
        <v>1</v>
      </c>
      <c r="D104">
        <v>1</v>
      </c>
      <c r="E104">
        <v>411</v>
      </c>
      <c r="F104" t="s">
        <v>1233</v>
      </c>
    </row>
    <row r="105" spans="1:6" x14ac:dyDescent="0.55000000000000004">
      <c r="A105" s="6">
        <v>9.8353873328945715E+17</v>
      </c>
      <c r="B105">
        <v>1</v>
      </c>
      <c r="C105">
        <v>1</v>
      </c>
      <c r="D105">
        <v>1</v>
      </c>
      <c r="E105">
        <v>111</v>
      </c>
      <c r="F105" t="s">
        <v>1234</v>
      </c>
    </row>
    <row r="106" spans="1:6" x14ac:dyDescent="0.55000000000000004">
      <c r="A106" s="6">
        <v>9.9997063924467917E+17</v>
      </c>
      <c r="B106">
        <v>3</v>
      </c>
      <c r="C106">
        <v>3</v>
      </c>
      <c r="D106">
        <v>3</v>
      </c>
      <c r="E106">
        <v>333</v>
      </c>
      <c r="F106" t="s">
        <v>1231</v>
      </c>
    </row>
    <row r="107" spans="1:6" x14ac:dyDescent="0.55000000000000004">
      <c r="A107" s="6">
        <v>1.000332499578177E+18</v>
      </c>
      <c r="B107">
        <v>2</v>
      </c>
      <c r="C107">
        <v>1</v>
      </c>
      <c r="D107">
        <v>2</v>
      </c>
      <c r="E107">
        <v>212</v>
      </c>
      <c r="F107" t="s">
        <v>1234</v>
      </c>
    </row>
    <row r="108" spans="1:6" x14ac:dyDescent="0.55000000000000004">
      <c r="A108" s="6">
        <v>1.005152142697114E+18</v>
      </c>
      <c r="B108">
        <v>5</v>
      </c>
      <c r="C108">
        <v>1</v>
      </c>
      <c r="D108">
        <v>2</v>
      </c>
      <c r="E108">
        <v>512</v>
      </c>
      <c r="F108" t="s">
        <v>1228</v>
      </c>
    </row>
    <row r="109" spans="1:6" x14ac:dyDescent="0.55000000000000004">
      <c r="A109" s="6">
        <v>1.01315417837344E+18</v>
      </c>
      <c r="B109">
        <v>3</v>
      </c>
      <c r="C109">
        <v>1</v>
      </c>
      <c r="D109">
        <v>3</v>
      </c>
      <c r="E109">
        <v>313</v>
      </c>
      <c r="F109" t="s">
        <v>1233</v>
      </c>
    </row>
    <row r="110" spans="1:6" x14ac:dyDescent="0.55000000000000004">
      <c r="A110" s="6">
        <v>1.023189554626777E+18</v>
      </c>
      <c r="B110">
        <v>1</v>
      </c>
      <c r="C110">
        <v>1</v>
      </c>
      <c r="D110">
        <v>3</v>
      </c>
      <c r="E110">
        <v>113</v>
      </c>
      <c r="F110" t="s">
        <v>1234</v>
      </c>
    </row>
    <row r="111" spans="1:6" x14ac:dyDescent="0.55000000000000004">
      <c r="A111" s="6">
        <v>1.046303413898793E+18</v>
      </c>
      <c r="B111">
        <v>4</v>
      </c>
      <c r="C111">
        <v>1</v>
      </c>
      <c r="D111">
        <v>3</v>
      </c>
      <c r="E111">
        <v>413</v>
      </c>
      <c r="F111" t="s">
        <v>1233</v>
      </c>
    </row>
    <row r="112" spans="1:6" x14ac:dyDescent="0.55000000000000004">
      <c r="A112" s="6">
        <v>1.048674536434862E+18</v>
      </c>
      <c r="B112">
        <v>4</v>
      </c>
      <c r="C112">
        <v>1</v>
      </c>
      <c r="D112">
        <v>2</v>
      </c>
      <c r="E112">
        <v>412</v>
      </c>
      <c r="F112" t="s">
        <v>1233</v>
      </c>
    </row>
    <row r="113" spans="1:6" x14ac:dyDescent="0.55000000000000004">
      <c r="A113" s="6">
        <v>1.0510261592622371E+18</v>
      </c>
      <c r="B113">
        <v>4</v>
      </c>
      <c r="C113">
        <v>2</v>
      </c>
      <c r="D113">
        <v>3</v>
      </c>
      <c r="E113">
        <v>423</v>
      </c>
      <c r="F113" t="s">
        <v>1229</v>
      </c>
    </row>
    <row r="114" spans="1:6" x14ac:dyDescent="0.55000000000000004">
      <c r="A114" s="6">
        <v>1.0786140050935439E+18</v>
      </c>
      <c r="B114">
        <v>4</v>
      </c>
      <c r="C114">
        <v>1</v>
      </c>
      <c r="D114">
        <v>1</v>
      </c>
      <c r="E114">
        <v>411</v>
      </c>
      <c r="F114" t="s">
        <v>1233</v>
      </c>
    </row>
    <row r="115" spans="1:6" x14ac:dyDescent="0.55000000000000004">
      <c r="A115" s="6">
        <v>1.089144262980412E+18</v>
      </c>
      <c r="B115">
        <v>4</v>
      </c>
      <c r="C115">
        <v>1</v>
      </c>
      <c r="D115">
        <v>1</v>
      </c>
      <c r="E115">
        <v>411</v>
      </c>
      <c r="F115" t="s">
        <v>1233</v>
      </c>
    </row>
    <row r="116" spans="1:6" x14ac:dyDescent="0.55000000000000004">
      <c r="A116" s="6">
        <v>1.096945308280745E+18</v>
      </c>
      <c r="B116">
        <v>4</v>
      </c>
      <c r="C116">
        <v>1</v>
      </c>
      <c r="D116">
        <v>3</v>
      </c>
      <c r="E116">
        <v>413</v>
      </c>
      <c r="F116" t="s">
        <v>1233</v>
      </c>
    </row>
    <row r="117" spans="1:6" x14ac:dyDescent="0.55000000000000004">
      <c r="A117" s="6">
        <v>1.100379652071211E+18</v>
      </c>
      <c r="B117">
        <v>4</v>
      </c>
      <c r="C117">
        <v>1</v>
      </c>
      <c r="D117">
        <v>3</v>
      </c>
      <c r="E117">
        <v>413</v>
      </c>
      <c r="F117" t="s">
        <v>1233</v>
      </c>
    </row>
    <row r="118" spans="1:6" x14ac:dyDescent="0.55000000000000004">
      <c r="A118" s="6">
        <v>1.119270324334366E+18</v>
      </c>
      <c r="B118">
        <v>2</v>
      </c>
      <c r="C118">
        <v>1</v>
      </c>
      <c r="D118">
        <v>1</v>
      </c>
      <c r="E118">
        <v>211</v>
      </c>
      <c r="F118" t="s">
        <v>1234</v>
      </c>
    </row>
    <row r="119" spans="1:6" x14ac:dyDescent="0.55000000000000004">
      <c r="A119" s="6">
        <v>1.122980992366614E+18</v>
      </c>
      <c r="B119">
        <v>4</v>
      </c>
      <c r="C119">
        <v>1</v>
      </c>
      <c r="D119">
        <v>2</v>
      </c>
      <c r="E119">
        <v>412</v>
      </c>
      <c r="F119" t="s">
        <v>1233</v>
      </c>
    </row>
    <row r="120" spans="1:6" x14ac:dyDescent="0.55000000000000004">
      <c r="A120" s="6">
        <v>1.13681671892592E+18</v>
      </c>
      <c r="B120">
        <v>2</v>
      </c>
      <c r="C120">
        <v>1</v>
      </c>
      <c r="D120">
        <v>1</v>
      </c>
      <c r="E120">
        <v>211</v>
      </c>
      <c r="F120" t="s">
        <v>1234</v>
      </c>
    </row>
    <row r="121" spans="1:6" x14ac:dyDescent="0.55000000000000004">
      <c r="A121" s="6">
        <v>1.152853398103018E+18</v>
      </c>
      <c r="B121">
        <v>3</v>
      </c>
      <c r="C121">
        <v>1</v>
      </c>
      <c r="D121">
        <v>2</v>
      </c>
      <c r="E121">
        <v>312</v>
      </c>
      <c r="F121" t="s">
        <v>1233</v>
      </c>
    </row>
    <row r="122" spans="1:6" x14ac:dyDescent="0.55000000000000004">
      <c r="A122" s="6">
        <v>1.160880881456226E+18</v>
      </c>
      <c r="B122">
        <v>5</v>
      </c>
      <c r="C122">
        <v>1</v>
      </c>
      <c r="D122">
        <v>3</v>
      </c>
      <c r="E122">
        <v>513</v>
      </c>
      <c r="F122" t="s">
        <v>1228</v>
      </c>
    </row>
    <row r="123" spans="1:6" x14ac:dyDescent="0.55000000000000004">
      <c r="A123" s="6">
        <v>1.162597696295221E+18</v>
      </c>
      <c r="B123">
        <v>5</v>
      </c>
      <c r="C123">
        <v>2</v>
      </c>
      <c r="D123">
        <v>2</v>
      </c>
      <c r="E123">
        <v>522</v>
      </c>
      <c r="F123" t="s">
        <v>1229</v>
      </c>
    </row>
    <row r="124" spans="1:6" x14ac:dyDescent="0.55000000000000004">
      <c r="A124" s="6">
        <v>1.170482534092361E+18</v>
      </c>
      <c r="B124">
        <v>2</v>
      </c>
      <c r="C124">
        <v>1</v>
      </c>
      <c r="D124">
        <v>1</v>
      </c>
      <c r="E124">
        <v>211</v>
      </c>
      <c r="F124" t="s">
        <v>1234</v>
      </c>
    </row>
    <row r="125" spans="1:6" x14ac:dyDescent="0.55000000000000004">
      <c r="A125" s="6">
        <v>1.1721901524167759E+18</v>
      </c>
      <c r="B125">
        <v>5</v>
      </c>
      <c r="C125">
        <v>1</v>
      </c>
      <c r="D125">
        <v>3</v>
      </c>
      <c r="E125">
        <v>513</v>
      </c>
      <c r="F125" t="s">
        <v>1228</v>
      </c>
    </row>
    <row r="126" spans="1:6" x14ac:dyDescent="0.55000000000000004">
      <c r="A126" s="6">
        <v>1.1774399960171579E+18</v>
      </c>
      <c r="B126">
        <v>5</v>
      </c>
      <c r="C126">
        <v>3</v>
      </c>
      <c r="D126">
        <v>3</v>
      </c>
      <c r="E126">
        <v>533</v>
      </c>
      <c r="F126" t="s">
        <v>1230</v>
      </c>
    </row>
    <row r="127" spans="1:6" x14ac:dyDescent="0.55000000000000004">
      <c r="A127" s="6">
        <v>1.189350777522923E+18</v>
      </c>
      <c r="B127">
        <v>2</v>
      </c>
      <c r="C127">
        <v>1</v>
      </c>
      <c r="D127">
        <v>1</v>
      </c>
      <c r="E127">
        <v>211</v>
      </c>
      <c r="F127" t="s">
        <v>1234</v>
      </c>
    </row>
    <row r="128" spans="1:6" x14ac:dyDescent="0.55000000000000004">
      <c r="A128" s="6">
        <v>1.196782103337771E+18</v>
      </c>
      <c r="B128">
        <v>4</v>
      </c>
      <c r="C128">
        <v>2</v>
      </c>
      <c r="D128">
        <v>2</v>
      </c>
      <c r="E128">
        <v>422</v>
      </c>
      <c r="F128" t="s">
        <v>1229</v>
      </c>
    </row>
    <row r="129" spans="1:6" x14ac:dyDescent="0.55000000000000004">
      <c r="A129" s="6">
        <v>1.2095133762377641E+18</v>
      </c>
      <c r="B129">
        <v>3</v>
      </c>
      <c r="C129">
        <v>1</v>
      </c>
      <c r="D129">
        <v>1</v>
      </c>
      <c r="E129">
        <v>311</v>
      </c>
      <c r="F129" t="s">
        <v>1233</v>
      </c>
    </row>
    <row r="130" spans="1:6" x14ac:dyDescent="0.55000000000000004">
      <c r="A130" s="6">
        <v>1.2121490274912891E+18</v>
      </c>
      <c r="B130">
        <v>5</v>
      </c>
      <c r="C130">
        <v>1</v>
      </c>
      <c r="D130">
        <v>3</v>
      </c>
      <c r="E130">
        <v>513</v>
      </c>
      <c r="F130" t="s">
        <v>1228</v>
      </c>
    </row>
    <row r="131" spans="1:6" x14ac:dyDescent="0.55000000000000004">
      <c r="A131" s="6">
        <v>1.218487979043211E+18</v>
      </c>
      <c r="B131">
        <v>5</v>
      </c>
      <c r="C131">
        <v>1</v>
      </c>
      <c r="D131">
        <v>2</v>
      </c>
      <c r="E131">
        <v>512</v>
      </c>
      <c r="F131" t="s">
        <v>1228</v>
      </c>
    </row>
    <row r="132" spans="1:6" x14ac:dyDescent="0.55000000000000004">
      <c r="A132" s="6">
        <v>1.2239227043159931E+18</v>
      </c>
      <c r="B132">
        <v>5</v>
      </c>
      <c r="C132">
        <v>1</v>
      </c>
      <c r="D132">
        <v>2</v>
      </c>
      <c r="E132">
        <v>512</v>
      </c>
      <c r="F132" t="s">
        <v>1228</v>
      </c>
    </row>
    <row r="133" spans="1:6" x14ac:dyDescent="0.55000000000000004">
      <c r="A133" s="6">
        <v>1.243022858022132E+18</v>
      </c>
      <c r="B133">
        <v>3</v>
      </c>
      <c r="C133">
        <v>1</v>
      </c>
      <c r="D133">
        <v>3</v>
      </c>
      <c r="E133">
        <v>313</v>
      </c>
      <c r="F133" t="s">
        <v>1233</v>
      </c>
    </row>
    <row r="134" spans="1:6" x14ac:dyDescent="0.55000000000000004">
      <c r="A134" s="6">
        <v>1.264290519837441E+18</v>
      </c>
      <c r="B134">
        <v>5</v>
      </c>
      <c r="C134">
        <v>1</v>
      </c>
      <c r="D134">
        <v>1</v>
      </c>
      <c r="E134">
        <v>511</v>
      </c>
      <c r="F134" t="s">
        <v>1228</v>
      </c>
    </row>
    <row r="135" spans="1:6" x14ac:dyDescent="0.55000000000000004">
      <c r="A135" s="6">
        <v>1.284150528335927E+18</v>
      </c>
      <c r="B135">
        <v>4</v>
      </c>
      <c r="C135">
        <v>2</v>
      </c>
      <c r="D135">
        <v>3</v>
      </c>
      <c r="E135">
        <v>423</v>
      </c>
      <c r="F135" t="s">
        <v>1229</v>
      </c>
    </row>
    <row r="136" spans="1:6" x14ac:dyDescent="0.55000000000000004">
      <c r="A136" s="6">
        <v>1.2984463081915011E+18</v>
      </c>
      <c r="B136">
        <v>5</v>
      </c>
      <c r="C136">
        <v>1</v>
      </c>
      <c r="D136">
        <v>1</v>
      </c>
      <c r="E136">
        <v>511</v>
      </c>
      <c r="F136" t="s">
        <v>1228</v>
      </c>
    </row>
    <row r="137" spans="1:6" x14ac:dyDescent="0.55000000000000004">
      <c r="A137" s="6">
        <v>1.3005240302932129E+18</v>
      </c>
      <c r="B137">
        <v>3</v>
      </c>
      <c r="C137">
        <v>1</v>
      </c>
      <c r="D137">
        <v>1</v>
      </c>
      <c r="E137">
        <v>311</v>
      </c>
      <c r="F137" t="s">
        <v>1233</v>
      </c>
    </row>
    <row r="138" spans="1:6" x14ac:dyDescent="0.55000000000000004">
      <c r="A138" s="6">
        <v>1.3007881861818691E+18</v>
      </c>
      <c r="B138">
        <v>4</v>
      </c>
      <c r="C138">
        <v>1</v>
      </c>
      <c r="D138">
        <v>2</v>
      </c>
      <c r="E138">
        <v>412</v>
      </c>
      <c r="F138" t="s">
        <v>1233</v>
      </c>
    </row>
    <row r="139" spans="1:6" x14ac:dyDescent="0.55000000000000004">
      <c r="A139" s="6">
        <v>1.3063865385494589E+18</v>
      </c>
      <c r="B139">
        <v>5</v>
      </c>
      <c r="C139">
        <v>2</v>
      </c>
      <c r="D139">
        <v>3</v>
      </c>
      <c r="E139">
        <v>523</v>
      </c>
      <c r="F139" t="s">
        <v>1229</v>
      </c>
    </row>
    <row r="140" spans="1:6" x14ac:dyDescent="0.55000000000000004">
      <c r="A140" s="6">
        <v>1.3087525420781629E+18</v>
      </c>
      <c r="B140">
        <v>5</v>
      </c>
      <c r="C140">
        <v>1</v>
      </c>
      <c r="D140">
        <v>2</v>
      </c>
      <c r="E140">
        <v>512</v>
      </c>
      <c r="F140" t="s">
        <v>1228</v>
      </c>
    </row>
    <row r="141" spans="1:6" x14ac:dyDescent="0.55000000000000004">
      <c r="A141" s="6">
        <v>1.3250399522734999E+18</v>
      </c>
      <c r="B141">
        <v>5</v>
      </c>
      <c r="C141">
        <v>1</v>
      </c>
      <c r="D141">
        <v>2</v>
      </c>
      <c r="E141">
        <v>512</v>
      </c>
      <c r="F141" t="s">
        <v>1228</v>
      </c>
    </row>
    <row r="142" spans="1:6" x14ac:dyDescent="0.55000000000000004">
      <c r="A142" s="6">
        <v>1.330946700836863E+18</v>
      </c>
      <c r="B142">
        <v>4</v>
      </c>
      <c r="C142">
        <v>1</v>
      </c>
      <c r="D142">
        <v>3</v>
      </c>
      <c r="E142">
        <v>413</v>
      </c>
      <c r="F142" t="s">
        <v>1233</v>
      </c>
    </row>
    <row r="143" spans="1:6" x14ac:dyDescent="0.55000000000000004">
      <c r="A143" s="6">
        <v>1.3397155537099141E+18</v>
      </c>
      <c r="B143">
        <v>2</v>
      </c>
      <c r="C143">
        <v>2</v>
      </c>
      <c r="D143">
        <v>2</v>
      </c>
      <c r="E143">
        <v>222</v>
      </c>
      <c r="F143" t="s">
        <v>1234</v>
      </c>
    </row>
    <row r="144" spans="1:6" x14ac:dyDescent="0.55000000000000004">
      <c r="A144" s="6">
        <v>1.342000908502272E+18</v>
      </c>
      <c r="B144">
        <v>2</v>
      </c>
      <c r="C144">
        <v>1</v>
      </c>
      <c r="D144">
        <v>2</v>
      </c>
      <c r="E144">
        <v>212</v>
      </c>
      <c r="F144" t="s">
        <v>1234</v>
      </c>
    </row>
    <row r="145" spans="1:6" x14ac:dyDescent="0.55000000000000004">
      <c r="A145" s="6">
        <v>1.3482468725153029E+18</v>
      </c>
      <c r="B145">
        <v>4</v>
      </c>
      <c r="C145">
        <v>1</v>
      </c>
      <c r="D145">
        <v>3</v>
      </c>
      <c r="E145">
        <v>413</v>
      </c>
      <c r="F145" t="s">
        <v>1233</v>
      </c>
    </row>
    <row r="146" spans="1:6" x14ac:dyDescent="0.55000000000000004">
      <c r="A146" s="6">
        <v>1.363244259854325E+18</v>
      </c>
      <c r="B146">
        <v>2</v>
      </c>
      <c r="C146">
        <v>1</v>
      </c>
      <c r="D146">
        <v>1</v>
      </c>
      <c r="E146">
        <v>211</v>
      </c>
      <c r="F146" t="s">
        <v>1234</v>
      </c>
    </row>
    <row r="147" spans="1:6" x14ac:dyDescent="0.55000000000000004">
      <c r="A147" s="6">
        <v>1.3715123392936371E+18</v>
      </c>
      <c r="B147">
        <v>3</v>
      </c>
      <c r="C147">
        <v>1</v>
      </c>
      <c r="D147">
        <v>2</v>
      </c>
      <c r="E147">
        <v>312</v>
      </c>
      <c r="F147" t="s">
        <v>1233</v>
      </c>
    </row>
    <row r="148" spans="1:6" x14ac:dyDescent="0.55000000000000004">
      <c r="A148" s="6">
        <v>1.3754657606156081E+18</v>
      </c>
      <c r="B148">
        <v>4</v>
      </c>
      <c r="C148">
        <v>2</v>
      </c>
      <c r="D148">
        <v>1</v>
      </c>
      <c r="E148">
        <v>421</v>
      </c>
      <c r="F148" t="s">
        <v>1229</v>
      </c>
    </row>
    <row r="149" spans="1:6" x14ac:dyDescent="0.55000000000000004">
      <c r="A149" s="6">
        <v>1.3784045878134651E+18</v>
      </c>
      <c r="B149">
        <v>5</v>
      </c>
      <c r="C149">
        <v>2</v>
      </c>
      <c r="D149">
        <v>2</v>
      </c>
      <c r="E149">
        <v>522</v>
      </c>
      <c r="F149" t="s">
        <v>1229</v>
      </c>
    </row>
    <row r="150" spans="1:6" x14ac:dyDescent="0.55000000000000004">
      <c r="A150" s="6">
        <v>1.3849874418398641E+18</v>
      </c>
      <c r="B150">
        <v>3</v>
      </c>
      <c r="C150">
        <v>2</v>
      </c>
      <c r="D150">
        <v>2</v>
      </c>
      <c r="E150">
        <v>322</v>
      </c>
      <c r="F150" t="s">
        <v>1233</v>
      </c>
    </row>
    <row r="151" spans="1:6" x14ac:dyDescent="0.55000000000000004">
      <c r="A151" s="6">
        <v>1.39215048584352E+18</v>
      </c>
      <c r="B151">
        <v>4</v>
      </c>
      <c r="C151">
        <v>1</v>
      </c>
      <c r="D151">
        <v>1</v>
      </c>
      <c r="E151">
        <v>411</v>
      </c>
      <c r="F151" t="s">
        <v>1233</v>
      </c>
    </row>
    <row r="152" spans="1:6" x14ac:dyDescent="0.55000000000000004">
      <c r="A152" s="6">
        <v>1.4020845570534651E+18</v>
      </c>
      <c r="B152">
        <v>1</v>
      </c>
      <c r="C152">
        <v>1</v>
      </c>
      <c r="D152">
        <v>3</v>
      </c>
      <c r="E152">
        <v>113</v>
      </c>
      <c r="F152" t="s">
        <v>1234</v>
      </c>
    </row>
    <row r="153" spans="1:6" x14ac:dyDescent="0.55000000000000004">
      <c r="A153" s="6">
        <v>1.4167725370541911E+18</v>
      </c>
      <c r="B153">
        <v>2</v>
      </c>
      <c r="C153">
        <v>1</v>
      </c>
      <c r="D153">
        <v>1</v>
      </c>
      <c r="E153">
        <v>211</v>
      </c>
      <c r="F153" t="s">
        <v>1234</v>
      </c>
    </row>
    <row r="154" spans="1:6" x14ac:dyDescent="0.55000000000000004">
      <c r="A154" s="6">
        <v>1.4366874983721559E+18</v>
      </c>
      <c r="B154">
        <v>2</v>
      </c>
      <c r="C154">
        <v>1</v>
      </c>
      <c r="D154">
        <v>1</v>
      </c>
      <c r="E154">
        <v>211</v>
      </c>
      <c r="F154" t="s">
        <v>1234</v>
      </c>
    </row>
    <row r="155" spans="1:6" x14ac:dyDescent="0.55000000000000004">
      <c r="A155" s="6">
        <v>1.4427428116042281E+18</v>
      </c>
      <c r="B155">
        <v>5</v>
      </c>
      <c r="C155">
        <v>1</v>
      </c>
      <c r="D155">
        <v>2</v>
      </c>
      <c r="E155">
        <v>512</v>
      </c>
      <c r="F155" t="s">
        <v>1228</v>
      </c>
    </row>
    <row r="156" spans="1:6" x14ac:dyDescent="0.55000000000000004">
      <c r="A156" s="6">
        <v>1.464810874174613E+18</v>
      </c>
      <c r="B156">
        <v>5</v>
      </c>
      <c r="C156">
        <v>2</v>
      </c>
      <c r="D156">
        <v>1</v>
      </c>
      <c r="E156">
        <v>521</v>
      </c>
      <c r="F156" t="s">
        <v>1229</v>
      </c>
    </row>
    <row r="157" spans="1:6" x14ac:dyDescent="0.55000000000000004">
      <c r="A157" s="6">
        <v>1.4691213133281549E+18</v>
      </c>
      <c r="B157">
        <v>4</v>
      </c>
      <c r="C157">
        <v>1</v>
      </c>
      <c r="D157">
        <v>3</v>
      </c>
      <c r="E157">
        <v>413</v>
      </c>
      <c r="F157" t="s">
        <v>1233</v>
      </c>
    </row>
    <row r="158" spans="1:6" x14ac:dyDescent="0.55000000000000004">
      <c r="A158" s="6">
        <v>1.482147953417866E+18</v>
      </c>
      <c r="B158">
        <v>2</v>
      </c>
      <c r="C158">
        <v>1</v>
      </c>
      <c r="D158">
        <v>2</v>
      </c>
      <c r="E158">
        <v>212</v>
      </c>
      <c r="F158" t="s">
        <v>1234</v>
      </c>
    </row>
    <row r="159" spans="1:6" x14ac:dyDescent="0.55000000000000004">
      <c r="A159" s="6">
        <v>1.482565375584491E+18</v>
      </c>
      <c r="B159">
        <v>4</v>
      </c>
      <c r="C159">
        <v>1</v>
      </c>
      <c r="D159">
        <v>1</v>
      </c>
      <c r="E159">
        <v>411</v>
      </c>
      <c r="F159" t="s">
        <v>1233</v>
      </c>
    </row>
    <row r="160" spans="1:6" x14ac:dyDescent="0.55000000000000004">
      <c r="A160" s="6">
        <v>1.5094994883823071E+18</v>
      </c>
      <c r="B160">
        <v>2</v>
      </c>
      <c r="C160">
        <v>1</v>
      </c>
      <c r="D160">
        <v>2</v>
      </c>
      <c r="E160">
        <v>212</v>
      </c>
      <c r="F160" t="s">
        <v>1234</v>
      </c>
    </row>
    <row r="161" spans="1:6" x14ac:dyDescent="0.55000000000000004">
      <c r="A161" s="6">
        <v>1.51815318591329E+18</v>
      </c>
      <c r="B161">
        <v>5</v>
      </c>
      <c r="C161">
        <v>1</v>
      </c>
      <c r="D161">
        <v>2</v>
      </c>
      <c r="E161">
        <v>512</v>
      </c>
      <c r="F161" t="s">
        <v>1228</v>
      </c>
    </row>
    <row r="162" spans="1:6" x14ac:dyDescent="0.55000000000000004">
      <c r="A162" s="6">
        <v>1.522193412101396E+18</v>
      </c>
      <c r="B162">
        <v>3</v>
      </c>
      <c r="C162">
        <v>1</v>
      </c>
      <c r="D162">
        <v>2</v>
      </c>
      <c r="E162">
        <v>312</v>
      </c>
      <c r="F162" t="s">
        <v>1233</v>
      </c>
    </row>
    <row r="163" spans="1:6" x14ac:dyDescent="0.55000000000000004">
      <c r="A163" s="6">
        <v>1.549160635335436E+18</v>
      </c>
      <c r="B163">
        <v>1</v>
      </c>
      <c r="C163">
        <v>1</v>
      </c>
      <c r="D163">
        <v>1</v>
      </c>
      <c r="E163">
        <v>111</v>
      </c>
      <c r="F163" t="s">
        <v>1234</v>
      </c>
    </row>
    <row r="164" spans="1:6" x14ac:dyDescent="0.55000000000000004">
      <c r="A164" s="6">
        <v>1.557734816688022E+18</v>
      </c>
      <c r="B164">
        <v>5</v>
      </c>
      <c r="C164">
        <v>1</v>
      </c>
      <c r="D164">
        <v>3</v>
      </c>
      <c r="E164">
        <v>513</v>
      </c>
      <c r="F164" t="s">
        <v>1228</v>
      </c>
    </row>
    <row r="165" spans="1:6" x14ac:dyDescent="0.55000000000000004">
      <c r="A165" s="6">
        <v>1.569594972860074E+18</v>
      </c>
      <c r="B165">
        <v>4</v>
      </c>
      <c r="C165">
        <v>1</v>
      </c>
      <c r="D165">
        <v>1</v>
      </c>
      <c r="E165">
        <v>411</v>
      </c>
      <c r="F165" t="s">
        <v>1233</v>
      </c>
    </row>
    <row r="166" spans="1:6" x14ac:dyDescent="0.55000000000000004">
      <c r="A166" s="6">
        <v>1.5776470081554911E+18</v>
      </c>
      <c r="B166">
        <v>3</v>
      </c>
      <c r="C166">
        <v>1</v>
      </c>
      <c r="D166">
        <v>2</v>
      </c>
      <c r="E166">
        <v>312</v>
      </c>
      <c r="F166" t="s">
        <v>1233</v>
      </c>
    </row>
    <row r="167" spans="1:6" x14ac:dyDescent="0.55000000000000004">
      <c r="A167" s="6">
        <v>1.5840800185098491E+18</v>
      </c>
      <c r="B167">
        <v>5</v>
      </c>
      <c r="C167">
        <v>1</v>
      </c>
      <c r="D167">
        <v>2</v>
      </c>
      <c r="E167">
        <v>512</v>
      </c>
      <c r="F167" t="s">
        <v>1228</v>
      </c>
    </row>
    <row r="168" spans="1:6" x14ac:dyDescent="0.55000000000000004">
      <c r="A168" s="6">
        <v>1.5844455560597929E+18</v>
      </c>
      <c r="B168">
        <v>3</v>
      </c>
      <c r="C168">
        <v>1</v>
      </c>
      <c r="D168">
        <v>2</v>
      </c>
      <c r="E168">
        <v>312</v>
      </c>
      <c r="F168" t="s">
        <v>1233</v>
      </c>
    </row>
    <row r="169" spans="1:6" x14ac:dyDescent="0.55000000000000004">
      <c r="A169" s="6">
        <v>1.5868202505216691E+18</v>
      </c>
      <c r="B169">
        <v>4</v>
      </c>
      <c r="C169">
        <v>1</v>
      </c>
      <c r="D169">
        <v>1</v>
      </c>
      <c r="E169">
        <v>411</v>
      </c>
      <c r="F169" t="s">
        <v>1233</v>
      </c>
    </row>
    <row r="170" spans="1:6" x14ac:dyDescent="0.55000000000000004">
      <c r="A170" s="6">
        <v>1.5935314464390359E+18</v>
      </c>
      <c r="B170">
        <v>3</v>
      </c>
      <c r="C170">
        <v>2</v>
      </c>
      <c r="D170">
        <v>3</v>
      </c>
      <c r="E170">
        <v>323</v>
      </c>
      <c r="F170" t="s">
        <v>1233</v>
      </c>
    </row>
    <row r="171" spans="1:6" x14ac:dyDescent="0.55000000000000004">
      <c r="A171" s="6">
        <v>1.608732702164681E+18</v>
      </c>
      <c r="B171">
        <v>4</v>
      </c>
      <c r="C171">
        <v>1</v>
      </c>
      <c r="D171">
        <v>1</v>
      </c>
      <c r="E171">
        <v>411</v>
      </c>
      <c r="F171" t="s">
        <v>1233</v>
      </c>
    </row>
    <row r="172" spans="1:6" x14ac:dyDescent="0.55000000000000004">
      <c r="A172" s="6">
        <v>1.6172746630619489E+18</v>
      </c>
      <c r="B172">
        <v>5</v>
      </c>
      <c r="C172">
        <v>1</v>
      </c>
      <c r="D172">
        <v>1</v>
      </c>
      <c r="E172">
        <v>511</v>
      </c>
      <c r="F172" t="s">
        <v>1228</v>
      </c>
    </row>
    <row r="173" spans="1:6" x14ac:dyDescent="0.55000000000000004">
      <c r="A173" s="6">
        <v>1.629324704820073E+18</v>
      </c>
      <c r="B173">
        <v>5</v>
      </c>
      <c r="C173">
        <v>2</v>
      </c>
      <c r="D173">
        <v>3</v>
      </c>
      <c r="E173">
        <v>523</v>
      </c>
      <c r="F173" t="s">
        <v>1229</v>
      </c>
    </row>
    <row r="174" spans="1:6" x14ac:dyDescent="0.55000000000000004">
      <c r="A174" s="6">
        <v>1.6398219760955021E+18</v>
      </c>
      <c r="B174">
        <v>4</v>
      </c>
      <c r="C174">
        <v>1</v>
      </c>
      <c r="D174">
        <v>3</v>
      </c>
      <c r="E174">
        <v>413</v>
      </c>
      <c r="F174" t="s">
        <v>1233</v>
      </c>
    </row>
    <row r="175" spans="1:6" x14ac:dyDescent="0.55000000000000004">
      <c r="A175" s="6">
        <v>1.6502892064455491E+18</v>
      </c>
      <c r="B175">
        <v>5</v>
      </c>
      <c r="C175">
        <v>2</v>
      </c>
      <c r="D175">
        <v>1</v>
      </c>
      <c r="E175">
        <v>521</v>
      </c>
      <c r="F175" t="s">
        <v>1229</v>
      </c>
    </row>
    <row r="176" spans="1:6" x14ac:dyDescent="0.55000000000000004">
      <c r="A176" s="6">
        <v>1.667516599105642E+18</v>
      </c>
      <c r="B176">
        <v>5</v>
      </c>
      <c r="C176">
        <v>1</v>
      </c>
      <c r="D176">
        <v>2</v>
      </c>
      <c r="E176">
        <v>512</v>
      </c>
      <c r="F176" t="s">
        <v>1228</v>
      </c>
    </row>
    <row r="177" spans="1:6" x14ac:dyDescent="0.55000000000000004">
      <c r="A177" s="6">
        <v>1.674723087147988E+18</v>
      </c>
      <c r="B177">
        <v>5</v>
      </c>
      <c r="C177">
        <v>1</v>
      </c>
      <c r="D177">
        <v>3</v>
      </c>
      <c r="E177">
        <v>513</v>
      </c>
      <c r="F177" t="s">
        <v>1228</v>
      </c>
    </row>
    <row r="178" spans="1:6" x14ac:dyDescent="0.55000000000000004">
      <c r="A178" s="6">
        <v>1.677129202633119E+18</v>
      </c>
      <c r="B178">
        <v>4</v>
      </c>
      <c r="C178">
        <v>1</v>
      </c>
      <c r="D178">
        <v>3</v>
      </c>
      <c r="E178">
        <v>413</v>
      </c>
      <c r="F178" t="s">
        <v>1233</v>
      </c>
    </row>
    <row r="179" spans="1:6" x14ac:dyDescent="0.55000000000000004">
      <c r="A179" s="6">
        <v>1.6817203905142431E+18</v>
      </c>
      <c r="B179">
        <v>5</v>
      </c>
      <c r="C179">
        <v>1</v>
      </c>
      <c r="D179">
        <v>3</v>
      </c>
      <c r="E179">
        <v>513</v>
      </c>
      <c r="F179" t="s">
        <v>1228</v>
      </c>
    </row>
    <row r="180" spans="1:6" x14ac:dyDescent="0.55000000000000004">
      <c r="A180" s="6">
        <v>1.6859691985107551E+18</v>
      </c>
      <c r="B180">
        <v>4</v>
      </c>
      <c r="C180">
        <v>1</v>
      </c>
      <c r="D180">
        <v>2</v>
      </c>
      <c r="E180">
        <v>412</v>
      </c>
      <c r="F180" t="s">
        <v>1233</v>
      </c>
    </row>
    <row r="181" spans="1:6" x14ac:dyDescent="0.55000000000000004">
      <c r="A181" s="6">
        <v>1.695130641619191E+18</v>
      </c>
      <c r="B181">
        <v>5</v>
      </c>
      <c r="C181">
        <v>3</v>
      </c>
      <c r="D181">
        <v>3</v>
      </c>
      <c r="E181">
        <v>533</v>
      </c>
      <c r="F181" t="s">
        <v>1230</v>
      </c>
    </row>
    <row r="182" spans="1:6" x14ac:dyDescent="0.55000000000000004">
      <c r="A182" s="6">
        <v>1.7016907167677581E+18</v>
      </c>
      <c r="B182">
        <v>4</v>
      </c>
      <c r="C182">
        <v>2</v>
      </c>
      <c r="D182">
        <v>3</v>
      </c>
      <c r="E182">
        <v>423</v>
      </c>
      <c r="F182" t="s">
        <v>1229</v>
      </c>
    </row>
    <row r="183" spans="1:6" x14ac:dyDescent="0.55000000000000004">
      <c r="A183" s="6">
        <v>1.7106753465062531E+18</v>
      </c>
      <c r="B183">
        <v>5</v>
      </c>
      <c r="C183">
        <v>2</v>
      </c>
      <c r="D183">
        <v>3</v>
      </c>
      <c r="E183">
        <v>523</v>
      </c>
      <c r="F183" t="s">
        <v>1229</v>
      </c>
    </row>
    <row r="184" spans="1:6" x14ac:dyDescent="0.55000000000000004">
      <c r="A184" s="6">
        <v>1.711290526394442E+18</v>
      </c>
      <c r="B184">
        <v>4</v>
      </c>
      <c r="C184">
        <v>1</v>
      </c>
      <c r="D184">
        <v>1</v>
      </c>
      <c r="E184">
        <v>411</v>
      </c>
      <c r="F184" t="s">
        <v>1233</v>
      </c>
    </row>
    <row r="185" spans="1:6" x14ac:dyDescent="0.55000000000000004">
      <c r="A185" s="6">
        <v>1.7157356656938309E+18</v>
      </c>
      <c r="B185">
        <v>1</v>
      </c>
      <c r="C185">
        <v>1</v>
      </c>
      <c r="D185">
        <v>3</v>
      </c>
      <c r="E185">
        <v>113</v>
      </c>
      <c r="F185" t="s">
        <v>1234</v>
      </c>
    </row>
    <row r="186" spans="1:6" x14ac:dyDescent="0.55000000000000004">
      <c r="A186" s="6">
        <v>1.7194383882598541E+18</v>
      </c>
      <c r="B186">
        <v>5</v>
      </c>
      <c r="C186">
        <v>1</v>
      </c>
      <c r="D186">
        <v>3</v>
      </c>
      <c r="E186">
        <v>513</v>
      </c>
      <c r="F186" t="s">
        <v>1228</v>
      </c>
    </row>
    <row r="187" spans="1:6" x14ac:dyDescent="0.55000000000000004">
      <c r="A187" s="6">
        <v>1.723492846644417E+18</v>
      </c>
      <c r="B187">
        <v>4</v>
      </c>
      <c r="C187">
        <v>1</v>
      </c>
      <c r="D187">
        <v>1</v>
      </c>
      <c r="E187">
        <v>411</v>
      </c>
      <c r="F187" t="s">
        <v>1233</v>
      </c>
    </row>
    <row r="188" spans="1:6" x14ac:dyDescent="0.55000000000000004">
      <c r="A188" s="6">
        <v>1.729483180093397E+18</v>
      </c>
      <c r="B188">
        <v>3</v>
      </c>
      <c r="C188">
        <v>2</v>
      </c>
      <c r="D188">
        <v>2</v>
      </c>
      <c r="E188">
        <v>322</v>
      </c>
      <c r="F188" t="s">
        <v>1233</v>
      </c>
    </row>
    <row r="189" spans="1:6" x14ac:dyDescent="0.55000000000000004">
      <c r="A189" s="6">
        <v>1.745068178098175E+18</v>
      </c>
      <c r="B189">
        <v>3</v>
      </c>
      <c r="C189">
        <v>2</v>
      </c>
      <c r="D189">
        <v>2</v>
      </c>
      <c r="E189">
        <v>322</v>
      </c>
      <c r="F189" t="s">
        <v>1233</v>
      </c>
    </row>
    <row r="190" spans="1:6" x14ac:dyDescent="0.55000000000000004">
      <c r="A190" s="6">
        <v>1.7515581725118851E+18</v>
      </c>
      <c r="B190">
        <v>4</v>
      </c>
      <c r="C190">
        <v>1</v>
      </c>
      <c r="D190">
        <v>1</v>
      </c>
      <c r="E190">
        <v>411</v>
      </c>
      <c r="F190" t="s">
        <v>1233</v>
      </c>
    </row>
    <row r="191" spans="1:6" x14ac:dyDescent="0.55000000000000004">
      <c r="A191" s="6">
        <v>1.776693575630839E+18</v>
      </c>
      <c r="B191">
        <v>5</v>
      </c>
      <c r="C191">
        <v>1</v>
      </c>
      <c r="D191">
        <v>1</v>
      </c>
      <c r="E191">
        <v>511</v>
      </c>
      <c r="F191" t="s">
        <v>1228</v>
      </c>
    </row>
    <row r="192" spans="1:6" x14ac:dyDescent="0.55000000000000004">
      <c r="A192" s="6">
        <v>1.7913055859585129E+18</v>
      </c>
      <c r="B192">
        <v>5</v>
      </c>
      <c r="C192">
        <v>2</v>
      </c>
      <c r="D192">
        <v>2</v>
      </c>
      <c r="E192">
        <v>522</v>
      </c>
      <c r="F192" t="s">
        <v>1229</v>
      </c>
    </row>
    <row r="193" spans="1:6" x14ac:dyDescent="0.55000000000000004">
      <c r="A193" s="6">
        <v>1.8099632184957949E+18</v>
      </c>
      <c r="B193">
        <v>3</v>
      </c>
      <c r="C193">
        <v>1</v>
      </c>
      <c r="D193">
        <v>2</v>
      </c>
      <c r="E193">
        <v>312</v>
      </c>
      <c r="F193" t="s">
        <v>1233</v>
      </c>
    </row>
    <row r="194" spans="1:6" x14ac:dyDescent="0.55000000000000004">
      <c r="A194" s="6">
        <v>1.821993513028534E+18</v>
      </c>
      <c r="B194">
        <v>5</v>
      </c>
      <c r="C194">
        <v>2</v>
      </c>
      <c r="D194">
        <v>1</v>
      </c>
      <c r="E194">
        <v>521</v>
      </c>
      <c r="F194" t="s">
        <v>1229</v>
      </c>
    </row>
    <row r="195" spans="1:6" x14ac:dyDescent="0.55000000000000004">
      <c r="A195" s="6">
        <v>1.824466406295605E+18</v>
      </c>
      <c r="B195">
        <v>5</v>
      </c>
      <c r="C195">
        <v>1</v>
      </c>
      <c r="D195">
        <v>2</v>
      </c>
      <c r="E195">
        <v>512</v>
      </c>
      <c r="F195" t="s">
        <v>1228</v>
      </c>
    </row>
    <row r="196" spans="1:6" x14ac:dyDescent="0.55000000000000004">
      <c r="A196" s="6">
        <v>1.8255241922951529E+18</v>
      </c>
      <c r="B196">
        <v>5</v>
      </c>
      <c r="C196">
        <v>1</v>
      </c>
      <c r="D196">
        <v>1</v>
      </c>
      <c r="E196">
        <v>511</v>
      </c>
      <c r="F196" t="s">
        <v>1228</v>
      </c>
    </row>
    <row r="197" spans="1:6" x14ac:dyDescent="0.55000000000000004">
      <c r="A197" s="6">
        <v>1.82828637426995E+18</v>
      </c>
      <c r="B197">
        <v>5</v>
      </c>
      <c r="C197">
        <v>1</v>
      </c>
      <c r="D197">
        <v>1</v>
      </c>
      <c r="E197">
        <v>511</v>
      </c>
      <c r="F197" t="s">
        <v>1228</v>
      </c>
    </row>
    <row r="198" spans="1:6" x14ac:dyDescent="0.55000000000000004">
      <c r="A198" s="6">
        <v>1.8323586710948401E+18</v>
      </c>
      <c r="B198">
        <v>3</v>
      </c>
      <c r="C198">
        <v>2</v>
      </c>
      <c r="D198">
        <v>3</v>
      </c>
      <c r="E198">
        <v>323</v>
      </c>
      <c r="F198" t="s">
        <v>1233</v>
      </c>
    </row>
    <row r="199" spans="1:6" x14ac:dyDescent="0.55000000000000004">
      <c r="A199" s="6">
        <v>1.854419958740415E+18</v>
      </c>
      <c r="B199">
        <v>4</v>
      </c>
      <c r="C199">
        <v>1</v>
      </c>
      <c r="D199">
        <v>3</v>
      </c>
      <c r="E199">
        <v>413</v>
      </c>
      <c r="F199" t="s">
        <v>1233</v>
      </c>
    </row>
    <row r="200" spans="1:6" x14ac:dyDescent="0.55000000000000004">
      <c r="A200" s="6">
        <v>1.866418006074549E+18</v>
      </c>
      <c r="B200">
        <v>5</v>
      </c>
      <c r="C200">
        <v>1</v>
      </c>
      <c r="D200">
        <v>1</v>
      </c>
      <c r="E200">
        <v>511</v>
      </c>
      <c r="F200" t="s">
        <v>1228</v>
      </c>
    </row>
    <row r="201" spans="1:6" x14ac:dyDescent="0.55000000000000004">
      <c r="A201" s="6">
        <v>1.870446117223575E+18</v>
      </c>
      <c r="B201">
        <v>5</v>
      </c>
      <c r="C201">
        <v>1</v>
      </c>
      <c r="D201">
        <v>1</v>
      </c>
      <c r="E201">
        <v>511</v>
      </c>
      <c r="F201" t="s">
        <v>1228</v>
      </c>
    </row>
    <row r="202" spans="1:6" x14ac:dyDescent="0.55000000000000004">
      <c r="A202" s="6">
        <v>1.9144916142497669E+18</v>
      </c>
      <c r="B202">
        <v>5</v>
      </c>
      <c r="C202">
        <v>1</v>
      </c>
      <c r="D202">
        <v>1</v>
      </c>
      <c r="E202">
        <v>511</v>
      </c>
      <c r="F202" t="s">
        <v>1228</v>
      </c>
    </row>
    <row r="203" spans="1:6" x14ac:dyDescent="0.55000000000000004">
      <c r="A203" s="6">
        <v>1.9146529279689521E+18</v>
      </c>
      <c r="B203">
        <v>1</v>
      </c>
      <c r="C203">
        <v>1</v>
      </c>
      <c r="D203">
        <v>1</v>
      </c>
      <c r="E203">
        <v>111</v>
      </c>
      <c r="F203" t="s">
        <v>1234</v>
      </c>
    </row>
    <row r="204" spans="1:6" x14ac:dyDescent="0.55000000000000004">
      <c r="A204" s="6">
        <v>1.9199465908224901E+18</v>
      </c>
      <c r="B204">
        <v>5</v>
      </c>
      <c r="C204">
        <v>2</v>
      </c>
      <c r="D204">
        <v>3</v>
      </c>
      <c r="E204">
        <v>523</v>
      </c>
      <c r="F204" t="s">
        <v>1229</v>
      </c>
    </row>
    <row r="205" spans="1:6" x14ac:dyDescent="0.55000000000000004">
      <c r="A205" s="6">
        <v>1.928598308475934E+18</v>
      </c>
      <c r="B205">
        <v>3</v>
      </c>
      <c r="C205">
        <v>1</v>
      </c>
      <c r="D205">
        <v>1</v>
      </c>
      <c r="E205">
        <v>311</v>
      </c>
      <c r="F205" t="s">
        <v>1233</v>
      </c>
    </row>
    <row r="206" spans="1:6" x14ac:dyDescent="0.55000000000000004">
      <c r="A206" s="6">
        <v>1.933930612224873E+18</v>
      </c>
      <c r="B206">
        <v>5</v>
      </c>
      <c r="C206">
        <v>1</v>
      </c>
      <c r="D206">
        <v>1</v>
      </c>
      <c r="E206">
        <v>511</v>
      </c>
      <c r="F206" t="s">
        <v>1228</v>
      </c>
    </row>
    <row r="207" spans="1:6" x14ac:dyDescent="0.55000000000000004">
      <c r="A207" s="6">
        <v>1.9526037705138371E+18</v>
      </c>
      <c r="B207">
        <v>4</v>
      </c>
      <c r="C207">
        <v>2</v>
      </c>
      <c r="D207">
        <v>3</v>
      </c>
      <c r="E207">
        <v>423</v>
      </c>
      <c r="F207" t="s">
        <v>1229</v>
      </c>
    </row>
    <row r="208" spans="1:6" x14ac:dyDescent="0.55000000000000004">
      <c r="A208" s="6">
        <v>1.952823904576703E+18</v>
      </c>
      <c r="B208">
        <v>5</v>
      </c>
      <c r="C208">
        <v>1</v>
      </c>
      <c r="D208">
        <v>3</v>
      </c>
      <c r="E208">
        <v>513</v>
      </c>
      <c r="F208" t="s">
        <v>1228</v>
      </c>
    </row>
    <row r="209" spans="1:6" x14ac:dyDescent="0.55000000000000004">
      <c r="A209" s="6">
        <v>1.9730730410505751E+18</v>
      </c>
      <c r="B209">
        <v>1</v>
      </c>
      <c r="C209">
        <v>2</v>
      </c>
      <c r="D209">
        <v>3</v>
      </c>
      <c r="E209">
        <v>123</v>
      </c>
      <c r="F209" t="s">
        <v>1234</v>
      </c>
    </row>
    <row r="210" spans="1:6" x14ac:dyDescent="0.55000000000000004">
      <c r="A210" s="6">
        <v>1.9748762811356109E+18</v>
      </c>
      <c r="B210">
        <v>5</v>
      </c>
      <c r="C210">
        <v>1</v>
      </c>
      <c r="D210">
        <v>1</v>
      </c>
      <c r="E210">
        <v>511</v>
      </c>
      <c r="F210" t="s">
        <v>1228</v>
      </c>
    </row>
    <row r="211" spans="1:6" x14ac:dyDescent="0.55000000000000004">
      <c r="A211" s="6">
        <v>1.9768590323039109E+18</v>
      </c>
      <c r="B211">
        <v>1</v>
      </c>
      <c r="C211">
        <v>1</v>
      </c>
      <c r="D211">
        <v>1</v>
      </c>
      <c r="E211">
        <v>111</v>
      </c>
      <c r="F211" t="s">
        <v>1234</v>
      </c>
    </row>
    <row r="212" spans="1:6" x14ac:dyDescent="0.55000000000000004">
      <c r="A212" s="6">
        <v>1.986980350882558E+18</v>
      </c>
      <c r="B212">
        <v>5</v>
      </c>
      <c r="C212">
        <v>1</v>
      </c>
      <c r="D212">
        <v>2</v>
      </c>
      <c r="E212">
        <v>512</v>
      </c>
      <c r="F212" t="s">
        <v>1228</v>
      </c>
    </row>
    <row r="213" spans="1:6" x14ac:dyDescent="0.55000000000000004">
      <c r="A213" s="6">
        <v>1.996183669249889E+18</v>
      </c>
      <c r="B213">
        <v>4</v>
      </c>
      <c r="C213">
        <v>1</v>
      </c>
      <c r="D213">
        <v>3</v>
      </c>
      <c r="E213">
        <v>413</v>
      </c>
      <c r="F213" t="s">
        <v>1233</v>
      </c>
    </row>
    <row r="214" spans="1:6" x14ac:dyDescent="0.55000000000000004">
      <c r="A214" s="6">
        <v>1.9971065681587571E+18</v>
      </c>
      <c r="B214">
        <v>4</v>
      </c>
      <c r="C214">
        <v>1</v>
      </c>
      <c r="D214">
        <v>3</v>
      </c>
      <c r="E214">
        <v>413</v>
      </c>
      <c r="F214" t="s">
        <v>1233</v>
      </c>
    </row>
    <row r="215" spans="1:6" x14ac:dyDescent="0.55000000000000004">
      <c r="A215" s="6">
        <v>2.0004746253358771E+18</v>
      </c>
      <c r="B215">
        <v>3</v>
      </c>
      <c r="C215">
        <v>2</v>
      </c>
      <c r="D215">
        <v>1</v>
      </c>
      <c r="E215">
        <v>321</v>
      </c>
      <c r="F215" t="s">
        <v>1233</v>
      </c>
    </row>
    <row r="216" spans="1:6" x14ac:dyDescent="0.55000000000000004">
      <c r="A216" s="6">
        <v>2.000810273900578E+18</v>
      </c>
      <c r="B216">
        <v>3</v>
      </c>
      <c r="C216">
        <v>1</v>
      </c>
      <c r="D216">
        <v>2</v>
      </c>
      <c r="E216">
        <v>312</v>
      </c>
      <c r="F216" t="s">
        <v>1233</v>
      </c>
    </row>
    <row r="217" spans="1:6" x14ac:dyDescent="0.55000000000000004">
      <c r="A217" s="6">
        <v>2.005586247580137E+18</v>
      </c>
      <c r="B217">
        <v>5</v>
      </c>
      <c r="C217">
        <v>1</v>
      </c>
      <c r="D217">
        <v>1</v>
      </c>
      <c r="E217">
        <v>511</v>
      </c>
      <c r="F217" t="s">
        <v>1228</v>
      </c>
    </row>
    <row r="218" spans="1:6" x14ac:dyDescent="0.55000000000000004">
      <c r="A218" s="6">
        <v>2.0142520458862761E+18</v>
      </c>
      <c r="B218">
        <v>5</v>
      </c>
      <c r="C218">
        <v>3</v>
      </c>
      <c r="D218">
        <v>3</v>
      </c>
      <c r="E218">
        <v>533</v>
      </c>
      <c r="F218" t="s">
        <v>1230</v>
      </c>
    </row>
    <row r="219" spans="1:6" x14ac:dyDescent="0.55000000000000004">
      <c r="A219" s="6">
        <v>2.0325579625381089E+18</v>
      </c>
      <c r="B219">
        <v>4</v>
      </c>
      <c r="C219">
        <v>2</v>
      </c>
      <c r="D219">
        <v>1</v>
      </c>
      <c r="E219">
        <v>421</v>
      </c>
      <c r="F219" t="s">
        <v>1229</v>
      </c>
    </row>
    <row r="220" spans="1:6" x14ac:dyDescent="0.55000000000000004">
      <c r="A220" s="6">
        <v>2.0396979990972869E+18</v>
      </c>
      <c r="B220">
        <v>5</v>
      </c>
      <c r="C220">
        <v>1</v>
      </c>
      <c r="D220">
        <v>1</v>
      </c>
      <c r="E220">
        <v>511</v>
      </c>
      <c r="F220" t="s">
        <v>1228</v>
      </c>
    </row>
    <row r="221" spans="1:6" x14ac:dyDescent="0.55000000000000004">
      <c r="A221" s="6">
        <v>2.04599369723842E+18</v>
      </c>
      <c r="B221">
        <v>1</v>
      </c>
      <c r="C221">
        <v>1</v>
      </c>
      <c r="D221">
        <v>2</v>
      </c>
      <c r="E221">
        <v>112</v>
      </c>
      <c r="F221" t="s">
        <v>1234</v>
      </c>
    </row>
    <row r="222" spans="1:6" x14ac:dyDescent="0.55000000000000004">
      <c r="A222" s="6">
        <v>2.055053471575446E+18</v>
      </c>
      <c r="B222">
        <v>3</v>
      </c>
      <c r="C222">
        <v>1</v>
      </c>
      <c r="D222">
        <v>1</v>
      </c>
      <c r="E222">
        <v>311</v>
      </c>
      <c r="F222" t="s">
        <v>1233</v>
      </c>
    </row>
    <row r="223" spans="1:6" x14ac:dyDescent="0.55000000000000004">
      <c r="A223" s="6">
        <v>2.0645718430713331E+18</v>
      </c>
      <c r="B223">
        <v>3</v>
      </c>
      <c r="C223">
        <v>1</v>
      </c>
      <c r="D223">
        <v>1</v>
      </c>
      <c r="E223">
        <v>311</v>
      </c>
      <c r="F223" t="s">
        <v>1233</v>
      </c>
    </row>
    <row r="224" spans="1:6" x14ac:dyDescent="0.55000000000000004">
      <c r="A224" s="6">
        <v>2.065848256183628E+18</v>
      </c>
      <c r="B224">
        <v>4</v>
      </c>
      <c r="C224">
        <v>1</v>
      </c>
      <c r="D224">
        <v>1</v>
      </c>
      <c r="E224">
        <v>411</v>
      </c>
      <c r="F224" t="s">
        <v>1233</v>
      </c>
    </row>
    <row r="225" spans="1:6" x14ac:dyDescent="0.55000000000000004">
      <c r="A225" s="6">
        <v>2.0667225567736151E+18</v>
      </c>
      <c r="B225">
        <v>3</v>
      </c>
      <c r="C225">
        <v>2</v>
      </c>
      <c r="D225">
        <v>3</v>
      </c>
      <c r="E225">
        <v>323</v>
      </c>
      <c r="F225" t="s">
        <v>1233</v>
      </c>
    </row>
    <row r="226" spans="1:6" x14ac:dyDescent="0.55000000000000004">
      <c r="A226" s="6">
        <v>2.0701901843732301E+18</v>
      </c>
      <c r="B226">
        <v>5</v>
      </c>
      <c r="C226">
        <v>1</v>
      </c>
      <c r="D226">
        <v>2</v>
      </c>
      <c r="E226">
        <v>512</v>
      </c>
      <c r="F226" t="s">
        <v>1228</v>
      </c>
    </row>
    <row r="227" spans="1:6" x14ac:dyDescent="0.55000000000000004">
      <c r="A227" s="6">
        <v>2.0771841791762591E+18</v>
      </c>
      <c r="B227">
        <v>5</v>
      </c>
      <c r="C227">
        <v>1</v>
      </c>
      <c r="D227">
        <v>2</v>
      </c>
      <c r="E227">
        <v>512</v>
      </c>
      <c r="F227" t="s">
        <v>1228</v>
      </c>
    </row>
    <row r="228" spans="1:6" x14ac:dyDescent="0.55000000000000004">
      <c r="A228" s="6">
        <v>2.08047286874141E+18</v>
      </c>
      <c r="B228">
        <v>2</v>
      </c>
      <c r="C228">
        <v>1</v>
      </c>
      <c r="D228">
        <v>1</v>
      </c>
      <c r="E228">
        <v>211</v>
      </c>
      <c r="F228" t="s">
        <v>1234</v>
      </c>
    </row>
    <row r="229" spans="1:6" x14ac:dyDescent="0.55000000000000004">
      <c r="A229" s="6">
        <v>2.0872429199737951E+18</v>
      </c>
      <c r="B229">
        <v>2</v>
      </c>
      <c r="C229">
        <v>1</v>
      </c>
      <c r="D229">
        <v>1</v>
      </c>
      <c r="E229">
        <v>211</v>
      </c>
      <c r="F229" t="s">
        <v>1234</v>
      </c>
    </row>
    <row r="230" spans="1:6" x14ac:dyDescent="0.55000000000000004">
      <c r="A230" s="6">
        <v>2.1009748977262459E+18</v>
      </c>
      <c r="B230">
        <v>4</v>
      </c>
      <c r="C230">
        <v>1</v>
      </c>
      <c r="D230">
        <v>3</v>
      </c>
      <c r="E230">
        <v>413</v>
      </c>
      <c r="F230" t="s">
        <v>1233</v>
      </c>
    </row>
    <row r="231" spans="1:6" x14ac:dyDescent="0.55000000000000004">
      <c r="A231" s="6">
        <v>2.1015068619281229E+18</v>
      </c>
      <c r="B231">
        <v>4</v>
      </c>
      <c r="C231">
        <v>1</v>
      </c>
      <c r="D231">
        <v>3</v>
      </c>
      <c r="E231">
        <v>413</v>
      </c>
      <c r="F231" t="s">
        <v>1233</v>
      </c>
    </row>
    <row r="232" spans="1:6" x14ac:dyDescent="0.55000000000000004">
      <c r="A232" s="6">
        <v>2.117945752343458E+18</v>
      </c>
      <c r="B232">
        <v>5</v>
      </c>
      <c r="C232">
        <v>1</v>
      </c>
      <c r="D232">
        <v>3</v>
      </c>
      <c r="E232">
        <v>513</v>
      </c>
      <c r="F232" t="s">
        <v>1228</v>
      </c>
    </row>
    <row r="233" spans="1:6" x14ac:dyDescent="0.55000000000000004">
      <c r="A233" s="6">
        <v>2.14024521168753E+18</v>
      </c>
      <c r="B233">
        <v>3</v>
      </c>
      <c r="C233">
        <v>1</v>
      </c>
      <c r="D233">
        <v>1</v>
      </c>
      <c r="E233">
        <v>311</v>
      </c>
      <c r="F233" t="s">
        <v>1233</v>
      </c>
    </row>
    <row r="234" spans="1:6" x14ac:dyDescent="0.55000000000000004">
      <c r="A234" s="6">
        <v>2.1445875065722711E+18</v>
      </c>
      <c r="B234">
        <v>5</v>
      </c>
      <c r="C234">
        <v>3</v>
      </c>
      <c r="D234">
        <v>3</v>
      </c>
      <c r="E234">
        <v>533</v>
      </c>
      <c r="F234" t="s">
        <v>1230</v>
      </c>
    </row>
    <row r="235" spans="1:6" x14ac:dyDescent="0.55000000000000004">
      <c r="A235" s="6">
        <v>2.1656688335916831E+18</v>
      </c>
      <c r="B235">
        <v>4</v>
      </c>
      <c r="C235">
        <v>1</v>
      </c>
      <c r="D235">
        <v>1</v>
      </c>
      <c r="E235">
        <v>411</v>
      </c>
      <c r="F235" t="s">
        <v>1233</v>
      </c>
    </row>
    <row r="236" spans="1:6" x14ac:dyDescent="0.55000000000000004">
      <c r="A236" s="6">
        <v>2.1735131626376141E+18</v>
      </c>
      <c r="B236">
        <v>2</v>
      </c>
      <c r="C236">
        <v>1</v>
      </c>
      <c r="D236">
        <v>1</v>
      </c>
      <c r="E236">
        <v>211</v>
      </c>
      <c r="F236" t="s">
        <v>1234</v>
      </c>
    </row>
    <row r="237" spans="1:6" x14ac:dyDescent="0.55000000000000004">
      <c r="A237" s="6">
        <v>2.174249501936778E+18</v>
      </c>
      <c r="B237">
        <v>5</v>
      </c>
      <c r="C237">
        <v>1</v>
      </c>
      <c r="D237">
        <v>3</v>
      </c>
      <c r="E237">
        <v>513</v>
      </c>
      <c r="F237" t="s">
        <v>1228</v>
      </c>
    </row>
    <row r="238" spans="1:6" x14ac:dyDescent="0.55000000000000004">
      <c r="A238" s="6">
        <v>2.186524740627071E+18</v>
      </c>
      <c r="B238">
        <v>3</v>
      </c>
      <c r="C238">
        <v>1</v>
      </c>
      <c r="D238">
        <v>2</v>
      </c>
      <c r="E238">
        <v>312</v>
      </c>
      <c r="F238" t="s">
        <v>1233</v>
      </c>
    </row>
    <row r="239" spans="1:6" x14ac:dyDescent="0.55000000000000004">
      <c r="A239" s="6">
        <v>2.187960119635755E+18</v>
      </c>
      <c r="B239">
        <v>4</v>
      </c>
      <c r="C239">
        <v>1</v>
      </c>
      <c r="D239">
        <v>2</v>
      </c>
      <c r="E239">
        <v>412</v>
      </c>
      <c r="F239" t="s">
        <v>1233</v>
      </c>
    </row>
    <row r="240" spans="1:6" x14ac:dyDescent="0.55000000000000004">
      <c r="A240" s="6">
        <v>2.2082843403097999E+18</v>
      </c>
      <c r="B240">
        <v>5</v>
      </c>
      <c r="C240">
        <v>2</v>
      </c>
      <c r="D240">
        <v>3</v>
      </c>
      <c r="E240">
        <v>523</v>
      </c>
      <c r="F240" t="s">
        <v>1229</v>
      </c>
    </row>
    <row r="241" spans="1:6" x14ac:dyDescent="0.55000000000000004">
      <c r="A241" s="6">
        <v>2.208368745871883E+18</v>
      </c>
      <c r="B241">
        <v>3</v>
      </c>
      <c r="C241">
        <v>2</v>
      </c>
      <c r="D241">
        <v>2</v>
      </c>
      <c r="E241">
        <v>322</v>
      </c>
      <c r="F241" t="s">
        <v>1233</v>
      </c>
    </row>
    <row r="242" spans="1:6" x14ac:dyDescent="0.55000000000000004">
      <c r="A242" s="6">
        <v>2.2161208201684759E+18</v>
      </c>
      <c r="B242">
        <v>3</v>
      </c>
      <c r="C242">
        <v>1</v>
      </c>
      <c r="D242">
        <v>1</v>
      </c>
      <c r="E242">
        <v>311</v>
      </c>
      <c r="F242" t="s">
        <v>1233</v>
      </c>
    </row>
    <row r="243" spans="1:6" x14ac:dyDescent="0.55000000000000004">
      <c r="A243" s="6">
        <v>2.2216710197921889E+18</v>
      </c>
      <c r="B243">
        <v>5</v>
      </c>
      <c r="C243">
        <v>1</v>
      </c>
      <c r="D243">
        <v>3</v>
      </c>
      <c r="E243">
        <v>513</v>
      </c>
      <c r="F243" t="s">
        <v>1228</v>
      </c>
    </row>
    <row r="244" spans="1:6" x14ac:dyDescent="0.55000000000000004">
      <c r="A244" s="6">
        <v>2.2219326285600251E+18</v>
      </c>
      <c r="B244">
        <v>5</v>
      </c>
      <c r="C244">
        <v>2</v>
      </c>
      <c r="D244">
        <v>2</v>
      </c>
      <c r="E244">
        <v>522</v>
      </c>
      <c r="F244" t="s">
        <v>1229</v>
      </c>
    </row>
    <row r="245" spans="1:6" x14ac:dyDescent="0.55000000000000004">
      <c r="A245" s="6">
        <v>2.225462902853954E+18</v>
      </c>
      <c r="B245">
        <v>3</v>
      </c>
      <c r="C245">
        <v>2</v>
      </c>
      <c r="D245">
        <v>3</v>
      </c>
      <c r="E245">
        <v>323</v>
      </c>
      <c r="F245" t="s">
        <v>1233</v>
      </c>
    </row>
    <row r="246" spans="1:6" x14ac:dyDescent="0.55000000000000004">
      <c r="A246" s="6">
        <v>2.2296974027298849E+18</v>
      </c>
      <c r="B246">
        <v>5</v>
      </c>
      <c r="C246">
        <v>1</v>
      </c>
      <c r="D246">
        <v>3</v>
      </c>
      <c r="E246">
        <v>513</v>
      </c>
      <c r="F246" t="s">
        <v>1228</v>
      </c>
    </row>
    <row r="247" spans="1:6" x14ac:dyDescent="0.55000000000000004">
      <c r="A247" s="6">
        <v>2.2411033549047949E+18</v>
      </c>
      <c r="B247">
        <v>1</v>
      </c>
      <c r="C247">
        <v>1</v>
      </c>
      <c r="D247">
        <v>3</v>
      </c>
      <c r="E247">
        <v>113</v>
      </c>
      <c r="F247" t="s">
        <v>1234</v>
      </c>
    </row>
    <row r="248" spans="1:6" x14ac:dyDescent="0.55000000000000004">
      <c r="A248" s="6">
        <v>2.2472947791115561E+18</v>
      </c>
      <c r="B248">
        <v>1</v>
      </c>
      <c r="C248">
        <v>1</v>
      </c>
      <c r="D248">
        <v>1</v>
      </c>
      <c r="E248">
        <v>111</v>
      </c>
      <c r="F248" t="s">
        <v>1234</v>
      </c>
    </row>
    <row r="249" spans="1:6" x14ac:dyDescent="0.55000000000000004">
      <c r="A249" s="6">
        <v>2.250597738026262E+18</v>
      </c>
      <c r="B249">
        <v>5</v>
      </c>
      <c r="C249">
        <v>1</v>
      </c>
      <c r="D249">
        <v>1</v>
      </c>
      <c r="E249">
        <v>511</v>
      </c>
      <c r="F249" t="s">
        <v>1228</v>
      </c>
    </row>
    <row r="250" spans="1:6" x14ac:dyDescent="0.55000000000000004">
      <c r="A250" s="6">
        <v>2.2533622592515241E+18</v>
      </c>
      <c r="B250">
        <v>4</v>
      </c>
      <c r="C250">
        <v>1</v>
      </c>
      <c r="D250">
        <v>1</v>
      </c>
      <c r="E250">
        <v>411</v>
      </c>
      <c r="F250" t="s">
        <v>1233</v>
      </c>
    </row>
    <row r="251" spans="1:6" x14ac:dyDescent="0.55000000000000004">
      <c r="A251" s="6">
        <v>2.2534652662718369E+18</v>
      </c>
      <c r="B251">
        <v>3</v>
      </c>
      <c r="C251">
        <v>1</v>
      </c>
      <c r="D251">
        <v>1</v>
      </c>
      <c r="E251">
        <v>311</v>
      </c>
      <c r="F251" t="s">
        <v>1233</v>
      </c>
    </row>
    <row r="252" spans="1:6" x14ac:dyDescent="0.55000000000000004">
      <c r="A252" s="6">
        <v>2.267788166417271E+18</v>
      </c>
      <c r="B252">
        <v>4</v>
      </c>
      <c r="C252">
        <v>1</v>
      </c>
      <c r="D252">
        <v>2</v>
      </c>
      <c r="E252">
        <v>412</v>
      </c>
      <c r="F252" t="s">
        <v>1233</v>
      </c>
    </row>
    <row r="253" spans="1:6" x14ac:dyDescent="0.55000000000000004">
      <c r="A253" s="6">
        <v>2.2861909734112389E+18</v>
      </c>
      <c r="B253">
        <v>5</v>
      </c>
      <c r="C253">
        <v>2</v>
      </c>
      <c r="D253">
        <v>3</v>
      </c>
      <c r="E253">
        <v>523</v>
      </c>
      <c r="F253" t="s">
        <v>1229</v>
      </c>
    </row>
    <row r="254" spans="1:6" x14ac:dyDescent="0.55000000000000004">
      <c r="A254" s="6">
        <v>2.3249921401549619E+18</v>
      </c>
      <c r="B254">
        <v>4</v>
      </c>
      <c r="C254">
        <v>1</v>
      </c>
      <c r="D254">
        <v>1</v>
      </c>
      <c r="E254">
        <v>411</v>
      </c>
      <c r="F254" t="s">
        <v>1233</v>
      </c>
    </row>
    <row r="255" spans="1:6" x14ac:dyDescent="0.55000000000000004">
      <c r="A255" s="6">
        <v>2.3287859527018061E+18</v>
      </c>
      <c r="B255">
        <v>5</v>
      </c>
      <c r="C255">
        <v>1</v>
      </c>
      <c r="D255">
        <v>2</v>
      </c>
      <c r="E255">
        <v>512</v>
      </c>
      <c r="F255" t="s">
        <v>1228</v>
      </c>
    </row>
    <row r="256" spans="1:6" x14ac:dyDescent="0.55000000000000004">
      <c r="A256" s="6">
        <v>2.3383858770138522E+18</v>
      </c>
      <c r="B256">
        <v>2</v>
      </c>
      <c r="C256">
        <v>1</v>
      </c>
      <c r="D256">
        <v>2</v>
      </c>
      <c r="E256">
        <v>212</v>
      </c>
      <c r="F256" t="s">
        <v>1234</v>
      </c>
    </row>
    <row r="257" spans="1:6" x14ac:dyDescent="0.55000000000000004">
      <c r="A257" s="6">
        <v>2.344110911434175E+18</v>
      </c>
      <c r="B257">
        <v>5</v>
      </c>
      <c r="C257">
        <v>2</v>
      </c>
      <c r="D257">
        <v>3</v>
      </c>
      <c r="E257">
        <v>523</v>
      </c>
      <c r="F257" t="s">
        <v>1229</v>
      </c>
    </row>
    <row r="258" spans="1:6" x14ac:dyDescent="0.55000000000000004">
      <c r="A258" s="6">
        <v>2.3506228402336369E+18</v>
      </c>
      <c r="B258">
        <v>4</v>
      </c>
      <c r="C258">
        <v>1</v>
      </c>
      <c r="D258">
        <v>3</v>
      </c>
      <c r="E258">
        <v>413</v>
      </c>
      <c r="F258" t="s">
        <v>1233</v>
      </c>
    </row>
    <row r="259" spans="1:6" x14ac:dyDescent="0.55000000000000004">
      <c r="A259" s="6">
        <v>2.350766272328E+18</v>
      </c>
      <c r="B259">
        <v>5</v>
      </c>
      <c r="C259">
        <v>1</v>
      </c>
      <c r="D259">
        <v>1</v>
      </c>
      <c r="E259">
        <v>511</v>
      </c>
      <c r="F259" t="s">
        <v>1228</v>
      </c>
    </row>
    <row r="260" spans="1:6" x14ac:dyDescent="0.55000000000000004">
      <c r="A260" s="6">
        <v>2.3568634158670162E+18</v>
      </c>
      <c r="B260">
        <v>3</v>
      </c>
      <c r="C260">
        <v>1</v>
      </c>
      <c r="D260">
        <v>2</v>
      </c>
      <c r="E260">
        <v>312</v>
      </c>
      <c r="F260" t="s">
        <v>1233</v>
      </c>
    </row>
    <row r="261" spans="1:6" x14ac:dyDescent="0.55000000000000004">
      <c r="A261" s="6">
        <v>2.35868579751746E+18</v>
      </c>
      <c r="B261">
        <v>1</v>
      </c>
      <c r="C261">
        <v>1</v>
      </c>
      <c r="D261">
        <v>1</v>
      </c>
      <c r="E261">
        <v>111</v>
      </c>
      <c r="F261" t="s">
        <v>1234</v>
      </c>
    </row>
    <row r="262" spans="1:6" x14ac:dyDescent="0.55000000000000004">
      <c r="A262" s="6">
        <v>2.3691286549144228E+18</v>
      </c>
      <c r="B262">
        <v>5</v>
      </c>
      <c r="C262">
        <v>1</v>
      </c>
      <c r="D262">
        <v>2</v>
      </c>
      <c r="E262">
        <v>512</v>
      </c>
      <c r="F262" t="s">
        <v>1228</v>
      </c>
    </row>
    <row r="263" spans="1:6" x14ac:dyDescent="0.55000000000000004">
      <c r="A263" s="6">
        <v>2.3773168916203341E+18</v>
      </c>
      <c r="B263">
        <v>5</v>
      </c>
      <c r="C263">
        <v>1</v>
      </c>
      <c r="D263">
        <v>3</v>
      </c>
      <c r="E263">
        <v>513</v>
      </c>
      <c r="F263" t="s">
        <v>1228</v>
      </c>
    </row>
    <row r="264" spans="1:6" x14ac:dyDescent="0.55000000000000004">
      <c r="A264" s="6">
        <v>2.392089550787735E+18</v>
      </c>
      <c r="B264">
        <v>4</v>
      </c>
      <c r="C264">
        <v>1</v>
      </c>
      <c r="D264">
        <v>2</v>
      </c>
      <c r="E264">
        <v>412</v>
      </c>
      <c r="F264" t="s">
        <v>1233</v>
      </c>
    </row>
    <row r="265" spans="1:6" x14ac:dyDescent="0.55000000000000004">
      <c r="A265" s="6">
        <v>2.3946474641006162E+18</v>
      </c>
      <c r="B265">
        <v>2</v>
      </c>
      <c r="C265">
        <v>2</v>
      </c>
      <c r="D265">
        <v>2</v>
      </c>
      <c r="E265">
        <v>222</v>
      </c>
      <c r="F265" t="s">
        <v>1234</v>
      </c>
    </row>
    <row r="266" spans="1:6" x14ac:dyDescent="0.55000000000000004">
      <c r="A266" s="6">
        <v>2.4027411443830999E+18</v>
      </c>
      <c r="B266">
        <v>3</v>
      </c>
      <c r="C266">
        <v>2</v>
      </c>
      <c r="D266">
        <v>2</v>
      </c>
      <c r="E266">
        <v>322</v>
      </c>
      <c r="F266" t="s">
        <v>1233</v>
      </c>
    </row>
    <row r="267" spans="1:6" x14ac:dyDescent="0.55000000000000004">
      <c r="A267" s="6">
        <v>2.4494809714764979E+18</v>
      </c>
      <c r="B267">
        <v>4</v>
      </c>
      <c r="C267">
        <v>1</v>
      </c>
      <c r="D267">
        <v>3</v>
      </c>
      <c r="E267">
        <v>413</v>
      </c>
      <c r="F267" t="s">
        <v>1233</v>
      </c>
    </row>
    <row r="268" spans="1:6" x14ac:dyDescent="0.55000000000000004">
      <c r="A268" s="6">
        <v>2.4867096858662651E+18</v>
      </c>
      <c r="B268">
        <v>4</v>
      </c>
      <c r="C268">
        <v>1</v>
      </c>
      <c r="D268">
        <v>3</v>
      </c>
      <c r="E268">
        <v>413</v>
      </c>
      <c r="F268" t="s">
        <v>1233</v>
      </c>
    </row>
    <row r="269" spans="1:6" x14ac:dyDescent="0.55000000000000004">
      <c r="A269" s="6">
        <v>2.4900764070208317E+18</v>
      </c>
      <c r="B269">
        <v>5</v>
      </c>
      <c r="C269">
        <v>2</v>
      </c>
      <c r="D269">
        <v>2</v>
      </c>
      <c r="E269">
        <v>522</v>
      </c>
      <c r="F269" t="s">
        <v>1229</v>
      </c>
    </row>
    <row r="270" spans="1:6" x14ac:dyDescent="0.55000000000000004">
      <c r="A270" s="6">
        <v>2.4913460905217208E+18</v>
      </c>
      <c r="B270">
        <v>5</v>
      </c>
      <c r="C270">
        <v>1</v>
      </c>
      <c r="D270">
        <v>1</v>
      </c>
      <c r="E270">
        <v>511</v>
      </c>
      <c r="F270" t="s">
        <v>1228</v>
      </c>
    </row>
    <row r="271" spans="1:6" x14ac:dyDescent="0.55000000000000004">
      <c r="A271" s="6">
        <v>2.4955275502023101E+18</v>
      </c>
      <c r="B271">
        <v>4</v>
      </c>
      <c r="C271">
        <v>2</v>
      </c>
      <c r="D271">
        <v>3</v>
      </c>
      <c r="E271">
        <v>423</v>
      </c>
      <c r="F271" t="s">
        <v>1229</v>
      </c>
    </row>
    <row r="272" spans="1:6" x14ac:dyDescent="0.55000000000000004">
      <c r="A272" s="6">
        <v>2.4981247657363702E+18</v>
      </c>
      <c r="B272">
        <v>5</v>
      </c>
      <c r="C272">
        <v>1</v>
      </c>
      <c r="D272">
        <v>1</v>
      </c>
      <c r="E272">
        <v>511</v>
      </c>
      <c r="F272" t="s">
        <v>1228</v>
      </c>
    </row>
    <row r="273" spans="1:6" x14ac:dyDescent="0.55000000000000004">
      <c r="A273" s="6">
        <v>2.5108968822276541E+18</v>
      </c>
      <c r="B273">
        <v>5</v>
      </c>
      <c r="C273">
        <v>1</v>
      </c>
      <c r="D273">
        <v>2</v>
      </c>
      <c r="E273">
        <v>512</v>
      </c>
      <c r="F273" t="s">
        <v>1228</v>
      </c>
    </row>
    <row r="274" spans="1:6" x14ac:dyDescent="0.55000000000000004">
      <c r="A274" s="6">
        <v>2.5146266350727972E+18</v>
      </c>
      <c r="B274">
        <v>4</v>
      </c>
      <c r="C274">
        <v>3</v>
      </c>
      <c r="D274">
        <v>3</v>
      </c>
      <c r="E274">
        <v>433</v>
      </c>
      <c r="F274" t="s">
        <v>1230</v>
      </c>
    </row>
    <row r="275" spans="1:6" x14ac:dyDescent="0.55000000000000004">
      <c r="A275" s="6">
        <v>2.5383376278167301E+18</v>
      </c>
      <c r="B275">
        <v>3</v>
      </c>
      <c r="C275">
        <v>1</v>
      </c>
      <c r="D275">
        <v>2</v>
      </c>
      <c r="E275">
        <v>312</v>
      </c>
      <c r="F275" t="s">
        <v>1233</v>
      </c>
    </row>
    <row r="276" spans="1:6" x14ac:dyDescent="0.55000000000000004">
      <c r="A276" s="6">
        <v>2.5412988130793498E+18</v>
      </c>
      <c r="B276">
        <v>5</v>
      </c>
      <c r="C276">
        <v>1</v>
      </c>
      <c r="D276">
        <v>3</v>
      </c>
      <c r="E276">
        <v>513</v>
      </c>
      <c r="F276" t="s">
        <v>1228</v>
      </c>
    </row>
    <row r="277" spans="1:6" x14ac:dyDescent="0.55000000000000004">
      <c r="A277" s="6">
        <v>2.5423728986190152E+18</v>
      </c>
      <c r="B277">
        <v>5</v>
      </c>
      <c r="C277">
        <v>1</v>
      </c>
      <c r="D277">
        <v>1</v>
      </c>
      <c r="E277">
        <v>511</v>
      </c>
      <c r="F277" t="s">
        <v>1228</v>
      </c>
    </row>
    <row r="278" spans="1:6" x14ac:dyDescent="0.55000000000000004">
      <c r="A278" s="6">
        <v>2.5432399269405757E+18</v>
      </c>
      <c r="B278">
        <v>2</v>
      </c>
      <c r="C278">
        <v>1</v>
      </c>
      <c r="D278">
        <v>1</v>
      </c>
      <c r="E278">
        <v>211</v>
      </c>
      <c r="F278" t="s">
        <v>1234</v>
      </c>
    </row>
    <row r="279" spans="1:6" x14ac:dyDescent="0.55000000000000004">
      <c r="A279" s="6">
        <v>2.545330524848702E+18</v>
      </c>
      <c r="B279">
        <v>4</v>
      </c>
      <c r="C279">
        <v>1</v>
      </c>
      <c r="D279">
        <v>2</v>
      </c>
      <c r="E279">
        <v>412</v>
      </c>
      <c r="F279" t="s">
        <v>1233</v>
      </c>
    </row>
    <row r="280" spans="1:6" x14ac:dyDescent="0.55000000000000004">
      <c r="A280" s="6">
        <v>2.5502594470247168E+18</v>
      </c>
      <c r="B280">
        <v>3</v>
      </c>
      <c r="C280">
        <v>1</v>
      </c>
      <c r="D280">
        <v>2</v>
      </c>
      <c r="E280">
        <v>312</v>
      </c>
      <c r="F280" t="s">
        <v>1233</v>
      </c>
    </row>
    <row r="281" spans="1:6" x14ac:dyDescent="0.55000000000000004">
      <c r="A281" s="6">
        <v>2.558484207246827E+18</v>
      </c>
      <c r="B281">
        <v>3</v>
      </c>
      <c r="C281">
        <v>1</v>
      </c>
      <c r="D281">
        <v>2</v>
      </c>
      <c r="E281">
        <v>312</v>
      </c>
      <c r="F281" t="s">
        <v>1233</v>
      </c>
    </row>
    <row r="282" spans="1:6" x14ac:dyDescent="0.55000000000000004">
      <c r="A282" s="6">
        <v>2.5593155119467418E+18</v>
      </c>
      <c r="B282">
        <v>5</v>
      </c>
      <c r="C282">
        <v>1</v>
      </c>
      <c r="D282">
        <v>3</v>
      </c>
      <c r="E282">
        <v>513</v>
      </c>
      <c r="F282" t="s">
        <v>1228</v>
      </c>
    </row>
    <row r="283" spans="1:6" x14ac:dyDescent="0.55000000000000004">
      <c r="A283" s="6">
        <v>2.5609919502683709E+18</v>
      </c>
      <c r="B283">
        <v>2</v>
      </c>
      <c r="C283">
        <v>3</v>
      </c>
      <c r="D283">
        <v>2</v>
      </c>
      <c r="E283">
        <v>232</v>
      </c>
      <c r="F283" t="s">
        <v>1231</v>
      </c>
    </row>
    <row r="284" spans="1:6" x14ac:dyDescent="0.55000000000000004">
      <c r="A284" s="6">
        <v>2.564259622408022E+18</v>
      </c>
      <c r="B284">
        <v>5</v>
      </c>
      <c r="C284">
        <v>3</v>
      </c>
      <c r="D284">
        <v>3</v>
      </c>
      <c r="E284">
        <v>533</v>
      </c>
      <c r="F284" t="s">
        <v>1230</v>
      </c>
    </row>
    <row r="285" spans="1:6" x14ac:dyDescent="0.55000000000000004">
      <c r="A285" s="6">
        <v>2.5732596732259671E+18</v>
      </c>
      <c r="B285">
        <v>4</v>
      </c>
      <c r="C285">
        <v>1</v>
      </c>
      <c r="D285">
        <v>2</v>
      </c>
      <c r="E285">
        <v>412</v>
      </c>
      <c r="F285" t="s">
        <v>1233</v>
      </c>
    </row>
    <row r="286" spans="1:6" x14ac:dyDescent="0.55000000000000004">
      <c r="A286" s="6">
        <v>2.5752748189004631E+18</v>
      </c>
      <c r="B286">
        <v>5</v>
      </c>
      <c r="C286">
        <v>2</v>
      </c>
      <c r="D286">
        <v>3</v>
      </c>
      <c r="E286">
        <v>523</v>
      </c>
      <c r="F286" t="s">
        <v>1229</v>
      </c>
    </row>
    <row r="287" spans="1:6" x14ac:dyDescent="0.55000000000000004">
      <c r="A287" s="6">
        <v>2.5753164287762079E+18</v>
      </c>
      <c r="B287">
        <v>4</v>
      </c>
      <c r="C287">
        <v>3</v>
      </c>
      <c r="D287">
        <v>3</v>
      </c>
      <c r="E287">
        <v>433</v>
      </c>
      <c r="F287" t="s">
        <v>1230</v>
      </c>
    </row>
    <row r="288" spans="1:6" x14ac:dyDescent="0.55000000000000004">
      <c r="A288" s="6">
        <v>2.5758306272859781E+18</v>
      </c>
      <c r="B288">
        <v>5</v>
      </c>
      <c r="C288">
        <v>2</v>
      </c>
      <c r="D288">
        <v>2</v>
      </c>
      <c r="E288">
        <v>522</v>
      </c>
      <c r="F288" t="s">
        <v>1229</v>
      </c>
    </row>
    <row r="289" spans="1:6" x14ac:dyDescent="0.55000000000000004">
      <c r="A289" s="6">
        <v>2.5776502472543529E+18</v>
      </c>
      <c r="B289">
        <v>3</v>
      </c>
      <c r="C289">
        <v>1</v>
      </c>
      <c r="D289">
        <v>3</v>
      </c>
      <c r="E289">
        <v>313</v>
      </c>
      <c r="F289" t="s">
        <v>1233</v>
      </c>
    </row>
    <row r="290" spans="1:6" x14ac:dyDescent="0.55000000000000004">
      <c r="A290" s="6">
        <v>2.6030239575829929E+18</v>
      </c>
      <c r="B290">
        <v>2</v>
      </c>
      <c r="C290">
        <v>1</v>
      </c>
      <c r="D290">
        <v>3</v>
      </c>
      <c r="E290">
        <v>213</v>
      </c>
      <c r="F290" t="s">
        <v>1234</v>
      </c>
    </row>
    <row r="291" spans="1:6" x14ac:dyDescent="0.55000000000000004">
      <c r="A291" s="6">
        <v>2.6197504961558559E+18</v>
      </c>
      <c r="B291">
        <v>4</v>
      </c>
      <c r="C291">
        <v>2</v>
      </c>
      <c r="D291">
        <v>2</v>
      </c>
      <c r="E291">
        <v>422</v>
      </c>
      <c r="F291" t="s">
        <v>1229</v>
      </c>
    </row>
    <row r="292" spans="1:6" x14ac:dyDescent="0.55000000000000004">
      <c r="A292" s="6">
        <v>2.6197657737649992E+18</v>
      </c>
      <c r="B292">
        <v>5</v>
      </c>
      <c r="C292">
        <v>2</v>
      </c>
      <c r="D292">
        <v>3</v>
      </c>
      <c r="E292">
        <v>523</v>
      </c>
      <c r="F292" t="s">
        <v>1229</v>
      </c>
    </row>
    <row r="293" spans="1:6" x14ac:dyDescent="0.55000000000000004">
      <c r="A293" s="6">
        <v>2.62748593945662E+18</v>
      </c>
      <c r="B293">
        <v>4</v>
      </c>
      <c r="C293">
        <v>1</v>
      </c>
      <c r="D293">
        <v>2</v>
      </c>
      <c r="E293">
        <v>412</v>
      </c>
      <c r="F293" t="s">
        <v>1233</v>
      </c>
    </row>
    <row r="294" spans="1:6" x14ac:dyDescent="0.55000000000000004">
      <c r="A294" s="6">
        <v>2.6449074443805271E+18</v>
      </c>
      <c r="B294">
        <v>4</v>
      </c>
      <c r="C294">
        <v>1</v>
      </c>
      <c r="D294">
        <v>1</v>
      </c>
      <c r="E294">
        <v>411</v>
      </c>
      <c r="F294" t="s">
        <v>1233</v>
      </c>
    </row>
    <row r="295" spans="1:6" x14ac:dyDescent="0.55000000000000004">
      <c r="A295" s="6">
        <v>2.6558718654448399E+18</v>
      </c>
      <c r="B295">
        <v>2</v>
      </c>
      <c r="C295">
        <v>1</v>
      </c>
      <c r="D295">
        <v>2</v>
      </c>
      <c r="E295">
        <v>212</v>
      </c>
      <c r="F295" t="s">
        <v>1234</v>
      </c>
    </row>
    <row r="296" spans="1:6" x14ac:dyDescent="0.55000000000000004">
      <c r="A296" s="6">
        <v>2.663254991129406E+18</v>
      </c>
      <c r="B296">
        <v>4</v>
      </c>
      <c r="C296">
        <v>1</v>
      </c>
      <c r="D296">
        <v>3</v>
      </c>
      <c r="E296">
        <v>413</v>
      </c>
      <c r="F296" t="s">
        <v>1233</v>
      </c>
    </row>
    <row r="297" spans="1:6" x14ac:dyDescent="0.55000000000000004">
      <c r="A297" s="6">
        <v>2.66430046480576E+18</v>
      </c>
      <c r="B297">
        <v>5</v>
      </c>
      <c r="C297">
        <v>1</v>
      </c>
      <c r="D297">
        <v>2</v>
      </c>
      <c r="E297">
        <v>512</v>
      </c>
      <c r="F297" t="s">
        <v>1228</v>
      </c>
    </row>
    <row r="298" spans="1:6" x14ac:dyDescent="0.55000000000000004">
      <c r="A298" s="6">
        <v>2.6685497503073772E+18</v>
      </c>
      <c r="B298">
        <v>4</v>
      </c>
      <c r="C298">
        <v>1</v>
      </c>
      <c r="D298">
        <v>3</v>
      </c>
      <c r="E298">
        <v>413</v>
      </c>
      <c r="F298" t="s">
        <v>1233</v>
      </c>
    </row>
    <row r="299" spans="1:6" x14ac:dyDescent="0.55000000000000004">
      <c r="A299" s="6">
        <v>2.6721041171314299E+18</v>
      </c>
      <c r="B299">
        <v>4</v>
      </c>
      <c r="C299">
        <v>1</v>
      </c>
      <c r="D299">
        <v>2</v>
      </c>
      <c r="E299">
        <v>412</v>
      </c>
      <c r="F299" t="s">
        <v>1233</v>
      </c>
    </row>
    <row r="300" spans="1:6" x14ac:dyDescent="0.55000000000000004">
      <c r="A300" s="6">
        <v>2.6757948269741338E+18</v>
      </c>
      <c r="B300">
        <v>1</v>
      </c>
      <c r="C300">
        <v>1</v>
      </c>
      <c r="D300">
        <v>1</v>
      </c>
      <c r="E300">
        <v>111</v>
      </c>
      <c r="F300" t="s">
        <v>1234</v>
      </c>
    </row>
    <row r="301" spans="1:6" x14ac:dyDescent="0.55000000000000004">
      <c r="A301" s="6">
        <v>2.6856549616065859E+18</v>
      </c>
      <c r="B301">
        <v>5</v>
      </c>
      <c r="C301">
        <v>1</v>
      </c>
      <c r="D301">
        <v>2</v>
      </c>
      <c r="E301">
        <v>512</v>
      </c>
      <c r="F301" t="s">
        <v>1228</v>
      </c>
    </row>
    <row r="302" spans="1:6" x14ac:dyDescent="0.55000000000000004">
      <c r="A302" s="6">
        <v>2.6861049038826102E+18</v>
      </c>
      <c r="B302">
        <v>3</v>
      </c>
      <c r="C302">
        <v>1</v>
      </c>
      <c r="D302">
        <v>2</v>
      </c>
      <c r="E302">
        <v>312</v>
      </c>
      <c r="F302" t="s">
        <v>1233</v>
      </c>
    </row>
    <row r="303" spans="1:6" x14ac:dyDescent="0.55000000000000004">
      <c r="A303" s="6">
        <v>2.6866862189319229E+18</v>
      </c>
      <c r="B303">
        <v>5</v>
      </c>
      <c r="C303">
        <v>1</v>
      </c>
      <c r="D303">
        <v>1</v>
      </c>
      <c r="E303">
        <v>511</v>
      </c>
      <c r="F303" t="s">
        <v>1228</v>
      </c>
    </row>
    <row r="304" spans="1:6" x14ac:dyDescent="0.55000000000000004">
      <c r="A304" s="6">
        <v>2.7343455953754409E+18</v>
      </c>
      <c r="B304">
        <v>3</v>
      </c>
      <c r="C304">
        <v>1</v>
      </c>
      <c r="D304">
        <v>1</v>
      </c>
      <c r="E304">
        <v>311</v>
      </c>
      <c r="F304" t="s">
        <v>1233</v>
      </c>
    </row>
    <row r="305" spans="1:6" x14ac:dyDescent="0.55000000000000004">
      <c r="A305" s="6">
        <v>2.7658005217164191E+18</v>
      </c>
      <c r="B305">
        <v>4</v>
      </c>
      <c r="C305">
        <v>2</v>
      </c>
      <c r="D305">
        <v>3</v>
      </c>
      <c r="E305">
        <v>423</v>
      </c>
      <c r="F305" t="s">
        <v>1229</v>
      </c>
    </row>
    <row r="306" spans="1:6" x14ac:dyDescent="0.55000000000000004">
      <c r="A306" s="6">
        <v>2.7738114444906752E+18</v>
      </c>
      <c r="B306">
        <v>5</v>
      </c>
      <c r="C306">
        <v>1</v>
      </c>
      <c r="D306">
        <v>2</v>
      </c>
      <c r="E306">
        <v>512</v>
      </c>
      <c r="F306" t="s">
        <v>1228</v>
      </c>
    </row>
    <row r="307" spans="1:6" x14ac:dyDescent="0.55000000000000004">
      <c r="A307" s="6">
        <v>2.7772083311998751E+18</v>
      </c>
      <c r="B307">
        <v>4</v>
      </c>
      <c r="C307">
        <v>1</v>
      </c>
      <c r="D307">
        <v>1</v>
      </c>
      <c r="E307">
        <v>411</v>
      </c>
      <c r="F307" t="s">
        <v>1233</v>
      </c>
    </row>
    <row r="308" spans="1:6" x14ac:dyDescent="0.55000000000000004">
      <c r="A308" s="6">
        <v>2.8029851890586148E+18</v>
      </c>
      <c r="B308">
        <v>2</v>
      </c>
      <c r="C308">
        <v>1</v>
      </c>
      <c r="D308">
        <v>2</v>
      </c>
      <c r="E308">
        <v>212</v>
      </c>
      <c r="F308" t="s">
        <v>1234</v>
      </c>
    </row>
    <row r="309" spans="1:6" x14ac:dyDescent="0.55000000000000004">
      <c r="A309" s="6">
        <v>2.8202571640566118E+18</v>
      </c>
      <c r="B309">
        <v>3</v>
      </c>
      <c r="C309">
        <v>1</v>
      </c>
      <c r="D309">
        <v>2</v>
      </c>
      <c r="E309">
        <v>312</v>
      </c>
      <c r="F309" t="s">
        <v>1233</v>
      </c>
    </row>
    <row r="310" spans="1:6" x14ac:dyDescent="0.55000000000000004">
      <c r="A310" s="6">
        <v>2.842375249748479E+18</v>
      </c>
      <c r="B310">
        <v>5</v>
      </c>
      <c r="C310">
        <v>1</v>
      </c>
      <c r="D310">
        <v>1</v>
      </c>
      <c r="E310">
        <v>511</v>
      </c>
      <c r="F310" t="s">
        <v>1228</v>
      </c>
    </row>
    <row r="311" spans="1:6" x14ac:dyDescent="0.55000000000000004">
      <c r="A311" s="6">
        <v>2.845766777001474E+18</v>
      </c>
      <c r="B311">
        <v>1</v>
      </c>
      <c r="C311">
        <v>1</v>
      </c>
      <c r="D311">
        <v>3</v>
      </c>
      <c r="E311">
        <v>113</v>
      </c>
      <c r="F311" t="s">
        <v>1234</v>
      </c>
    </row>
    <row r="312" spans="1:6" x14ac:dyDescent="0.55000000000000004">
      <c r="A312" s="6">
        <v>2.848642907880043E+18</v>
      </c>
      <c r="B312">
        <v>5</v>
      </c>
      <c r="C312">
        <v>1</v>
      </c>
      <c r="D312">
        <v>2</v>
      </c>
      <c r="E312">
        <v>512</v>
      </c>
      <c r="F312" t="s">
        <v>1228</v>
      </c>
    </row>
    <row r="313" spans="1:6" x14ac:dyDescent="0.55000000000000004">
      <c r="A313" s="6">
        <v>2.8520025775292242E+18</v>
      </c>
      <c r="B313">
        <v>5</v>
      </c>
      <c r="C313">
        <v>2</v>
      </c>
      <c r="D313">
        <v>2</v>
      </c>
      <c r="E313">
        <v>522</v>
      </c>
      <c r="F313" t="s">
        <v>1229</v>
      </c>
    </row>
    <row r="314" spans="1:6" x14ac:dyDescent="0.55000000000000004">
      <c r="A314" s="6">
        <v>2.85584285525694E+18</v>
      </c>
      <c r="B314">
        <v>3</v>
      </c>
      <c r="C314">
        <v>1</v>
      </c>
      <c r="D314">
        <v>3</v>
      </c>
      <c r="E314">
        <v>313</v>
      </c>
      <c r="F314" t="s">
        <v>1233</v>
      </c>
    </row>
    <row r="315" spans="1:6" x14ac:dyDescent="0.55000000000000004">
      <c r="A315" s="6">
        <v>2.8651927368076319E+18</v>
      </c>
      <c r="B315">
        <v>5</v>
      </c>
      <c r="C315">
        <v>2</v>
      </c>
      <c r="D315">
        <v>3</v>
      </c>
      <c r="E315">
        <v>523</v>
      </c>
      <c r="F315" t="s">
        <v>1229</v>
      </c>
    </row>
    <row r="316" spans="1:6" x14ac:dyDescent="0.55000000000000004">
      <c r="A316" s="6">
        <v>2.8791522318330199E+18</v>
      </c>
      <c r="B316">
        <v>5</v>
      </c>
      <c r="C316">
        <v>2</v>
      </c>
      <c r="D316">
        <v>2</v>
      </c>
      <c r="E316">
        <v>522</v>
      </c>
      <c r="F316" t="s">
        <v>1229</v>
      </c>
    </row>
    <row r="317" spans="1:6" x14ac:dyDescent="0.55000000000000004">
      <c r="A317" s="6">
        <v>2.8870954126147809E+18</v>
      </c>
      <c r="B317">
        <v>1</v>
      </c>
      <c r="C317">
        <v>1</v>
      </c>
      <c r="D317">
        <v>1</v>
      </c>
      <c r="E317">
        <v>111</v>
      </c>
      <c r="F317" t="s">
        <v>1234</v>
      </c>
    </row>
    <row r="318" spans="1:6" x14ac:dyDescent="0.55000000000000004">
      <c r="A318" s="6">
        <v>2.8875629570672712E+18</v>
      </c>
      <c r="B318">
        <v>4</v>
      </c>
      <c r="C318">
        <v>1</v>
      </c>
      <c r="D318">
        <v>2</v>
      </c>
      <c r="E318">
        <v>412</v>
      </c>
      <c r="F318" t="s">
        <v>1233</v>
      </c>
    </row>
    <row r="319" spans="1:6" x14ac:dyDescent="0.55000000000000004">
      <c r="A319" s="6">
        <v>2.8877773766432451E+18</v>
      </c>
      <c r="B319">
        <v>4</v>
      </c>
      <c r="C319">
        <v>2</v>
      </c>
      <c r="D319">
        <v>2</v>
      </c>
      <c r="E319">
        <v>422</v>
      </c>
      <c r="F319" t="s">
        <v>1229</v>
      </c>
    </row>
    <row r="320" spans="1:6" x14ac:dyDescent="0.55000000000000004">
      <c r="A320" s="6">
        <v>2.9129142691757379E+18</v>
      </c>
      <c r="B320">
        <v>2</v>
      </c>
      <c r="C320">
        <v>1</v>
      </c>
      <c r="D320">
        <v>3</v>
      </c>
      <c r="E320">
        <v>213</v>
      </c>
      <c r="F320" t="s">
        <v>1234</v>
      </c>
    </row>
    <row r="321" spans="1:6" x14ac:dyDescent="0.55000000000000004">
      <c r="A321" s="6">
        <v>2.9446560957322291E+18</v>
      </c>
      <c r="B321">
        <v>2</v>
      </c>
      <c r="C321">
        <v>2</v>
      </c>
      <c r="D321">
        <v>1</v>
      </c>
      <c r="E321">
        <v>221</v>
      </c>
      <c r="F321" t="s">
        <v>1234</v>
      </c>
    </row>
    <row r="322" spans="1:6" x14ac:dyDescent="0.55000000000000004">
      <c r="A322" s="6">
        <v>2.9736787866978289E+18</v>
      </c>
      <c r="B322">
        <v>3</v>
      </c>
      <c r="C322">
        <v>1</v>
      </c>
      <c r="D322">
        <v>3</v>
      </c>
      <c r="E322">
        <v>313</v>
      </c>
      <c r="F322" t="s">
        <v>1233</v>
      </c>
    </row>
    <row r="323" spans="1:6" x14ac:dyDescent="0.55000000000000004">
      <c r="A323" s="6">
        <v>2.9797603071166321E+18</v>
      </c>
      <c r="B323">
        <v>3</v>
      </c>
      <c r="C323">
        <v>1</v>
      </c>
      <c r="D323">
        <v>1</v>
      </c>
      <c r="E323">
        <v>311</v>
      </c>
      <c r="F323" t="s">
        <v>1233</v>
      </c>
    </row>
    <row r="324" spans="1:6" x14ac:dyDescent="0.55000000000000004">
      <c r="A324" s="6">
        <v>2.9901190696250619E+18</v>
      </c>
      <c r="B324">
        <v>5</v>
      </c>
      <c r="C324">
        <v>1</v>
      </c>
      <c r="D324">
        <v>3</v>
      </c>
      <c r="E324">
        <v>513</v>
      </c>
      <c r="F324" t="s">
        <v>1228</v>
      </c>
    </row>
    <row r="325" spans="1:6" x14ac:dyDescent="0.55000000000000004">
      <c r="A325" s="6">
        <v>2.9959445171180252E+18</v>
      </c>
      <c r="B325">
        <v>4</v>
      </c>
      <c r="C325">
        <v>2</v>
      </c>
      <c r="D325">
        <v>2</v>
      </c>
      <c r="E325">
        <v>422</v>
      </c>
      <c r="F325" t="s">
        <v>1229</v>
      </c>
    </row>
    <row r="326" spans="1:6" x14ac:dyDescent="0.55000000000000004">
      <c r="A326" s="6">
        <v>3.0045239399906529E+18</v>
      </c>
      <c r="B326">
        <v>2</v>
      </c>
      <c r="C326">
        <v>1</v>
      </c>
      <c r="D326">
        <v>1</v>
      </c>
      <c r="E326">
        <v>211</v>
      </c>
      <c r="F326" t="s">
        <v>1234</v>
      </c>
    </row>
    <row r="327" spans="1:6" x14ac:dyDescent="0.55000000000000004">
      <c r="A327" s="6">
        <v>3.0219644670991872E+18</v>
      </c>
      <c r="B327">
        <v>5</v>
      </c>
      <c r="C327">
        <v>1</v>
      </c>
      <c r="D327">
        <v>2</v>
      </c>
      <c r="E327">
        <v>512</v>
      </c>
      <c r="F327" t="s">
        <v>1228</v>
      </c>
    </row>
    <row r="328" spans="1:6" x14ac:dyDescent="0.55000000000000004">
      <c r="A328" s="6">
        <v>3.0220258818479959E+18</v>
      </c>
      <c r="B328">
        <v>5</v>
      </c>
      <c r="C328">
        <v>1</v>
      </c>
      <c r="D328">
        <v>3</v>
      </c>
      <c r="E328">
        <v>513</v>
      </c>
      <c r="F328" t="s">
        <v>1228</v>
      </c>
    </row>
    <row r="329" spans="1:6" x14ac:dyDescent="0.55000000000000004">
      <c r="A329" s="6">
        <v>3.02857581497137E+18</v>
      </c>
      <c r="B329">
        <v>4</v>
      </c>
      <c r="C329">
        <v>1</v>
      </c>
      <c r="D329">
        <v>2</v>
      </c>
      <c r="E329">
        <v>412</v>
      </c>
      <c r="F329" t="s">
        <v>1233</v>
      </c>
    </row>
    <row r="330" spans="1:6" x14ac:dyDescent="0.55000000000000004">
      <c r="A330" s="6">
        <v>3.03090006843757E+18</v>
      </c>
      <c r="B330">
        <v>1</v>
      </c>
      <c r="C330">
        <v>1</v>
      </c>
      <c r="D330">
        <v>1</v>
      </c>
      <c r="E330">
        <v>111</v>
      </c>
      <c r="F330" t="s">
        <v>1234</v>
      </c>
    </row>
    <row r="331" spans="1:6" x14ac:dyDescent="0.55000000000000004">
      <c r="A331" s="6">
        <v>3.0362242245227602E+18</v>
      </c>
      <c r="B331">
        <v>5</v>
      </c>
      <c r="C331">
        <v>1</v>
      </c>
      <c r="D331">
        <v>1</v>
      </c>
      <c r="E331">
        <v>511</v>
      </c>
      <c r="F331" t="s">
        <v>1228</v>
      </c>
    </row>
    <row r="332" spans="1:6" x14ac:dyDescent="0.55000000000000004">
      <c r="A332" s="6">
        <v>3.0395197140953411E+18</v>
      </c>
      <c r="B332">
        <v>4</v>
      </c>
      <c r="C332">
        <v>1</v>
      </c>
      <c r="D332">
        <v>2</v>
      </c>
      <c r="E332">
        <v>412</v>
      </c>
      <c r="F332" t="s">
        <v>1233</v>
      </c>
    </row>
    <row r="333" spans="1:6" x14ac:dyDescent="0.55000000000000004">
      <c r="A333" s="6">
        <v>3.0412224008892979E+18</v>
      </c>
      <c r="B333">
        <v>1</v>
      </c>
      <c r="C333">
        <v>1</v>
      </c>
      <c r="D333">
        <v>1</v>
      </c>
      <c r="E333">
        <v>111</v>
      </c>
      <c r="F333" t="s">
        <v>1234</v>
      </c>
    </row>
    <row r="334" spans="1:6" x14ac:dyDescent="0.55000000000000004">
      <c r="A334" s="6">
        <v>3.0469260425050271E+18</v>
      </c>
      <c r="B334">
        <v>4</v>
      </c>
      <c r="C334">
        <v>1</v>
      </c>
      <c r="D334">
        <v>3</v>
      </c>
      <c r="E334">
        <v>413</v>
      </c>
      <c r="F334" t="s">
        <v>1233</v>
      </c>
    </row>
    <row r="335" spans="1:6" x14ac:dyDescent="0.55000000000000004">
      <c r="A335" s="6">
        <v>3.0502653338408781E+18</v>
      </c>
      <c r="B335">
        <v>4</v>
      </c>
      <c r="C335">
        <v>2</v>
      </c>
      <c r="D335">
        <v>3</v>
      </c>
      <c r="E335">
        <v>423</v>
      </c>
      <c r="F335" t="s">
        <v>1229</v>
      </c>
    </row>
    <row r="336" spans="1:6" x14ac:dyDescent="0.55000000000000004">
      <c r="A336" s="6">
        <v>3.0577265044639652E+18</v>
      </c>
      <c r="B336">
        <v>4</v>
      </c>
      <c r="C336">
        <v>1</v>
      </c>
      <c r="D336">
        <v>2</v>
      </c>
      <c r="E336">
        <v>412</v>
      </c>
      <c r="F336" t="s">
        <v>1233</v>
      </c>
    </row>
    <row r="337" spans="1:6" x14ac:dyDescent="0.55000000000000004">
      <c r="A337" s="6">
        <v>3.0587753631777741E+18</v>
      </c>
      <c r="B337">
        <v>3</v>
      </c>
      <c r="C337">
        <v>1</v>
      </c>
      <c r="D337">
        <v>2</v>
      </c>
      <c r="E337">
        <v>312</v>
      </c>
      <c r="F337" t="s">
        <v>1233</v>
      </c>
    </row>
    <row r="338" spans="1:6" x14ac:dyDescent="0.55000000000000004">
      <c r="A338" s="6">
        <v>3.0632376063521802E+18</v>
      </c>
      <c r="B338">
        <v>5</v>
      </c>
      <c r="C338">
        <v>1</v>
      </c>
      <c r="D338">
        <v>2</v>
      </c>
      <c r="E338">
        <v>512</v>
      </c>
      <c r="F338" t="s">
        <v>1228</v>
      </c>
    </row>
    <row r="339" spans="1:6" x14ac:dyDescent="0.55000000000000004">
      <c r="A339" s="6">
        <v>3.0682120085675418E+18</v>
      </c>
      <c r="B339">
        <v>4</v>
      </c>
      <c r="C339">
        <v>2</v>
      </c>
      <c r="D339">
        <v>2</v>
      </c>
      <c r="E339">
        <v>422</v>
      </c>
      <c r="F339" t="s">
        <v>1229</v>
      </c>
    </row>
    <row r="340" spans="1:6" x14ac:dyDescent="0.55000000000000004">
      <c r="A340" s="6">
        <v>3.0717687172480732E+18</v>
      </c>
      <c r="B340">
        <v>4</v>
      </c>
      <c r="C340">
        <v>1</v>
      </c>
      <c r="D340">
        <v>2</v>
      </c>
      <c r="E340">
        <v>412</v>
      </c>
      <c r="F340" t="s">
        <v>1233</v>
      </c>
    </row>
    <row r="341" spans="1:6" x14ac:dyDescent="0.55000000000000004">
      <c r="A341" s="6">
        <v>3.0757907403433108E+18</v>
      </c>
      <c r="B341">
        <v>5</v>
      </c>
      <c r="C341">
        <v>1</v>
      </c>
      <c r="D341">
        <v>1</v>
      </c>
      <c r="E341">
        <v>511</v>
      </c>
      <c r="F341" t="s">
        <v>1228</v>
      </c>
    </row>
    <row r="342" spans="1:6" x14ac:dyDescent="0.55000000000000004">
      <c r="A342" s="6">
        <v>3.1044372114244818E+18</v>
      </c>
      <c r="B342">
        <v>3</v>
      </c>
      <c r="C342">
        <v>1</v>
      </c>
      <c r="D342">
        <v>3</v>
      </c>
      <c r="E342">
        <v>313</v>
      </c>
      <c r="F342" t="s">
        <v>1233</v>
      </c>
    </row>
    <row r="343" spans="1:6" x14ac:dyDescent="0.55000000000000004">
      <c r="A343" s="6">
        <v>3.1102893808012759E+18</v>
      </c>
      <c r="B343">
        <v>5</v>
      </c>
      <c r="C343">
        <v>1</v>
      </c>
      <c r="D343">
        <v>3</v>
      </c>
      <c r="E343">
        <v>513</v>
      </c>
      <c r="F343" t="s">
        <v>1228</v>
      </c>
    </row>
    <row r="344" spans="1:6" x14ac:dyDescent="0.55000000000000004">
      <c r="A344" s="6">
        <v>3.113980125917739E+18</v>
      </c>
      <c r="B344">
        <v>3</v>
      </c>
      <c r="C344">
        <v>2</v>
      </c>
      <c r="D344">
        <v>2</v>
      </c>
      <c r="E344">
        <v>322</v>
      </c>
      <c r="F344" t="s">
        <v>1233</v>
      </c>
    </row>
    <row r="345" spans="1:6" x14ac:dyDescent="0.55000000000000004">
      <c r="A345" s="6">
        <v>3.1248014644552192E+18</v>
      </c>
      <c r="B345">
        <v>4</v>
      </c>
      <c r="C345">
        <v>1</v>
      </c>
      <c r="D345">
        <v>1</v>
      </c>
      <c r="E345">
        <v>411</v>
      </c>
      <c r="F345" t="s">
        <v>1233</v>
      </c>
    </row>
    <row r="346" spans="1:6" x14ac:dyDescent="0.55000000000000004">
      <c r="A346" s="6">
        <v>3.1371779394058742E+18</v>
      </c>
      <c r="B346">
        <v>4</v>
      </c>
      <c r="C346">
        <v>1</v>
      </c>
      <c r="D346">
        <v>1</v>
      </c>
      <c r="E346">
        <v>411</v>
      </c>
      <c r="F346" t="s">
        <v>1233</v>
      </c>
    </row>
    <row r="347" spans="1:6" x14ac:dyDescent="0.55000000000000004">
      <c r="A347" s="6">
        <v>3.1427461519250831E+18</v>
      </c>
      <c r="B347">
        <v>4</v>
      </c>
      <c r="C347">
        <v>1</v>
      </c>
      <c r="D347">
        <v>1</v>
      </c>
      <c r="E347">
        <v>411</v>
      </c>
      <c r="F347" t="s">
        <v>1233</v>
      </c>
    </row>
    <row r="348" spans="1:6" x14ac:dyDescent="0.55000000000000004">
      <c r="A348" s="6">
        <v>3.1432583679414472E+18</v>
      </c>
      <c r="B348">
        <v>5</v>
      </c>
      <c r="C348">
        <v>2</v>
      </c>
      <c r="D348">
        <v>2</v>
      </c>
      <c r="E348">
        <v>522</v>
      </c>
      <c r="F348" t="s">
        <v>1229</v>
      </c>
    </row>
    <row r="349" spans="1:6" x14ac:dyDescent="0.55000000000000004">
      <c r="A349" s="6">
        <v>3.1471119326611548E+18</v>
      </c>
      <c r="B349">
        <v>3</v>
      </c>
      <c r="C349">
        <v>1</v>
      </c>
      <c r="D349">
        <v>3</v>
      </c>
      <c r="E349">
        <v>313</v>
      </c>
      <c r="F349" t="s">
        <v>1233</v>
      </c>
    </row>
    <row r="350" spans="1:6" x14ac:dyDescent="0.55000000000000004">
      <c r="A350" s="6">
        <v>3.148239023525054E+18</v>
      </c>
      <c r="B350">
        <v>5</v>
      </c>
      <c r="C350">
        <v>1</v>
      </c>
      <c r="D350">
        <v>3</v>
      </c>
      <c r="E350">
        <v>513</v>
      </c>
      <c r="F350" t="s">
        <v>1228</v>
      </c>
    </row>
    <row r="351" spans="1:6" x14ac:dyDescent="0.55000000000000004">
      <c r="A351" s="6">
        <v>3.1686350128026348E+18</v>
      </c>
      <c r="B351">
        <v>2</v>
      </c>
      <c r="C351">
        <v>1</v>
      </c>
      <c r="D351">
        <v>2</v>
      </c>
      <c r="E351">
        <v>212</v>
      </c>
      <c r="F351" t="s">
        <v>1234</v>
      </c>
    </row>
    <row r="352" spans="1:6" x14ac:dyDescent="0.55000000000000004">
      <c r="A352" s="6">
        <v>3.178430187051071E+18</v>
      </c>
      <c r="B352">
        <v>5</v>
      </c>
      <c r="C352">
        <v>1</v>
      </c>
      <c r="D352">
        <v>1</v>
      </c>
      <c r="E352">
        <v>511</v>
      </c>
      <c r="F352" t="s">
        <v>1228</v>
      </c>
    </row>
    <row r="353" spans="1:6" x14ac:dyDescent="0.55000000000000004">
      <c r="A353" s="6">
        <v>3.1814770390967332E+18</v>
      </c>
      <c r="B353">
        <v>4</v>
      </c>
      <c r="C353">
        <v>1</v>
      </c>
      <c r="D353">
        <v>2</v>
      </c>
      <c r="E353">
        <v>412</v>
      </c>
      <c r="F353" t="s">
        <v>1233</v>
      </c>
    </row>
    <row r="354" spans="1:6" x14ac:dyDescent="0.55000000000000004">
      <c r="A354" s="6">
        <v>3.1915338919570048E+18</v>
      </c>
      <c r="B354">
        <v>3</v>
      </c>
      <c r="C354">
        <v>1</v>
      </c>
      <c r="D354">
        <v>2</v>
      </c>
      <c r="E354">
        <v>312</v>
      </c>
      <c r="F354" t="s">
        <v>1233</v>
      </c>
    </row>
    <row r="355" spans="1:6" x14ac:dyDescent="0.55000000000000004">
      <c r="A355" s="6">
        <v>3.1980819334937871E+18</v>
      </c>
      <c r="B355">
        <v>5</v>
      </c>
      <c r="C355">
        <v>1</v>
      </c>
      <c r="D355">
        <v>1</v>
      </c>
      <c r="E355">
        <v>511</v>
      </c>
      <c r="F355" t="s">
        <v>1228</v>
      </c>
    </row>
    <row r="356" spans="1:6" x14ac:dyDescent="0.55000000000000004">
      <c r="A356" s="6">
        <v>3.1994363334983782E+18</v>
      </c>
      <c r="B356">
        <v>5</v>
      </c>
      <c r="C356">
        <v>1</v>
      </c>
      <c r="D356">
        <v>3</v>
      </c>
      <c r="E356">
        <v>513</v>
      </c>
      <c r="F356" t="s">
        <v>1228</v>
      </c>
    </row>
    <row r="357" spans="1:6" x14ac:dyDescent="0.55000000000000004">
      <c r="A357" s="6">
        <v>3.2028183476818959E+18</v>
      </c>
      <c r="B357">
        <v>5</v>
      </c>
      <c r="C357">
        <v>2</v>
      </c>
      <c r="D357">
        <v>2</v>
      </c>
      <c r="E357">
        <v>522</v>
      </c>
      <c r="F357" t="s">
        <v>1229</v>
      </c>
    </row>
    <row r="358" spans="1:6" x14ac:dyDescent="0.55000000000000004">
      <c r="A358" s="6">
        <v>3.2040072584547528E+18</v>
      </c>
      <c r="B358">
        <v>4</v>
      </c>
      <c r="C358">
        <v>1</v>
      </c>
      <c r="D358">
        <v>1</v>
      </c>
      <c r="E358">
        <v>411</v>
      </c>
      <c r="F358" t="s">
        <v>1233</v>
      </c>
    </row>
    <row r="359" spans="1:6" x14ac:dyDescent="0.55000000000000004">
      <c r="A359" s="6">
        <v>3.2151136791418732E+18</v>
      </c>
      <c r="B359">
        <v>1</v>
      </c>
      <c r="C359">
        <v>1</v>
      </c>
      <c r="D359">
        <v>1</v>
      </c>
      <c r="E359">
        <v>111</v>
      </c>
      <c r="F359" t="s">
        <v>1234</v>
      </c>
    </row>
    <row r="360" spans="1:6" x14ac:dyDescent="0.55000000000000004">
      <c r="A360" s="6">
        <v>3.2447675441447608E+18</v>
      </c>
      <c r="B360">
        <v>4</v>
      </c>
      <c r="C360">
        <v>2</v>
      </c>
      <c r="D360">
        <v>3</v>
      </c>
      <c r="E360">
        <v>423</v>
      </c>
      <c r="F360" t="s">
        <v>1229</v>
      </c>
    </row>
    <row r="361" spans="1:6" x14ac:dyDescent="0.55000000000000004">
      <c r="A361" s="6">
        <v>3.2454530566074941E+18</v>
      </c>
      <c r="B361">
        <v>4</v>
      </c>
      <c r="C361">
        <v>1</v>
      </c>
      <c r="D361">
        <v>3</v>
      </c>
      <c r="E361">
        <v>413</v>
      </c>
      <c r="F361" t="s">
        <v>1233</v>
      </c>
    </row>
    <row r="362" spans="1:6" x14ac:dyDescent="0.55000000000000004">
      <c r="A362" s="6">
        <v>3.2482827640987121E+18</v>
      </c>
      <c r="B362">
        <v>4</v>
      </c>
      <c r="C362">
        <v>1</v>
      </c>
      <c r="D362">
        <v>3</v>
      </c>
      <c r="E362">
        <v>413</v>
      </c>
      <c r="F362" t="s">
        <v>1233</v>
      </c>
    </row>
    <row r="363" spans="1:6" x14ac:dyDescent="0.55000000000000004">
      <c r="A363" s="6">
        <v>3.2544412848118932E+18</v>
      </c>
      <c r="B363">
        <v>5</v>
      </c>
      <c r="C363">
        <v>1</v>
      </c>
      <c r="D363">
        <v>2</v>
      </c>
      <c r="E363">
        <v>512</v>
      </c>
      <c r="F363" t="s">
        <v>1228</v>
      </c>
    </row>
    <row r="364" spans="1:6" x14ac:dyDescent="0.55000000000000004">
      <c r="A364" s="6">
        <v>3.2594632490669732E+18</v>
      </c>
      <c r="B364">
        <v>5</v>
      </c>
      <c r="C364">
        <v>2</v>
      </c>
      <c r="D364">
        <v>2</v>
      </c>
      <c r="E364">
        <v>522</v>
      </c>
      <c r="F364" t="s">
        <v>1229</v>
      </c>
    </row>
    <row r="365" spans="1:6" x14ac:dyDescent="0.55000000000000004">
      <c r="A365" s="6">
        <v>3.2625381701961421E+18</v>
      </c>
      <c r="B365">
        <v>5</v>
      </c>
      <c r="C365">
        <v>1</v>
      </c>
      <c r="D365">
        <v>2</v>
      </c>
      <c r="E365">
        <v>512</v>
      </c>
      <c r="F365" t="s">
        <v>1228</v>
      </c>
    </row>
    <row r="366" spans="1:6" x14ac:dyDescent="0.55000000000000004">
      <c r="A366" s="6">
        <v>3.263288518696343E+18</v>
      </c>
      <c r="B366">
        <v>4</v>
      </c>
      <c r="C366">
        <v>3</v>
      </c>
      <c r="D366">
        <v>3</v>
      </c>
      <c r="E366">
        <v>433</v>
      </c>
      <c r="F366" t="s">
        <v>1230</v>
      </c>
    </row>
    <row r="367" spans="1:6" x14ac:dyDescent="0.55000000000000004">
      <c r="A367" s="6">
        <v>3.2743342909548442E+18</v>
      </c>
      <c r="B367">
        <v>4</v>
      </c>
      <c r="C367">
        <v>1</v>
      </c>
      <c r="D367">
        <v>1</v>
      </c>
      <c r="E367">
        <v>411</v>
      </c>
      <c r="F367" t="s">
        <v>1233</v>
      </c>
    </row>
    <row r="368" spans="1:6" x14ac:dyDescent="0.55000000000000004">
      <c r="A368" s="6">
        <v>3.283349759280599E+18</v>
      </c>
      <c r="B368">
        <v>3</v>
      </c>
      <c r="C368">
        <v>2</v>
      </c>
      <c r="D368">
        <v>2</v>
      </c>
      <c r="E368">
        <v>322</v>
      </c>
      <c r="F368" t="s">
        <v>1233</v>
      </c>
    </row>
    <row r="369" spans="1:6" x14ac:dyDescent="0.55000000000000004">
      <c r="A369" s="6">
        <v>3.2861226853835218E+18</v>
      </c>
      <c r="B369">
        <v>3</v>
      </c>
      <c r="C369">
        <v>1</v>
      </c>
      <c r="D369">
        <v>1</v>
      </c>
      <c r="E369">
        <v>311</v>
      </c>
      <c r="F369" t="s">
        <v>1233</v>
      </c>
    </row>
    <row r="370" spans="1:6" x14ac:dyDescent="0.55000000000000004">
      <c r="A370" s="6">
        <v>3.2887384232777748E+18</v>
      </c>
      <c r="B370">
        <v>3</v>
      </c>
      <c r="C370">
        <v>2</v>
      </c>
      <c r="D370">
        <v>3</v>
      </c>
      <c r="E370">
        <v>323</v>
      </c>
      <c r="F370" t="s">
        <v>1233</v>
      </c>
    </row>
    <row r="371" spans="1:6" x14ac:dyDescent="0.55000000000000004">
      <c r="A371" s="6">
        <v>3.291601169534828E+18</v>
      </c>
      <c r="B371">
        <v>2</v>
      </c>
      <c r="C371">
        <v>1</v>
      </c>
      <c r="D371">
        <v>3</v>
      </c>
      <c r="E371">
        <v>213</v>
      </c>
      <c r="F371" t="s">
        <v>1234</v>
      </c>
    </row>
    <row r="372" spans="1:6" x14ac:dyDescent="0.55000000000000004">
      <c r="A372" s="6">
        <v>3.3061567698177551E+18</v>
      </c>
      <c r="B372">
        <v>2</v>
      </c>
      <c r="C372">
        <v>2</v>
      </c>
      <c r="D372">
        <v>3</v>
      </c>
      <c r="E372">
        <v>223</v>
      </c>
      <c r="F372" t="s">
        <v>1234</v>
      </c>
    </row>
    <row r="373" spans="1:6" x14ac:dyDescent="0.55000000000000004">
      <c r="A373" s="6">
        <v>3.3153944179223782E+18</v>
      </c>
      <c r="B373">
        <v>4</v>
      </c>
      <c r="C373">
        <v>1</v>
      </c>
      <c r="D373">
        <v>3</v>
      </c>
      <c r="E373">
        <v>413</v>
      </c>
      <c r="F373" t="s">
        <v>1233</v>
      </c>
    </row>
    <row r="374" spans="1:6" x14ac:dyDescent="0.55000000000000004">
      <c r="A374" s="6">
        <v>3.3162710235033569E+18</v>
      </c>
      <c r="B374">
        <v>3</v>
      </c>
      <c r="C374">
        <v>1</v>
      </c>
      <c r="D374">
        <v>2</v>
      </c>
      <c r="E374">
        <v>312</v>
      </c>
      <c r="F374" t="s">
        <v>1233</v>
      </c>
    </row>
    <row r="375" spans="1:6" x14ac:dyDescent="0.55000000000000004">
      <c r="A375" s="6">
        <v>3.3189942654190188E+18</v>
      </c>
      <c r="B375">
        <v>5</v>
      </c>
      <c r="C375">
        <v>1</v>
      </c>
      <c r="D375">
        <v>1</v>
      </c>
      <c r="E375">
        <v>511</v>
      </c>
      <c r="F375" t="s">
        <v>1228</v>
      </c>
    </row>
    <row r="376" spans="1:6" x14ac:dyDescent="0.55000000000000004">
      <c r="A376" s="6">
        <v>3.3311643714163379E+18</v>
      </c>
      <c r="B376">
        <v>4</v>
      </c>
      <c r="C376">
        <v>1</v>
      </c>
      <c r="D376">
        <v>3</v>
      </c>
      <c r="E376">
        <v>413</v>
      </c>
      <c r="F376" t="s">
        <v>1233</v>
      </c>
    </row>
    <row r="377" spans="1:6" x14ac:dyDescent="0.55000000000000004">
      <c r="A377" s="6">
        <v>3.3312355588157609E+18</v>
      </c>
      <c r="B377">
        <v>2</v>
      </c>
      <c r="C377">
        <v>1</v>
      </c>
      <c r="D377">
        <v>1</v>
      </c>
      <c r="E377">
        <v>211</v>
      </c>
      <c r="F377" t="s">
        <v>1234</v>
      </c>
    </row>
    <row r="378" spans="1:6" x14ac:dyDescent="0.55000000000000004">
      <c r="A378" s="6">
        <v>3.3357923261150618E+18</v>
      </c>
      <c r="B378">
        <v>4</v>
      </c>
      <c r="C378">
        <v>1</v>
      </c>
      <c r="D378">
        <v>1</v>
      </c>
      <c r="E378">
        <v>411</v>
      </c>
      <c r="F378" t="s">
        <v>1233</v>
      </c>
    </row>
    <row r="379" spans="1:6" x14ac:dyDescent="0.55000000000000004">
      <c r="A379" s="6">
        <v>3.3396038889079619E+18</v>
      </c>
      <c r="B379">
        <v>1</v>
      </c>
      <c r="C379">
        <v>1</v>
      </c>
      <c r="D379">
        <v>1</v>
      </c>
      <c r="E379">
        <v>111</v>
      </c>
      <c r="F379" t="s">
        <v>1234</v>
      </c>
    </row>
    <row r="380" spans="1:6" x14ac:dyDescent="0.55000000000000004">
      <c r="A380" s="6">
        <v>3.350444082874046E+18</v>
      </c>
      <c r="B380">
        <v>4</v>
      </c>
      <c r="C380">
        <v>1</v>
      </c>
      <c r="D380">
        <v>1</v>
      </c>
      <c r="E380">
        <v>411</v>
      </c>
      <c r="F380" t="s">
        <v>1233</v>
      </c>
    </row>
    <row r="381" spans="1:6" x14ac:dyDescent="0.55000000000000004">
      <c r="A381" s="6">
        <v>3.3563322919753088E+18</v>
      </c>
      <c r="B381">
        <v>4</v>
      </c>
      <c r="C381">
        <v>1</v>
      </c>
      <c r="D381">
        <v>1</v>
      </c>
      <c r="E381">
        <v>411</v>
      </c>
      <c r="F381" t="s">
        <v>1233</v>
      </c>
    </row>
    <row r="382" spans="1:6" x14ac:dyDescent="0.55000000000000004">
      <c r="A382" s="6">
        <v>3.3612971625853112E+18</v>
      </c>
      <c r="B382">
        <v>4</v>
      </c>
      <c r="C382">
        <v>1</v>
      </c>
      <c r="D382">
        <v>2</v>
      </c>
      <c r="E382">
        <v>412</v>
      </c>
      <c r="F382" t="s">
        <v>1233</v>
      </c>
    </row>
    <row r="383" spans="1:6" x14ac:dyDescent="0.55000000000000004">
      <c r="A383" s="6">
        <v>3.3758106690651448E+18</v>
      </c>
      <c r="B383">
        <v>5</v>
      </c>
      <c r="C383">
        <v>1</v>
      </c>
      <c r="D383">
        <v>1</v>
      </c>
      <c r="E383">
        <v>511</v>
      </c>
      <c r="F383" t="s">
        <v>1228</v>
      </c>
    </row>
    <row r="384" spans="1:6" x14ac:dyDescent="0.55000000000000004">
      <c r="A384" s="6">
        <v>3.389320589001964E+18</v>
      </c>
      <c r="B384">
        <v>4</v>
      </c>
      <c r="C384">
        <v>1</v>
      </c>
      <c r="D384">
        <v>1</v>
      </c>
      <c r="E384">
        <v>411</v>
      </c>
      <c r="F384" t="s">
        <v>1233</v>
      </c>
    </row>
    <row r="385" spans="1:6" x14ac:dyDescent="0.55000000000000004">
      <c r="A385" s="6">
        <v>3.3897601747129359E+18</v>
      </c>
      <c r="B385">
        <v>5</v>
      </c>
      <c r="C385">
        <v>1</v>
      </c>
      <c r="D385">
        <v>1</v>
      </c>
      <c r="E385">
        <v>511</v>
      </c>
      <c r="F385" t="s">
        <v>1228</v>
      </c>
    </row>
    <row r="386" spans="1:6" x14ac:dyDescent="0.55000000000000004">
      <c r="A386" s="6">
        <v>3.3916304403181389E+18</v>
      </c>
      <c r="B386">
        <v>4</v>
      </c>
      <c r="C386">
        <v>2</v>
      </c>
      <c r="D386">
        <v>1</v>
      </c>
      <c r="E386">
        <v>421</v>
      </c>
      <c r="F386" t="s">
        <v>1229</v>
      </c>
    </row>
    <row r="387" spans="1:6" x14ac:dyDescent="0.55000000000000004">
      <c r="A387" s="6">
        <v>3.4031196728040279E+18</v>
      </c>
      <c r="B387">
        <v>5</v>
      </c>
      <c r="C387">
        <v>2</v>
      </c>
      <c r="D387">
        <v>3</v>
      </c>
      <c r="E387">
        <v>523</v>
      </c>
      <c r="F387" t="s">
        <v>1229</v>
      </c>
    </row>
    <row r="388" spans="1:6" x14ac:dyDescent="0.55000000000000004">
      <c r="A388" s="6">
        <v>3.4405352088394808E+18</v>
      </c>
      <c r="B388">
        <v>4</v>
      </c>
      <c r="C388">
        <v>1</v>
      </c>
      <c r="D388">
        <v>3</v>
      </c>
      <c r="E388">
        <v>413</v>
      </c>
      <c r="F388" t="s">
        <v>1233</v>
      </c>
    </row>
    <row r="389" spans="1:6" x14ac:dyDescent="0.55000000000000004">
      <c r="A389" s="6">
        <v>3.4691662447143552E+18</v>
      </c>
      <c r="B389">
        <v>5</v>
      </c>
      <c r="C389">
        <v>1</v>
      </c>
      <c r="D389">
        <v>2</v>
      </c>
      <c r="E389">
        <v>512</v>
      </c>
      <c r="F389" t="s">
        <v>1228</v>
      </c>
    </row>
    <row r="390" spans="1:6" x14ac:dyDescent="0.55000000000000004">
      <c r="A390" s="6">
        <v>3.4752083850087532E+18</v>
      </c>
      <c r="B390">
        <v>2</v>
      </c>
      <c r="C390">
        <v>2</v>
      </c>
      <c r="D390">
        <v>2</v>
      </c>
      <c r="E390">
        <v>222</v>
      </c>
      <c r="F390" t="s">
        <v>1234</v>
      </c>
    </row>
    <row r="391" spans="1:6" x14ac:dyDescent="0.55000000000000004">
      <c r="A391" s="6">
        <v>3.480663857075008E+18</v>
      </c>
      <c r="B391">
        <v>5</v>
      </c>
      <c r="C391">
        <v>1</v>
      </c>
      <c r="D391">
        <v>3</v>
      </c>
      <c r="E391">
        <v>513</v>
      </c>
      <c r="F391" t="s">
        <v>1228</v>
      </c>
    </row>
    <row r="392" spans="1:6" x14ac:dyDescent="0.55000000000000004">
      <c r="A392" s="6">
        <v>3.4990096452295839E+18</v>
      </c>
      <c r="B392">
        <v>4</v>
      </c>
      <c r="C392">
        <v>3</v>
      </c>
      <c r="D392">
        <v>2</v>
      </c>
      <c r="E392">
        <v>432</v>
      </c>
      <c r="F392" t="s">
        <v>1230</v>
      </c>
    </row>
    <row r="393" spans="1:6" x14ac:dyDescent="0.55000000000000004">
      <c r="A393" s="6">
        <v>3.501801518888918E+18</v>
      </c>
      <c r="B393">
        <v>5</v>
      </c>
      <c r="C393">
        <v>1</v>
      </c>
      <c r="D393">
        <v>2</v>
      </c>
      <c r="E393">
        <v>512</v>
      </c>
      <c r="F393" t="s">
        <v>1228</v>
      </c>
    </row>
    <row r="394" spans="1:6" x14ac:dyDescent="0.55000000000000004">
      <c r="A394" s="6">
        <v>3.5050138743736602E+18</v>
      </c>
      <c r="B394">
        <v>5</v>
      </c>
      <c r="C394">
        <v>1</v>
      </c>
      <c r="D394">
        <v>1</v>
      </c>
      <c r="E394">
        <v>511</v>
      </c>
      <c r="F394" t="s">
        <v>1228</v>
      </c>
    </row>
    <row r="395" spans="1:6" x14ac:dyDescent="0.55000000000000004">
      <c r="A395" s="6">
        <v>3.5051572052441559E+18</v>
      </c>
      <c r="B395">
        <v>3</v>
      </c>
      <c r="C395">
        <v>1</v>
      </c>
      <c r="D395">
        <v>2</v>
      </c>
      <c r="E395">
        <v>312</v>
      </c>
      <c r="F395" t="s">
        <v>1233</v>
      </c>
    </row>
    <row r="396" spans="1:6" x14ac:dyDescent="0.55000000000000004">
      <c r="A396" s="6">
        <v>3.508511586932777E+18</v>
      </c>
      <c r="B396">
        <v>3</v>
      </c>
      <c r="C396">
        <v>1</v>
      </c>
      <c r="D396">
        <v>1</v>
      </c>
      <c r="E396">
        <v>311</v>
      </c>
      <c r="F396" t="s">
        <v>1233</v>
      </c>
    </row>
    <row r="397" spans="1:6" x14ac:dyDescent="0.55000000000000004">
      <c r="A397" s="6">
        <v>3.5334419115239562E+18</v>
      </c>
      <c r="B397">
        <v>5</v>
      </c>
      <c r="C397">
        <v>2</v>
      </c>
      <c r="D397">
        <v>3</v>
      </c>
      <c r="E397">
        <v>523</v>
      </c>
      <c r="F397" t="s">
        <v>1229</v>
      </c>
    </row>
    <row r="398" spans="1:6" x14ac:dyDescent="0.55000000000000004">
      <c r="A398" s="6">
        <v>3.5379622459849021E+18</v>
      </c>
      <c r="B398">
        <v>3</v>
      </c>
      <c r="C398">
        <v>1</v>
      </c>
      <c r="D398">
        <v>2</v>
      </c>
      <c r="E398">
        <v>312</v>
      </c>
      <c r="F398" t="s">
        <v>1233</v>
      </c>
    </row>
    <row r="399" spans="1:6" x14ac:dyDescent="0.55000000000000004">
      <c r="A399" s="6">
        <v>3.5415691263301038E+18</v>
      </c>
      <c r="B399">
        <v>4</v>
      </c>
      <c r="C399">
        <v>2</v>
      </c>
      <c r="D399">
        <v>3</v>
      </c>
      <c r="E399">
        <v>423</v>
      </c>
      <c r="F399" t="s">
        <v>1229</v>
      </c>
    </row>
    <row r="400" spans="1:6" x14ac:dyDescent="0.55000000000000004">
      <c r="A400" s="6">
        <v>3.54381987202991E+18</v>
      </c>
      <c r="B400">
        <v>3</v>
      </c>
      <c r="C400">
        <v>2</v>
      </c>
      <c r="D400">
        <v>3</v>
      </c>
      <c r="E400">
        <v>323</v>
      </c>
      <c r="F400" t="s">
        <v>1233</v>
      </c>
    </row>
    <row r="401" spans="1:6" x14ac:dyDescent="0.55000000000000004">
      <c r="A401" s="6">
        <v>3.5457981411118679E+18</v>
      </c>
      <c r="B401">
        <v>5</v>
      </c>
      <c r="C401">
        <v>1</v>
      </c>
      <c r="D401">
        <v>2</v>
      </c>
      <c r="E401">
        <v>512</v>
      </c>
      <c r="F401" t="s">
        <v>1228</v>
      </c>
    </row>
    <row r="402" spans="1:6" x14ac:dyDescent="0.55000000000000004">
      <c r="A402" s="6">
        <v>3.553242837015596E+18</v>
      </c>
      <c r="B402">
        <v>4</v>
      </c>
      <c r="C402">
        <v>1</v>
      </c>
      <c r="D402">
        <v>1</v>
      </c>
      <c r="E402">
        <v>411</v>
      </c>
      <c r="F402" t="s">
        <v>1233</v>
      </c>
    </row>
    <row r="403" spans="1:6" x14ac:dyDescent="0.55000000000000004">
      <c r="A403" s="6">
        <v>3.585305683131863E+18</v>
      </c>
      <c r="B403">
        <v>5</v>
      </c>
      <c r="C403">
        <v>1</v>
      </c>
      <c r="D403">
        <v>2</v>
      </c>
      <c r="E403">
        <v>512</v>
      </c>
      <c r="F403" t="s">
        <v>1228</v>
      </c>
    </row>
    <row r="404" spans="1:6" x14ac:dyDescent="0.55000000000000004">
      <c r="A404" s="6">
        <v>3.5856296985564948E+18</v>
      </c>
      <c r="B404">
        <v>4</v>
      </c>
      <c r="C404">
        <v>2</v>
      </c>
      <c r="D404">
        <v>3</v>
      </c>
      <c r="E404">
        <v>423</v>
      </c>
      <c r="F404" t="s">
        <v>1229</v>
      </c>
    </row>
    <row r="405" spans="1:6" x14ac:dyDescent="0.55000000000000004">
      <c r="A405" s="6">
        <v>3.5949493402033961E+18</v>
      </c>
      <c r="B405">
        <v>4</v>
      </c>
      <c r="C405">
        <v>1</v>
      </c>
      <c r="D405">
        <v>2</v>
      </c>
      <c r="E405">
        <v>412</v>
      </c>
      <c r="F405" t="s">
        <v>1233</v>
      </c>
    </row>
    <row r="406" spans="1:6" x14ac:dyDescent="0.55000000000000004">
      <c r="A406" s="6">
        <v>3.6054619238879939E+18</v>
      </c>
      <c r="B406">
        <v>4</v>
      </c>
      <c r="C406">
        <v>1</v>
      </c>
      <c r="D406">
        <v>2</v>
      </c>
      <c r="E406">
        <v>412</v>
      </c>
      <c r="F406" t="s">
        <v>1233</v>
      </c>
    </row>
    <row r="407" spans="1:6" x14ac:dyDescent="0.55000000000000004">
      <c r="A407" s="6">
        <v>3.6661285346706258E+18</v>
      </c>
      <c r="B407">
        <v>3</v>
      </c>
      <c r="C407">
        <v>1</v>
      </c>
      <c r="D407">
        <v>3</v>
      </c>
      <c r="E407">
        <v>313</v>
      </c>
      <c r="F407" t="s">
        <v>1233</v>
      </c>
    </row>
    <row r="408" spans="1:6" x14ac:dyDescent="0.55000000000000004">
      <c r="A408" s="6">
        <v>3.6716121384099502E+18</v>
      </c>
      <c r="B408">
        <v>2</v>
      </c>
      <c r="C408">
        <v>1</v>
      </c>
      <c r="D408">
        <v>1</v>
      </c>
      <c r="E408">
        <v>211</v>
      </c>
      <c r="F408" t="s">
        <v>1234</v>
      </c>
    </row>
    <row r="409" spans="1:6" x14ac:dyDescent="0.55000000000000004">
      <c r="A409" s="6">
        <v>3.674025689273685E+18</v>
      </c>
      <c r="B409">
        <v>5</v>
      </c>
      <c r="C409">
        <v>2</v>
      </c>
      <c r="D409">
        <v>3</v>
      </c>
      <c r="E409">
        <v>523</v>
      </c>
      <c r="F409" t="s">
        <v>1229</v>
      </c>
    </row>
    <row r="410" spans="1:6" x14ac:dyDescent="0.55000000000000004">
      <c r="A410" s="6">
        <v>3.6793056153410719E+18</v>
      </c>
      <c r="B410">
        <v>4</v>
      </c>
      <c r="C410">
        <v>1</v>
      </c>
      <c r="D410">
        <v>1</v>
      </c>
      <c r="E410">
        <v>411</v>
      </c>
      <c r="F410" t="s">
        <v>1233</v>
      </c>
    </row>
    <row r="411" spans="1:6" x14ac:dyDescent="0.55000000000000004">
      <c r="A411" s="6">
        <v>3.6801396179204372E+18</v>
      </c>
      <c r="B411">
        <v>4</v>
      </c>
      <c r="C411">
        <v>1</v>
      </c>
      <c r="D411">
        <v>3</v>
      </c>
      <c r="E411">
        <v>413</v>
      </c>
      <c r="F411" t="s">
        <v>1233</v>
      </c>
    </row>
    <row r="412" spans="1:6" x14ac:dyDescent="0.55000000000000004">
      <c r="A412" s="6">
        <v>3.6853730951080499E+18</v>
      </c>
      <c r="B412">
        <v>3</v>
      </c>
      <c r="C412">
        <v>1</v>
      </c>
      <c r="D412">
        <v>2</v>
      </c>
      <c r="E412">
        <v>312</v>
      </c>
      <c r="F412" t="s">
        <v>1233</v>
      </c>
    </row>
    <row r="413" spans="1:6" x14ac:dyDescent="0.55000000000000004">
      <c r="A413" s="6">
        <v>3.7002484709028562E+18</v>
      </c>
      <c r="B413">
        <v>4</v>
      </c>
      <c r="C413">
        <v>2</v>
      </c>
      <c r="D413">
        <v>3</v>
      </c>
      <c r="E413">
        <v>423</v>
      </c>
      <c r="F413" t="s">
        <v>1229</v>
      </c>
    </row>
    <row r="414" spans="1:6" x14ac:dyDescent="0.55000000000000004">
      <c r="A414" s="6">
        <v>3.722614482804054E+18</v>
      </c>
      <c r="B414">
        <v>1</v>
      </c>
      <c r="C414">
        <v>1</v>
      </c>
      <c r="D414">
        <v>2</v>
      </c>
      <c r="E414">
        <v>112</v>
      </c>
      <c r="F414" t="s">
        <v>1234</v>
      </c>
    </row>
    <row r="415" spans="1:6" x14ac:dyDescent="0.55000000000000004">
      <c r="A415" s="6">
        <v>3.723064905456257E+18</v>
      </c>
      <c r="B415">
        <v>2</v>
      </c>
      <c r="C415">
        <v>2</v>
      </c>
      <c r="D415">
        <v>1</v>
      </c>
      <c r="E415">
        <v>221</v>
      </c>
      <c r="F415" t="s">
        <v>1234</v>
      </c>
    </row>
    <row r="416" spans="1:6" x14ac:dyDescent="0.55000000000000004">
      <c r="A416" s="6">
        <v>3.746593368969024E+18</v>
      </c>
      <c r="B416">
        <v>3</v>
      </c>
      <c r="C416">
        <v>3</v>
      </c>
      <c r="D416">
        <v>1</v>
      </c>
      <c r="E416">
        <v>331</v>
      </c>
      <c r="F416" t="s">
        <v>1231</v>
      </c>
    </row>
    <row r="417" spans="1:6" x14ac:dyDescent="0.55000000000000004">
      <c r="A417" s="6">
        <v>3.7506769843068621E+18</v>
      </c>
      <c r="B417">
        <v>5</v>
      </c>
      <c r="C417">
        <v>1</v>
      </c>
      <c r="D417">
        <v>1</v>
      </c>
      <c r="E417">
        <v>511</v>
      </c>
      <c r="F417" t="s">
        <v>1228</v>
      </c>
    </row>
    <row r="418" spans="1:6" x14ac:dyDescent="0.55000000000000004">
      <c r="A418" s="6">
        <v>3.755355309603927E+18</v>
      </c>
      <c r="B418">
        <v>4</v>
      </c>
      <c r="C418">
        <v>1</v>
      </c>
      <c r="D418">
        <v>3</v>
      </c>
      <c r="E418">
        <v>413</v>
      </c>
      <c r="F418" t="s">
        <v>1233</v>
      </c>
    </row>
    <row r="419" spans="1:6" x14ac:dyDescent="0.55000000000000004">
      <c r="A419" s="6">
        <v>3.7565529610186588E+18</v>
      </c>
      <c r="B419">
        <v>5</v>
      </c>
      <c r="C419">
        <v>1</v>
      </c>
      <c r="D419">
        <v>1</v>
      </c>
      <c r="E419">
        <v>511</v>
      </c>
      <c r="F419" t="s">
        <v>1228</v>
      </c>
    </row>
    <row r="420" spans="1:6" x14ac:dyDescent="0.55000000000000004">
      <c r="A420" s="6">
        <v>3.7571927821574461E+18</v>
      </c>
      <c r="B420">
        <v>3</v>
      </c>
      <c r="C420">
        <v>1</v>
      </c>
      <c r="D420">
        <v>1</v>
      </c>
      <c r="E420">
        <v>311</v>
      </c>
      <c r="F420" t="s">
        <v>1233</v>
      </c>
    </row>
    <row r="421" spans="1:6" x14ac:dyDescent="0.55000000000000004">
      <c r="A421" s="6">
        <v>3.7705021680150861E+18</v>
      </c>
      <c r="B421">
        <v>1</v>
      </c>
      <c r="C421">
        <v>1</v>
      </c>
      <c r="D421">
        <v>2</v>
      </c>
      <c r="E421">
        <v>112</v>
      </c>
      <c r="F421" t="s">
        <v>1234</v>
      </c>
    </row>
    <row r="422" spans="1:6" x14ac:dyDescent="0.55000000000000004">
      <c r="A422" s="6">
        <v>3.7872091168844288E+18</v>
      </c>
      <c r="B422">
        <v>2</v>
      </c>
      <c r="C422">
        <v>2</v>
      </c>
      <c r="D422">
        <v>3</v>
      </c>
      <c r="E422">
        <v>223</v>
      </c>
      <c r="F422" t="s">
        <v>1234</v>
      </c>
    </row>
    <row r="423" spans="1:6" x14ac:dyDescent="0.55000000000000004">
      <c r="A423" s="6">
        <v>3.7951345674892979E+18</v>
      </c>
      <c r="B423">
        <v>5</v>
      </c>
      <c r="C423">
        <v>1</v>
      </c>
      <c r="D423">
        <v>1</v>
      </c>
      <c r="E423">
        <v>511</v>
      </c>
      <c r="F423" t="s">
        <v>1228</v>
      </c>
    </row>
    <row r="424" spans="1:6" x14ac:dyDescent="0.55000000000000004">
      <c r="A424" s="6">
        <v>3.8028052198150661E+18</v>
      </c>
      <c r="B424">
        <v>5</v>
      </c>
      <c r="C424">
        <v>1</v>
      </c>
      <c r="D424">
        <v>3</v>
      </c>
      <c r="E424">
        <v>513</v>
      </c>
      <c r="F424" t="s">
        <v>1228</v>
      </c>
    </row>
    <row r="425" spans="1:6" x14ac:dyDescent="0.55000000000000004">
      <c r="A425" s="6">
        <v>3.8030632454519009E+18</v>
      </c>
      <c r="B425">
        <v>5</v>
      </c>
      <c r="C425">
        <v>2</v>
      </c>
      <c r="D425">
        <v>3</v>
      </c>
      <c r="E425">
        <v>523</v>
      </c>
      <c r="F425" t="s">
        <v>1229</v>
      </c>
    </row>
    <row r="426" spans="1:6" x14ac:dyDescent="0.55000000000000004">
      <c r="A426" s="6">
        <v>3.8062534945437491E+18</v>
      </c>
      <c r="B426">
        <v>3</v>
      </c>
      <c r="C426">
        <v>1</v>
      </c>
      <c r="D426">
        <v>3</v>
      </c>
      <c r="E426">
        <v>313</v>
      </c>
      <c r="F426" t="s">
        <v>1233</v>
      </c>
    </row>
    <row r="427" spans="1:6" x14ac:dyDescent="0.55000000000000004">
      <c r="A427" s="6">
        <v>3.8104946415188419E+18</v>
      </c>
      <c r="B427">
        <v>5</v>
      </c>
      <c r="C427">
        <v>1</v>
      </c>
      <c r="D427">
        <v>3</v>
      </c>
      <c r="E427">
        <v>513</v>
      </c>
      <c r="F427" t="s">
        <v>1228</v>
      </c>
    </row>
    <row r="428" spans="1:6" x14ac:dyDescent="0.55000000000000004">
      <c r="A428" s="6">
        <v>3.8212681910665052E+18</v>
      </c>
      <c r="B428">
        <v>5</v>
      </c>
      <c r="C428">
        <v>2</v>
      </c>
      <c r="D428">
        <v>2</v>
      </c>
      <c r="E428">
        <v>522</v>
      </c>
      <c r="F428" t="s">
        <v>1229</v>
      </c>
    </row>
    <row r="429" spans="1:6" x14ac:dyDescent="0.55000000000000004">
      <c r="A429" s="6">
        <v>3.8213474236409672E+18</v>
      </c>
      <c r="B429">
        <v>3</v>
      </c>
      <c r="C429">
        <v>3</v>
      </c>
      <c r="D429">
        <v>3</v>
      </c>
      <c r="E429">
        <v>333</v>
      </c>
      <c r="F429" t="s">
        <v>1231</v>
      </c>
    </row>
    <row r="430" spans="1:6" x14ac:dyDescent="0.55000000000000004">
      <c r="A430" s="6">
        <v>3.8623480902649252E+18</v>
      </c>
      <c r="B430">
        <v>5</v>
      </c>
      <c r="C430">
        <v>1</v>
      </c>
      <c r="D430">
        <v>1</v>
      </c>
      <c r="E430">
        <v>511</v>
      </c>
      <c r="F430" t="s">
        <v>1228</v>
      </c>
    </row>
    <row r="431" spans="1:6" x14ac:dyDescent="0.55000000000000004">
      <c r="A431" s="6">
        <v>3.8623846872666322E+18</v>
      </c>
      <c r="B431">
        <v>4</v>
      </c>
      <c r="C431">
        <v>1</v>
      </c>
      <c r="D431">
        <v>2</v>
      </c>
      <c r="E431">
        <v>412</v>
      </c>
      <c r="F431" t="s">
        <v>1233</v>
      </c>
    </row>
    <row r="432" spans="1:6" x14ac:dyDescent="0.55000000000000004">
      <c r="A432" s="6">
        <v>3.8673138421728932E+18</v>
      </c>
      <c r="B432">
        <v>5</v>
      </c>
      <c r="C432">
        <v>2</v>
      </c>
      <c r="D432">
        <v>3</v>
      </c>
      <c r="E432">
        <v>523</v>
      </c>
      <c r="F432" t="s">
        <v>1229</v>
      </c>
    </row>
    <row r="433" spans="1:6" x14ac:dyDescent="0.55000000000000004">
      <c r="A433" s="6">
        <v>3.8718698369645599E+18</v>
      </c>
      <c r="B433">
        <v>3</v>
      </c>
      <c r="C433">
        <v>1</v>
      </c>
      <c r="D433">
        <v>1</v>
      </c>
      <c r="E433">
        <v>311</v>
      </c>
      <c r="F433" t="s">
        <v>1233</v>
      </c>
    </row>
    <row r="434" spans="1:6" x14ac:dyDescent="0.55000000000000004">
      <c r="A434" s="6">
        <v>3.8730926034270961E+18</v>
      </c>
      <c r="B434">
        <v>4</v>
      </c>
      <c r="C434">
        <v>3</v>
      </c>
      <c r="D434">
        <v>3</v>
      </c>
      <c r="E434">
        <v>433</v>
      </c>
      <c r="F434" t="s">
        <v>1230</v>
      </c>
    </row>
    <row r="435" spans="1:6" x14ac:dyDescent="0.55000000000000004">
      <c r="A435" s="6">
        <v>3.8820816954258478E+18</v>
      </c>
      <c r="B435">
        <v>4</v>
      </c>
      <c r="C435">
        <v>1</v>
      </c>
      <c r="D435">
        <v>1</v>
      </c>
      <c r="E435">
        <v>411</v>
      </c>
      <c r="F435" t="s">
        <v>1233</v>
      </c>
    </row>
    <row r="436" spans="1:6" x14ac:dyDescent="0.55000000000000004">
      <c r="A436" s="6">
        <v>3.8822343132996511E+18</v>
      </c>
      <c r="B436">
        <v>5</v>
      </c>
      <c r="C436">
        <v>3</v>
      </c>
      <c r="D436">
        <v>3</v>
      </c>
      <c r="E436">
        <v>533</v>
      </c>
      <c r="F436" t="s">
        <v>1230</v>
      </c>
    </row>
    <row r="437" spans="1:6" x14ac:dyDescent="0.55000000000000004">
      <c r="A437" s="6">
        <v>3.8856884712820838E+18</v>
      </c>
      <c r="B437">
        <v>2</v>
      </c>
      <c r="C437">
        <v>1</v>
      </c>
      <c r="D437">
        <v>1</v>
      </c>
      <c r="E437">
        <v>211</v>
      </c>
      <c r="F437" t="s">
        <v>1234</v>
      </c>
    </row>
    <row r="438" spans="1:6" x14ac:dyDescent="0.55000000000000004">
      <c r="A438" s="6">
        <v>3.8923791312289418E+18</v>
      </c>
      <c r="B438">
        <v>4</v>
      </c>
      <c r="C438">
        <v>1</v>
      </c>
      <c r="D438">
        <v>3</v>
      </c>
      <c r="E438">
        <v>413</v>
      </c>
      <c r="F438" t="s">
        <v>1233</v>
      </c>
    </row>
    <row r="439" spans="1:6" x14ac:dyDescent="0.55000000000000004">
      <c r="A439" s="6">
        <v>3.8996603096353321E+18</v>
      </c>
      <c r="B439">
        <v>5</v>
      </c>
      <c r="C439">
        <v>2</v>
      </c>
      <c r="D439">
        <v>3</v>
      </c>
      <c r="E439">
        <v>523</v>
      </c>
      <c r="F439" t="s">
        <v>1229</v>
      </c>
    </row>
    <row r="440" spans="1:6" x14ac:dyDescent="0.55000000000000004">
      <c r="A440" s="6">
        <v>3.9077561414754412E+18</v>
      </c>
      <c r="B440">
        <v>1</v>
      </c>
      <c r="C440">
        <v>1</v>
      </c>
      <c r="D440">
        <v>1</v>
      </c>
      <c r="E440">
        <v>111</v>
      </c>
      <c r="F440" t="s">
        <v>1234</v>
      </c>
    </row>
    <row r="441" spans="1:6" x14ac:dyDescent="0.55000000000000004">
      <c r="A441" s="6">
        <v>3.911655942259586E+18</v>
      </c>
      <c r="B441">
        <v>2</v>
      </c>
      <c r="C441">
        <v>1</v>
      </c>
      <c r="D441">
        <v>2</v>
      </c>
      <c r="E441">
        <v>212</v>
      </c>
      <c r="F441" t="s">
        <v>1234</v>
      </c>
    </row>
    <row r="442" spans="1:6" x14ac:dyDescent="0.55000000000000004">
      <c r="A442" s="6">
        <v>3.9149132213084621E+18</v>
      </c>
      <c r="B442">
        <v>3</v>
      </c>
      <c r="C442">
        <v>1</v>
      </c>
      <c r="D442">
        <v>2</v>
      </c>
      <c r="E442">
        <v>312</v>
      </c>
      <c r="F442" t="s">
        <v>1233</v>
      </c>
    </row>
    <row r="443" spans="1:6" x14ac:dyDescent="0.55000000000000004">
      <c r="A443" s="6">
        <v>3.91791813032032E+18</v>
      </c>
      <c r="B443">
        <v>4</v>
      </c>
      <c r="C443">
        <v>2</v>
      </c>
      <c r="D443">
        <v>1</v>
      </c>
      <c r="E443">
        <v>421</v>
      </c>
      <c r="F443" t="s">
        <v>1229</v>
      </c>
    </row>
    <row r="444" spans="1:6" x14ac:dyDescent="0.55000000000000004">
      <c r="A444" s="6">
        <v>3.9275450521629261E+18</v>
      </c>
      <c r="B444">
        <v>1</v>
      </c>
      <c r="C444">
        <v>1</v>
      </c>
      <c r="D444">
        <v>1</v>
      </c>
      <c r="E444">
        <v>111</v>
      </c>
      <c r="F444" t="s">
        <v>1234</v>
      </c>
    </row>
    <row r="445" spans="1:6" x14ac:dyDescent="0.55000000000000004">
      <c r="A445" s="6">
        <v>3.9325204183798779E+18</v>
      </c>
      <c r="B445">
        <v>5</v>
      </c>
      <c r="C445">
        <v>1</v>
      </c>
      <c r="D445">
        <v>2</v>
      </c>
      <c r="E445">
        <v>512</v>
      </c>
      <c r="F445" t="s">
        <v>1228</v>
      </c>
    </row>
    <row r="446" spans="1:6" x14ac:dyDescent="0.55000000000000004">
      <c r="A446" s="6">
        <v>3.9337276893371848E+18</v>
      </c>
      <c r="B446">
        <v>3</v>
      </c>
      <c r="C446">
        <v>2</v>
      </c>
      <c r="D446">
        <v>3</v>
      </c>
      <c r="E446">
        <v>323</v>
      </c>
      <c r="F446" t="s">
        <v>1233</v>
      </c>
    </row>
    <row r="447" spans="1:6" x14ac:dyDescent="0.55000000000000004">
      <c r="A447" s="6">
        <v>3.9440220148222531E+18</v>
      </c>
      <c r="B447">
        <v>5</v>
      </c>
      <c r="C447">
        <v>1</v>
      </c>
      <c r="D447">
        <v>2</v>
      </c>
      <c r="E447">
        <v>512</v>
      </c>
      <c r="F447" t="s">
        <v>1228</v>
      </c>
    </row>
    <row r="448" spans="1:6" x14ac:dyDescent="0.55000000000000004">
      <c r="A448" s="6">
        <v>3.9444617656284708E+18</v>
      </c>
      <c r="B448">
        <v>3</v>
      </c>
      <c r="C448">
        <v>1</v>
      </c>
      <c r="D448">
        <v>1</v>
      </c>
      <c r="E448">
        <v>311</v>
      </c>
      <c r="F448" t="s">
        <v>1233</v>
      </c>
    </row>
    <row r="449" spans="1:6" x14ac:dyDescent="0.55000000000000004">
      <c r="A449" s="6">
        <v>3.9926169556438211E+18</v>
      </c>
      <c r="B449">
        <v>5</v>
      </c>
      <c r="C449">
        <v>1</v>
      </c>
      <c r="D449">
        <v>2</v>
      </c>
      <c r="E449">
        <v>512</v>
      </c>
      <c r="F449" t="s">
        <v>1228</v>
      </c>
    </row>
    <row r="450" spans="1:6" x14ac:dyDescent="0.55000000000000004">
      <c r="A450" s="6">
        <v>4.0018623992861558E+18</v>
      </c>
      <c r="B450">
        <v>5</v>
      </c>
      <c r="C450">
        <v>2</v>
      </c>
      <c r="D450">
        <v>3</v>
      </c>
      <c r="E450">
        <v>523</v>
      </c>
      <c r="F450" t="s">
        <v>1229</v>
      </c>
    </row>
    <row r="451" spans="1:6" x14ac:dyDescent="0.55000000000000004">
      <c r="A451" s="6">
        <v>4.0074036940112302E+18</v>
      </c>
      <c r="B451">
        <v>5</v>
      </c>
      <c r="C451">
        <v>2</v>
      </c>
      <c r="D451">
        <v>3</v>
      </c>
      <c r="E451">
        <v>523</v>
      </c>
      <c r="F451" t="s">
        <v>1229</v>
      </c>
    </row>
    <row r="452" spans="1:6" x14ac:dyDescent="0.55000000000000004">
      <c r="A452" s="6">
        <v>4.0114768138737981E+18</v>
      </c>
      <c r="B452">
        <v>1</v>
      </c>
      <c r="C452">
        <v>1</v>
      </c>
      <c r="D452">
        <v>1</v>
      </c>
      <c r="E452">
        <v>111</v>
      </c>
      <c r="F452" t="s">
        <v>1234</v>
      </c>
    </row>
    <row r="453" spans="1:6" x14ac:dyDescent="0.55000000000000004">
      <c r="A453" s="6">
        <v>4.0215809108254679E+18</v>
      </c>
      <c r="B453">
        <v>3</v>
      </c>
      <c r="C453">
        <v>2</v>
      </c>
      <c r="D453">
        <v>2</v>
      </c>
      <c r="E453">
        <v>322</v>
      </c>
      <c r="F453" t="s">
        <v>1233</v>
      </c>
    </row>
    <row r="454" spans="1:6" x14ac:dyDescent="0.55000000000000004">
      <c r="A454" s="6">
        <v>4.0459079524297672E+18</v>
      </c>
      <c r="B454">
        <v>5</v>
      </c>
      <c r="C454">
        <v>1</v>
      </c>
      <c r="D454">
        <v>1</v>
      </c>
      <c r="E454">
        <v>511</v>
      </c>
      <c r="F454" t="s">
        <v>1228</v>
      </c>
    </row>
    <row r="455" spans="1:6" x14ac:dyDescent="0.55000000000000004">
      <c r="A455" s="6">
        <v>4.0511141420952192E+18</v>
      </c>
      <c r="B455">
        <v>3</v>
      </c>
      <c r="C455">
        <v>1</v>
      </c>
      <c r="D455">
        <v>1</v>
      </c>
      <c r="E455">
        <v>311</v>
      </c>
      <c r="F455" t="s">
        <v>1233</v>
      </c>
    </row>
    <row r="456" spans="1:6" x14ac:dyDescent="0.55000000000000004">
      <c r="A456" s="6">
        <v>4.094269431837227E+18</v>
      </c>
      <c r="B456">
        <v>4</v>
      </c>
      <c r="C456">
        <v>2</v>
      </c>
      <c r="D456">
        <v>3</v>
      </c>
      <c r="E456">
        <v>423</v>
      </c>
      <c r="F456" t="s">
        <v>1229</v>
      </c>
    </row>
    <row r="457" spans="1:6" x14ac:dyDescent="0.55000000000000004">
      <c r="A457" s="6">
        <v>4.1040030372730511E+18</v>
      </c>
      <c r="B457">
        <v>5</v>
      </c>
      <c r="C457">
        <v>1</v>
      </c>
      <c r="D457">
        <v>3</v>
      </c>
      <c r="E457">
        <v>513</v>
      </c>
      <c r="F457" t="s">
        <v>1228</v>
      </c>
    </row>
    <row r="458" spans="1:6" x14ac:dyDescent="0.55000000000000004">
      <c r="A458" s="6">
        <v>4.1118846582469458E+18</v>
      </c>
      <c r="B458">
        <v>4</v>
      </c>
      <c r="C458">
        <v>1</v>
      </c>
      <c r="D458">
        <v>2</v>
      </c>
      <c r="E458">
        <v>412</v>
      </c>
      <c r="F458" t="s">
        <v>1233</v>
      </c>
    </row>
    <row r="459" spans="1:6" x14ac:dyDescent="0.55000000000000004">
      <c r="A459" s="6">
        <v>4.1178339371491098E+18</v>
      </c>
      <c r="B459">
        <v>3</v>
      </c>
      <c r="C459">
        <v>1</v>
      </c>
      <c r="D459">
        <v>1</v>
      </c>
      <c r="E459">
        <v>311</v>
      </c>
      <c r="F459" t="s">
        <v>1233</v>
      </c>
    </row>
    <row r="460" spans="1:6" x14ac:dyDescent="0.55000000000000004">
      <c r="A460" s="6">
        <v>4.135258352010667E+18</v>
      </c>
      <c r="B460">
        <v>4</v>
      </c>
      <c r="C460">
        <v>1</v>
      </c>
      <c r="D460">
        <v>3</v>
      </c>
      <c r="E460">
        <v>413</v>
      </c>
      <c r="F460" t="s">
        <v>1233</v>
      </c>
    </row>
    <row r="461" spans="1:6" x14ac:dyDescent="0.55000000000000004">
      <c r="A461" s="6">
        <v>4.1384079277476362E+18</v>
      </c>
      <c r="B461">
        <v>2</v>
      </c>
      <c r="C461">
        <v>2</v>
      </c>
      <c r="D461">
        <v>3</v>
      </c>
      <c r="E461">
        <v>223</v>
      </c>
      <c r="F461" t="s">
        <v>1234</v>
      </c>
    </row>
    <row r="462" spans="1:6" x14ac:dyDescent="0.55000000000000004">
      <c r="A462" s="6">
        <v>4.1401714480403871E+18</v>
      </c>
      <c r="B462">
        <v>5</v>
      </c>
      <c r="C462">
        <v>1</v>
      </c>
      <c r="D462">
        <v>2</v>
      </c>
      <c r="E462">
        <v>512</v>
      </c>
      <c r="F462" t="s">
        <v>1228</v>
      </c>
    </row>
    <row r="463" spans="1:6" x14ac:dyDescent="0.55000000000000004">
      <c r="A463" s="6">
        <v>4.1447631003015081E+18</v>
      </c>
      <c r="B463">
        <v>1</v>
      </c>
      <c r="C463">
        <v>1</v>
      </c>
      <c r="D463">
        <v>3</v>
      </c>
      <c r="E463">
        <v>113</v>
      </c>
      <c r="F463" t="s">
        <v>1234</v>
      </c>
    </row>
    <row r="464" spans="1:6" x14ac:dyDescent="0.55000000000000004">
      <c r="A464" s="6">
        <v>4.1750935598840468E+18</v>
      </c>
      <c r="B464">
        <v>3</v>
      </c>
      <c r="C464">
        <v>1</v>
      </c>
      <c r="D464">
        <v>3</v>
      </c>
      <c r="E464">
        <v>313</v>
      </c>
      <c r="F464" t="s">
        <v>1233</v>
      </c>
    </row>
    <row r="465" spans="1:6" x14ac:dyDescent="0.55000000000000004">
      <c r="A465" s="6">
        <v>4.1851863206250301E+18</v>
      </c>
      <c r="B465">
        <v>5</v>
      </c>
      <c r="C465">
        <v>2</v>
      </c>
      <c r="D465">
        <v>1</v>
      </c>
      <c r="E465">
        <v>521</v>
      </c>
      <c r="F465" t="s">
        <v>1229</v>
      </c>
    </row>
    <row r="466" spans="1:6" x14ac:dyDescent="0.55000000000000004">
      <c r="A466" s="6">
        <v>4.1901479744037089E+18</v>
      </c>
      <c r="B466">
        <v>5</v>
      </c>
      <c r="C466">
        <v>2</v>
      </c>
      <c r="D466">
        <v>3</v>
      </c>
      <c r="E466">
        <v>523</v>
      </c>
      <c r="F466" t="s">
        <v>1229</v>
      </c>
    </row>
    <row r="467" spans="1:6" x14ac:dyDescent="0.55000000000000004">
      <c r="A467" s="6">
        <v>4.1927928262707988E+18</v>
      </c>
      <c r="B467">
        <v>2</v>
      </c>
      <c r="C467">
        <v>1</v>
      </c>
      <c r="D467">
        <v>2</v>
      </c>
      <c r="E467">
        <v>212</v>
      </c>
      <c r="F467" t="s">
        <v>1234</v>
      </c>
    </row>
    <row r="468" spans="1:6" x14ac:dyDescent="0.55000000000000004">
      <c r="A468" s="6">
        <v>4.196813306737175E+18</v>
      </c>
      <c r="B468">
        <v>4</v>
      </c>
      <c r="C468">
        <v>2</v>
      </c>
      <c r="D468">
        <v>2</v>
      </c>
      <c r="E468">
        <v>422</v>
      </c>
      <c r="F468" t="s">
        <v>1229</v>
      </c>
    </row>
    <row r="469" spans="1:6" x14ac:dyDescent="0.55000000000000004">
      <c r="A469" s="6">
        <v>4.197425612844927E+18</v>
      </c>
      <c r="B469">
        <v>5</v>
      </c>
      <c r="C469">
        <v>1</v>
      </c>
      <c r="D469">
        <v>3</v>
      </c>
      <c r="E469">
        <v>513</v>
      </c>
      <c r="F469" t="s">
        <v>1228</v>
      </c>
    </row>
    <row r="470" spans="1:6" x14ac:dyDescent="0.55000000000000004">
      <c r="A470" s="6">
        <v>4.1979686203009562E+18</v>
      </c>
      <c r="B470">
        <v>3</v>
      </c>
      <c r="C470">
        <v>1</v>
      </c>
      <c r="D470">
        <v>3</v>
      </c>
      <c r="E470">
        <v>313</v>
      </c>
      <c r="F470" t="s">
        <v>1233</v>
      </c>
    </row>
    <row r="471" spans="1:6" x14ac:dyDescent="0.55000000000000004">
      <c r="A471" s="6">
        <v>4.200684856420906E+18</v>
      </c>
      <c r="B471">
        <v>5</v>
      </c>
      <c r="C471">
        <v>2</v>
      </c>
      <c r="D471">
        <v>3</v>
      </c>
      <c r="E471">
        <v>523</v>
      </c>
      <c r="F471" t="s">
        <v>1229</v>
      </c>
    </row>
    <row r="472" spans="1:6" x14ac:dyDescent="0.55000000000000004">
      <c r="A472" s="6">
        <v>4.2015316285946138E+18</v>
      </c>
      <c r="B472">
        <v>5</v>
      </c>
      <c r="C472">
        <v>2</v>
      </c>
      <c r="D472">
        <v>3</v>
      </c>
      <c r="E472">
        <v>523</v>
      </c>
      <c r="F472" t="s">
        <v>1229</v>
      </c>
    </row>
    <row r="473" spans="1:6" x14ac:dyDescent="0.55000000000000004">
      <c r="A473" s="6">
        <v>4.20500913241359E+18</v>
      </c>
      <c r="B473">
        <v>3</v>
      </c>
      <c r="C473">
        <v>1</v>
      </c>
      <c r="D473">
        <v>1</v>
      </c>
      <c r="E473">
        <v>311</v>
      </c>
      <c r="F473" t="s">
        <v>1233</v>
      </c>
    </row>
    <row r="474" spans="1:6" x14ac:dyDescent="0.55000000000000004">
      <c r="A474" s="6">
        <v>4.212623568848788E+18</v>
      </c>
      <c r="B474">
        <v>4</v>
      </c>
      <c r="C474">
        <v>1</v>
      </c>
      <c r="D474">
        <v>1</v>
      </c>
      <c r="E474">
        <v>411</v>
      </c>
      <c r="F474" t="s">
        <v>1233</v>
      </c>
    </row>
    <row r="475" spans="1:6" x14ac:dyDescent="0.55000000000000004">
      <c r="A475" s="6">
        <v>4.2159826876365911E+18</v>
      </c>
      <c r="B475">
        <v>4</v>
      </c>
      <c r="C475">
        <v>1</v>
      </c>
      <c r="D475">
        <v>1</v>
      </c>
      <c r="E475">
        <v>411</v>
      </c>
      <c r="F475" t="s">
        <v>1233</v>
      </c>
    </row>
    <row r="476" spans="1:6" x14ac:dyDescent="0.55000000000000004">
      <c r="A476" s="6">
        <v>4.2177726099247478E+18</v>
      </c>
      <c r="B476">
        <v>3</v>
      </c>
      <c r="C476">
        <v>1</v>
      </c>
      <c r="D476">
        <v>2</v>
      </c>
      <c r="E476">
        <v>312</v>
      </c>
      <c r="F476" t="s">
        <v>1233</v>
      </c>
    </row>
    <row r="477" spans="1:6" x14ac:dyDescent="0.55000000000000004">
      <c r="A477" s="6">
        <v>4.2265606458392428E+18</v>
      </c>
      <c r="B477">
        <v>5</v>
      </c>
      <c r="C477">
        <v>3</v>
      </c>
      <c r="D477">
        <v>3</v>
      </c>
      <c r="E477">
        <v>533</v>
      </c>
      <c r="F477" t="s">
        <v>1230</v>
      </c>
    </row>
    <row r="478" spans="1:6" x14ac:dyDescent="0.55000000000000004">
      <c r="A478" s="6">
        <v>4.2320153372283551E+18</v>
      </c>
      <c r="B478">
        <v>4</v>
      </c>
      <c r="C478">
        <v>1</v>
      </c>
      <c r="D478">
        <v>2</v>
      </c>
      <c r="E478">
        <v>412</v>
      </c>
      <c r="F478" t="s">
        <v>1233</v>
      </c>
    </row>
    <row r="479" spans="1:6" x14ac:dyDescent="0.55000000000000004">
      <c r="A479" s="6">
        <v>4.2380513788323712E+18</v>
      </c>
      <c r="B479">
        <v>5</v>
      </c>
      <c r="C479">
        <v>1</v>
      </c>
      <c r="D479">
        <v>2</v>
      </c>
      <c r="E479">
        <v>512</v>
      </c>
      <c r="F479" t="s">
        <v>1228</v>
      </c>
    </row>
    <row r="480" spans="1:6" x14ac:dyDescent="0.55000000000000004">
      <c r="A480" s="6">
        <v>4.2434207068438789E+18</v>
      </c>
      <c r="B480">
        <v>5</v>
      </c>
      <c r="C480">
        <v>1</v>
      </c>
      <c r="D480">
        <v>1</v>
      </c>
      <c r="E480">
        <v>511</v>
      </c>
      <c r="F480" t="s">
        <v>1228</v>
      </c>
    </row>
    <row r="481" spans="1:6" x14ac:dyDescent="0.55000000000000004">
      <c r="A481" s="6">
        <v>4.2616684915424748E+18</v>
      </c>
      <c r="B481">
        <v>2</v>
      </c>
      <c r="C481">
        <v>1</v>
      </c>
      <c r="D481">
        <v>1</v>
      </c>
      <c r="E481">
        <v>211</v>
      </c>
      <c r="F481" t="s">
        <v>1234</v>
      </c>
    </row>
    <row r="482" spans="1:6" x14ac:dyDescent="0.55000000000000004">
      <c r="A482" s="6">
        <v>4.2618102748152248E+18</v>
      </c>
      <c r="B482">
        <v>5</v>
      </c>
      <c r="C482">
        <v>3</v>
      </c>
      <c r="D482">
        <v>3</v>
      </c>
      <c r="E482">
        <v>533</v>
      </c>
      <c r="F482" t="s">
        <v>1230</v>
      </c>
    </row>
    <row r="483" spans="1:6" x14ac:dyDescent="0.55000000000000004">
      <c r="A483" s="6">
        <v>4.2650534554014602E+18</v>
      </c>
      <c r="B483">
        <v>4</v>
      </c>
      <c r="C483">
        <v>1</v>
      </c>
      <c r="D483">
        <v>1</v>
      </c>
      <c r="E483">
        <v>411</v>
      </c>
      <c r="F483" t="s">
        <v>1233</v>
      </c>
    </row>
    <row r="484" spans="1:6" x14ac:dyDescent="0.55000000000000004">
      <c r="A484" s="6">
        <v>4.2667909490277059E+18</v>
      </c>
      <c r="B484">
        <v>4</v>
      </c>
      <c r="C484">
        <v>3</v>
      </c>
      <c r="D484">
        <v>3</v>
      </c>
      <c r="E484">
        <v>433</v>
      </c>
      <c r="F484" t="s">
        <v>1230</v>
      </c>
    </row>
    <row r="485" spans="1:6" x14ac:dyDescent="0.55000000000000004">
      <c r="A485" s="6">
        <v>4.2728264437008538E+18</v>
      </c>
      <c r="B485">
        <v>5</v>
      </c>
      <c r="C485">
        <v>3</v>
      </c>
      <c r="D485">
        <v>3</v>
      </c>
      <c r="E485">
        <v>533</v>
      </c>
      <c r="F485" t="s">
        <v>1230</v>
      </c>
    </row>
    <row r="486" spans="1:6" x14ac:dyDescent="0.55000000000000004">
      <c r="A486" s="6">
        <v>4.2881579349642619E+18</v>
      </c>
      <c r="B486">
        <v>1</v>
      </c>
      <c r="C486">
        <v>1</v>
      </c>
      <c r="D486">
        <v>1</v>
      </c>
      <c r="E486">
        <v>111</v>
      </c>
      <c r="F486" t="s">
        <v>1234</v>
      </c>
    </row>
    <row r="487" spans="1:6" x14ac:dyDescent="0.55000000000000004">
      <c r="A487" s="6">
        <v>4.29177626358705E+18</v>
      </c>
      <c r="B487">
        <v>5</v>
      </c>
      <c r="C487">
        <v>2</v>
      </c>
      <c r="D487">
        <v>3</v>
      </c>
      <c r="E487">
        <v>523</v>
      </c>
      <c r="F487" t="s">
        <v>1229</v>
      </c>
    </row>
    <row r="488" spans="1:6" x14ac:dyDescent="0.55000000000000004">
      <c r="A488" s="6">
        <v>4.3136611516126039E+18</v>
      </c>
      <c r="B488">
        <v>5</v>
      </c>
      <c r="C488">
        <v>2</v>
      </c>
      <c r="D488">
        <v>3</v>
      </c>
      <c r="E488">
        <v>523</v>
      </c>
      <c r="F488" t="s">
        <v>1229</v>
      </c>
    </row>
    <row r="489" spans="1:6" x14ac:dyDescent="0.55000000000000004">
      <c r="A489" s="6">
        <v>4.3270255639258972E+18</v>
      </c>
      <c r="B489">
        <v>4</v>
      </c>
      <c r="C489">
        <v>3</v>
      </c>
      <c r="D489">
        <v>3</v>
      </c>
      <c r="E489">
        <v>433</v>
      </c>
      <c r="F489" t="s">
        <v>1230</v>
      </c>
    </row>
    <row r="490" spans="1:6" x14ac:dyDescent="0.55000000000000004">
      <c r="A490" s="6">
        <v>4.3463733059550648E+18</v>
      </c>
      <c r="B490">
        <v>3</v>
      </c>
      <c r="C490">
        <v>1</v>
      </c>
      <c r="D490">
        <v>1</v>
      </c>
      <c r="E490">
        <v>311</v>
      </c>
      <c r="F490" t="s">
        <v>1233</v>
      </c>
    </row>
    <row r="491" spans="1:6" x14ac:dyDescent="0.55000000000000004">
      <c r="A491" s="6">
        <v>4.3544470910002161E+18</v>
      </c>
      <c r="B491">
        <v>2</v>
      </c>
      <c r="C491">
        <v>1</v>
      </c>
      <c r="D491">
        <v>3</v>
      </c>
      <c r="E491">
        <v>213</v>
      </c>
      <c r="F491" t="s">
        <v>1234</v>
      </c>
    </row>
    <row r="492" spans="1:6" x14ac:dyDescent="0.55000000000000004">
      <c r="A492" s="6">
        <v>4.3720849680859843E+18</v>
      </c>
      <c r="B492">
        <v>1</v>
      </c>
      <c r="C492">
        <v>1</v>
      </c>
      <c r="D492">
        <v>1</v>
      </c>
      <c r="E492">
        <v>111</v>
      </c>
      <c r="F492" t="s">
        <v>1234</v>
      </c>
    </row>
    <row r="493" spans="1:6" x14ac:dyDescent="0.55000000000000004">
      <c r="A493" s="6">
        <v>4.3785163421245199E+18</v>
      </c>
      <c r="B493">
        <v>5</v>
      </c>
      <c r="C493">
        <v>1</v>
      </c>
      <c r="D493">
        <v>2</v>
      </c>
      <c r="E493">
        <v>512</v>
      </c>
      <c r="F493" t="s">
        <v>1228</v>
      </c>
    </row>
    <row r="494" spans="1:6" x14ac:dyDescent="0.55000000000000004">
      <c r="A494" s="6">
        <v>4.3842148892131758E+18</v>
      </c>
      <c r="B494">
        <v>1</v>
      </c>
      <c r="C494">
        <v>1</v>
      </c>
      <c r="D494">
        <v>1</v>
      </c>
      <c r="E494">
        <v>111</v>
      </c>
      <c r="F494" t="s">
        <v>1234</v>
      </c>
    </row>
    <row r="495" spans="1:6" x14ac:dyDescent="0.55000000000000004">
      <c r="A495" s="6">
        <v>4.3920295187112781E+18</v>
      </c>
      <c r="B495">
        <v>5</v>
      </c>
      <c r="C495">
        <v>1</v>
      </c>
      <c r="D495">
        <v>2</v>
      </c>
      <c r="E495">
        <v>512</v>
      </c>
      <c r="F495" t="s">
        <v>1228</v>
      </c>
    </row>
    <row r="496" spans="1:6" x14ac:dyDescent="0.55000000000000004">
      <c r="A496" s="6">
        <v>4.3931228336396959E+18</v>
      </c>
      <c r="B496">
        <v>5</v>
      </c>
      <c r="C496">
        <v>2</v>
      </c>
      <c r="D496">
        <v>3</v>
      </c>
      <c r="E496">
        <v>523</v>
      </c>
      <c r="F496" t="s">
        <v>1229</v>
      </c>
    </row>
    <row r="497" spans="1:6" x14ac:dyDescent="0.55000000000000004">
      <c r="A497" s="6">
        <v>4.4002765809907272E+18</v>
      </c>
      <c r="B497">
        <v>2</v>
      </c>
      <c r="C497">
        <v>1</v>
      </c>
      <c r="D497">
        <v>2</v>
      </c>
      <c r="E497">
        <v>212</v>
      </c>
      <c r="F497" t="s">
        <v>1234</v>
      </c>
    </row>
    <row r="498" spans="1:6" x14ac:dyDescent="0.55000000000000004">
      <c r="A498" s="6">
        <v>4.4233063623482399E+18</v>
      </c>
      <c r="B498">
        <v>4</v>
      </c>
      <c r="C498">
        <v>1</v>
      </c>
      <c r="D498">
        <v>1</v>
      </c>
      <c r="E498">
        <v>411</v>
      </c>
      <c r="F498" t="s">
        <v>1233</v>
      </c>
    </row>
    <row r="499" spans="1:6" x14ac:dyDescent="0.55000000000000004">
      <c r="A499" s="6">
        <v>4.4246172807612518E+18</v>
      </c>
      <c r="B499">
        <v>3</v>
      </c>
      <c r="C499">
        <v>1</v>
      </c>
      <c r="D499">
        <v>1</v>
      </c>
      <c r="E499">
        <v>311</v>
      </c>
      <c r="F499" t="s">
        <v>1233</v>
      </c>
    </row>
    <row r="500" spans="1:6" x14ac:dyDescent="0.55000000000000004">
      <c r="A500" s="6">
        <v>4.4418718641919068E+18</v>
      </c>
      <c r="B500">
        <v>5</v>
      </c>
      <c r="C500">
        <v>3</v>
      </c>
      <c r="D500">
        <v>3</v>
      </c>
      <c r="E500">
        <v>533</v>
      </c>
      <c r="F500" t="s">
        <v>1230</v>
      </c>
    </row>
    <row r="501" spans="1:6" x14ac:dyDescent="0.55000000000000004">
      <c r="A501" s="6">
        <v>4.444326172685058E+18</v>
      </c>
      <c r="B501">
        <v>4</v>
      </c>
      <c r="C501">
        <v>1</v>
      </c>
      <c r="D501">
        <v>2</v>
      </c>
      <c r="E501">
        <v>412</v>
      </c>
      <c r="F501" t="s">
        <v>1233</v>
      </c>
    </row>
    <row r="502" spans="1:6" x14ac:dyDescent="0.55000000000000004">
      <c r="A502" s="6">
        <v>4.4937326221003612E+18</v>
      </c>
      <c r="B502">
        <v>5</v>
      </c>
      <c r="C502">
        <v>2</v>
      </c>
      <c r="D502">
        <v>1</v>
      </c>
      <c r="E502">
        <v>521</v>
      </c>
      <c r="F502" t="s">
        <v>1229</v>
      </c>
    </row>
    <row r="503" spans="1:6" x14ac:dyDescent="0.55000000000000004">
      <c r="A503" s="6">
        <v>4.5106534982823552E+18</v>
      </c>
      <c r="B503">
        <v>5</v>
      </c>
      <c r="C503">
        <v>1</v>
      </c>
      <c r="D503">
        <v>1</v>
      </c>
      <c r="E503">
        <v>511</v>
      </c>
      <c r="F503" t="s">
        <v>1228</v>
      </c>
    </row>
    <row r="504" spans="1:6" x14ac:dyDescent="0.55000000000000004">
      <c r="A504" s="6">
        <v>4.5250344827868918E+18</v>
      </c>
      <c r="B504">
        <v>5</v>
      </c>
      <c r="C504">
        <v>1</v>
      </c>
      <c r="D504">
        <v>2</v>
      </c>
      <c r="E504">
        <v>512</v>
      </c>
      <c r="F504" t="s">
        <v>1228</v>
      </c>
    </row>
    <row r="505" spans="1:6" x14ac:dyDescent="0.55000000000000004">
      <c r="A505" s="6">
        <v>4.5296498561153311E+18</v>
      </c>
      <c r="B505">
        <v>2</v>
      </c>
      <c r="C505">
        <v>1</v>
      </c>
      <c r="D505">
        <v>1</v>
      </c>
      <c r="E505">
        <v>211</v>
      </c>
      <c r="F505" t="s">
        <v>1234</v>
      </c>
    </row>
    <row r="506" spans="1:6" x14ac:dyDescent="0.55000000000000004">
      <c r="A506" s="6">
        <v>4.5328982199816069E+18</v>
      </c>
      <c r="B506">
        <v>5</v>
      </c>
      <c r="C506">
        <v>3</v>
      </c>
      <c r="D506">
        <v>3</v>
      </c>
      <c r="E506">
        <v>533</v>
      </c>
      <c r="F506" t="s">
        <v>1230</v>
      </c>
    </row>
    <row r="507" spans="1:6" x14ac:dyDescent="0.55000000000000004">
      <c r="A507" s="6">
        <v>4.5593323890435702E+18</v>
      </c>
      <c r="B507">
        <v>3</v>
      </c>
      <c r="C507">
        <v>2</v>
      </c>
      <c r="D507">
        <v>2</v>
      </c>
      <c r="E507">
        <v>322</v>
      </c>
      <c r="F507" t="s">
        <v>1233</v>
      </c>
    </row>
    <row r="508" spans="1:6" x14ac:dyDescent="0.55000000000000004">
      <c r="A508" s="6">
        <v>4.5603436120477619E+18</v>
      </c>
      <c r="B508">
        <v>4</v>
      </c>
      <c r="C508">
        <v>1</v>
      </c>
      <c r="D508">
        <v>2</v>
      </c>
      <c r="E508">
        <v>412</v>
      </c>
      <c r="F508" t="s">
        <v>1233</v>
      </c>
    </row>
    <row r="509" spans="1:6" x14ac:dyDescent="0.55000000000000004">
      <c r="A509" s="6">
        <v>4.5624078666477901E+18</v>
      </c>
      <c r="B509">
        <v>4</v>
      </c>
      <c r="C509">
        <v>1</v>
      </c>
      <c r="D509">
        <v>2</v>
      </c>
      <c r="E509">
        <v>412</v>
      </c>
      <c r="F509" t="s">
        <v>1233</v>
      </c>
    </row>
    <row r="510" spans="1:6" x14ac:dyDescent="0.55000000000000004">
      <c r="A510" s="6">
        <v>4.574168725778793E+18</v>
      </c>
      <c r="B510">
        <v>2</v>
      </c>
      <c r="C510">
        <v>1</v>
      </c>
      <c r="D510">
        <v>2</v>
      </c>
      <c r="E510">
        <v>212</v>
      </c>
      <c r="F510" t="s">
        <v>1234</v>
      </c>
    </row>
    <row r="511" spans="1:6" x14ac:dyDescent="0.55000000000000004">
      <c r="A511" s="6">
        <v>4.5794481710770079E+18</v>
      </c>
      <c r="B511">
        <v>3</v>
      </c>
      <c r="C511">
        <v>1</v>
      </c>
      <c r="D511">
        <v>3</v>
      </c>
      <c r="E511">
        <v>313</v>
      </c>
      <c r="F511" t="s">
        <v>1233</v>
      </c>
    </row>
    <row r="512" spans="1:6" x14ac:dyDescent="0.55000000000000004">
      <c r="A512" s="6">
        <v>4.5868176532588631E+18</v>
      </c>
      <c r="B512">
        <v>1</v>
      </c>
      <c r="C512">
        <v>1</v>
      </c>
      <c r="D512">
        <v>1</v>
      </c>
      <c r="E512">
        <v>111</v>
      </c>
      <c r="F512" t="s">
        <v>1234</v>
      </c>
    </row>
    <row r="513" spans="1:6" x14ac:dyDescent="0.55000000000000004">
      <c r="A513" s="6">
        <v>4.59109007896557E+18</v>
      </c>
      <c r="B513">
        <v>3</v>
      </c>
      <c r="C513">
        <v>1</v>
      </c>
      <c r="D513">
        <v>1</v>
      </c>
      <c r="E513">
        <v>311</v>
      </c>
      <c r="F513" t="s">
        <v>1233</v>
      </c>
    </row>
    <row r="514" spans="1:6" x14ac:dyDescent="0.55000000000000004">
      <c r="A514" s="6">
        <v>4.5930178229070321E+18</v>
      </c>
      <c r="B514">
        <v>5</v>
      </c>
      <c r="C514">
        <v>1</v>
      </c>
      <c r="D514">
        <v>1</v>
      </c>
      <c r="E514">
        <v>511</v>
      </c>
      <c r="F514" t="s">
        <v>1228</v>
      </c>
    </row>
    <row r="515" spans="1:6" x14ac:dyDescent="0.55000000000000004">
      <c r="A515" s="6">
        <v>4.5992564956347039E+18</v>
      </c>
      <c r="B515">
        <v>3</v>
      </c>
      <c r="C515">
        <v>1</v>
      </c>
      <c r="D515">
        <v>2</v>
      </c>
      <c r="E515">
        <v>312</v>
      </c>
      <c r="F515" t="s">
        <v>1233</v>
      </c>
    </row>
    <row r="516" spans="1:6" x14ac:dyDescent="0.55000000000000004">
      <c r="A516" s="6">
        <v>4.6112523702828739E+18</v>
      </c>
      <c r="B516">
        <v>5</v>
      </c>
      <c r="C516">
        <v>3</v>
      </c>
      <c r="D516">
        <v>3</v>
      </c>
      <c r="E516">
        <v>533</v>
      </c>
      <c r="F516" t="s">
        <v>1230</v>
      </c>
    </row>
    <row r="517" spans="1:6" x14ac:dyDescent="0.55000000000000004">
      <c r="A517" s="6">
        <v>4.6209190320835246E+18</v>
      </c>
      <c r="B517">
        <v>4</v>
      </c>
      <c r="C517">
        <v>1</v>
      </c>
      <c r="D517">
        <v>1</v>
      </c>
      <c r="E517">
        <v>411</v>
      </c>
      <c r="F517" t="s">
        <v>1233</v>
      </c>
    </row>
    <row r="518" spans="1:6" x14ac:dyDescent="0.55000000000000004">
      <c r="A518" s="6">
        <v>4.6234128565641308E+18</v>
      </c>
      <c r="B518">
        <v>3</v>
      </c>
      <c r="C518">
        <v>1</v>
      </c>
      <c r="D518">
        <v>1</v>
      </c>
      <c r="E518">
        <v>311</v>
      </c>
      <c r="F518" t="s">
        <v>1233</v>
      </c>
    </row>
    <row r="519" spans="1:6" x14ac:dyDescent="0.55000000000000004">
      <c r="A519" s="6">
        <v>4.6298459976987689E+18</v>
      </c>
      <c r="B519">
        <v>4</v>
      </c>
      <c r="C519">
        <v>2</v>
      </c>
      <c r="D519">
        <v>3</v>
      </c>
      <c r="E519">
        <v>423</v>
      </c>
      <c r="F519" t="s">
        <v>1229</v>
      </c>
    </row>
    <row r="520" spans="1:6" x14ac:dyDescent="0.55000000000000004">
      <c r="A520" s="6">
        <v>4.6557871521791642E+18</v>
      </c>
      <c r="B520">
        <v>3</v>
      </c>
      <c r="C520">
        <v>1</v>
      </c>
      <c r="D520">
        <v>1</v>
      </c>
      <c r="E520">
        <v>311</v>
      </c>
      <c r="F520" t="s">
        <v>1233</v>
      </c>
    </row>
    <row r="521" spans="1:6" x14ac:dyDescent="0.55000000000000004">
      <c r="A521" s="6">
        <v>4.6570495975165635E+18</v>
      </c>
      <c r="B521">
        <v>5</v>
      </c>
      <c r="C521">
        <v>3</v>
      </c>
      <c r="D521">
        <v>3</v>
      </c>
      <c r="E521">
        <v>533</v>
      </c>
      <c r="F521" t="s">
        <v>1230</v>
      </c>
    </row>
    <row r="522" spans="1:6" x14ac:dyDescent="0.55000000000000004">
      <c r="A522" s="6">
        <v>4.6573412077654477E+18</v>
      </c>
      <c r="B522">
        <v>5</v>
      </c>
      <c r="C522">
        <v>2</v>
      </c>
      <c r="D522">
        <v>3</v>
      </c>
      <c r="E522">
        <v>523</v>
      </c>
      <c r="F522" t="s">
        <v>1229</v>
      </c>
    </row>
    <row r="523" spans="1:6" x14ac:dyDescent="0.55000000000000004">
      <c r="A523" s="6">
        <v>4.6670717563226644E+18</v>
      </c>
      <c r="B523">
        <v>5</v>
      </c>
      <c r="C523">
        <v>1</v>
      </c>
      <c r="D523">
        <v>1</v>
      </c>
      <c r="E523">
        <v>511</v>
      </c>
      <c r="F523" t="s">
        <v>1228</v>
      </c>
    </row>
    <row r="524" spans="1:6" x14ac:dyDescent="0.55000000000000004">
      <c r="A524" s="6">
        <v>4.6672545530710835E+18</v>
      </c>
      <c r="B524">
        <v>4</v>
      </c>
      <c r="C524">
        <v>1</v>
      </c>
      <c r="D524">
        <v>3</v>
      </c>
      <c r="E524">
        <v>413</v>
      </c>
      <c r="F524" t="s">
        <v>1233</v>
      </c>
    </row>
    <row r="525" spans="1:6" x14ac:dyDescent="0.55000000000000004">
      <c r="A525" s="6">
        <v>4.6689134180160983E+18</v>
      </c>
      <c r="B525">
        <v>3</v>
      </c>
      <c r="C525">
        <v>1</v>
      </c>
      <c r="D525">
        <v>1</v>
      </c>
      <c r="E525">
        <v>311</v>
      </c>
      <c r="F525" t="s">
        <v>1233</v>
      </c>
    </row>
    <row r="526" spans="1:6" x14ac:dyDescent="0.55000000000000004">
      <c r="A526" s="6">
        <v>4.6766047553752361E+18</v>
      </c>
      <c r="B526">
        <v>5</v>
      </c>
      <c r="C526">
        <v>1</v>
      </c>
      <c r="D526">
        <v>1</v>
      </c>
      <c r="E526">
        <v>511</v>
      </c>
      <c r="F526" t="s">
        <v>1228</v>
      </c>
    </row>
    <row r="527" spans="1:6" x14ac:dyDescent="0.55000000000000004">
      <c r="A527" s="6">
        <v>4.697547200199851E+18</v>
      </c>
      <c r="B527">
        <v>1</v>
      </c>
      <c r="C527">
        <v>1</v>
      </c>
      <c r="D527">
        <v>2</v>
      </c>
      <c r="E527">
        <v>112</v>
      </c>
      <c r="F527" t="s">
        <v>1234</v>
      </c>
    </row>
    <row r="528" spans="1:6" x14ac:dyDescent="0.55000000000000004">
      <c r="A528" s="6">
        <v>4.6985115733452452E+18</v>
      </c>
      <c r="B528">
        <v>3</v>
      </c>
      <c r="C528">
        <v>1</v>
      </c>
      <c r="D528">
        <v>1</v>
      </c>
      <c r="E528">
        <v>311</v>
      </c>
      <c r="F528" t="s">
        <v>1233</v>
      </c>
    </row>
    <row r="529" spans="1:6" x14ac:dyDescent="0.55000000000000004">
      <c r="A529" s="6">
        <v>4.7001543663819756E+18</v>
      </c>
      <c r="B529">
        <v>5</v>
      </c>
      <c r="C529">
        <v>2</v>
      </c>
      <c r="D529">
        <v>3</v>
      </c>
      <c r="E529">
        <v>523</v>
      </c>
      <c r="F529" t="s">
        <v>1229</v>
      </c>
    </row>
    <row r="530" spans="1:6" x14ac:dyDescent="0.55000000000000004">
      <c r="A530" s="6">
        <v>4.70051168024913E+18</v>
      </c>
      <c r="B530">
        <v>5</v>
      </c>
      <c r="C530">
        <v>1</v>
      </c>
      <c r="D530">
        <v>2</v>
      </c>
      <c r="E530">
        <v>512</v>
      </c>
      <c r="F530" t="s">
        <v>1228</v>
      </c>
    </row>
    <row r="531" spans="1:6" x14ac:dyDescent="0.55000000000000004">
      <c r="A531" s="6">
        <v>4.701188881007828E+18</v>
      </c>
      <c r="B531">
        <v>5</v>
      </c>
      <c r="C531">
        <v>2</v>
      </c>
      <c r="D531">
        <v>2</v>
      </c>
      <c r="E531">
        <v>522</v>
      </c>
      <c r="F531" t="s">
        <v>1229</v>
      </c>
    </row>
    <row r="532" spans="1:6" x14ac:dyDescent="0.55000000000000004">
      <c r="A532" s="6">
        <v>4.7091732041371331E+18</v>
      </c>
      <c r="B532">
        <v>3</v>
      </c>
      <c r="C532">
        <v>1</v>
      </c>
      <c r="D532">
        <v>1</v>
      </c>
      <c r="E532">
        <v>311</v>
      </c>
      <c r="F532" t="s">
        <v>1233</v>
      </c>
    </row>
    <row r="533" spans="1:6" x14ac:dyDescent="0.55000000000000004">
      <c r="A533" s="6">
        <v>4.7091871911527956E+18</v>
      </c>
      <c r="B533">
        <v>1</v>
      </c>
      <c r="C533">
        <v>1</v>
      </c>
      <c r="D533">
        <v>1</v>
      </c>
      <c r="E533">
        <v>111</v>
      </c>
      <c r="F533" t="s">
        <v>1234</v>
      </c>
    </row>
    <row r="534" spans="1:6" x14ac:dyDescent="0.55000000000000004">
      <c r="A534" s="6">
        <v>4.7105125673545073E+18</v>
      </c>
      <c r="B534">
        <v>3</v>
      </c>
      <c r="C534">
        <v>1</v>
      </c>
      <c r="D534">
        <v>3</v>
      </c>
      <c r="E534">
        <v>313</v>
      </c>
      <c r="F534" t="s">
        <v>1233</v>
      </c>
    </row>
    <row r="535" spans="1:6" x14ac:dyDescent="0.55000000000000004">
      <c r="A535" s="6">
        <v>4.7122757145817979E+18</v>
      </c>
      <c r="B535">
        <v>4</v>
      </c>
      <c r="C535">
        <v>1</v>
      </c>
      <c r="D535">
        <v>1</v>
      </c>
      <c r="E535">
        <v>411</v>
      </c>
      <c r="F535" t="s">
        <v>1233</v>
      </c>
    </row>
    <row r="536" spans="1:6" x14ac:dyDescent="0.55000000000000004">
      <c r="A536" s="6">
        <v>4.7348287336815247E+18</v>
      </c>
      <c r="B536">
        <v>5</v>
      </c>
      <c r="C536">
        <v>1</v>
      </c>
      <c r="D536">
        <v>1</v>
      </c>
      <c r="E536">
        <v>511</v>
      </c>
      <c r="F536" t="s">
        <v>1228</v>
      </c>
    </row>
    <row r="537" spans="1:6" x14ac:dyDescent="0.55000000000000004">
      <c r="A537" s="6">
        <v>4.7349804595272796E+18</v>
      </c>
      <c r="B537">
        <v>5</v>
      </c>
      <c r="C537">
        <v>1</v>
      </c>
      <c r="D537">
        <v>2</v>
      </c>
      <c r="E537">
        <v>512</v>
      </c>
      <c r="F537" t="s">
        <v>1228</v>
      </c>
    </row>
    <row r="538" spans="1:6" x14ac:dyDescent="0.55000000000000004">
      <c r="A538" s="6">
        <v>4.7450770801101681E+18</v>
      </c>
      <c r="B538">
        <v>5</v>
      </c>
      <c r="C538">
        <v>1</v>
      </c>
      <c r="D538">
        <v>3</v>
      </c>
      <c r="E538">
        <v>513</v>
      </c>
      <c r="F538" t="s">
        <v>1228</v>
      </c>
    </row>
    <row r="539" spans="1:6" x14ac:dyDescent="0.55000000000000004">
      <c r="A539" s="6">
        <v>4.7497946326800097E+18</v>
      </c>
      <c r="B539">
        <v>5</v>
      </c>
      <c r="C539">
        <v>3</v>
      </c>
      <c r="D539">
        <v>3</v>
      </c>
      <c r="E539">
        <v>533</v>
      </c>
      <c r="F539" t="s">
        <v>1230</v>
      </c>
    </row>
    <row r="540" spans="1:6" x14ac:dyDescent="0.55000000000000004">
      <c r="A540" s="6">
        <v>4.7695004862084803E+18</v>
      </c>
      <c r="B540">
        <v>5</v>
      </c>
      <c r="C540">
        <v>2</v>
      </c>
      <c r="D540">
        <v>2</v>
      </c>
      <c r="E540">
        <v>522</v>
      </c>
      <c r="F540" t="s">
        <v>1229</v>
      </c>
    </row>
    <row r="541" spans="1:6" x14ac:dyDescent="0.55000000000000004">
      <c r="A541" s="6">
        <v>4.7695134222513848E+18</v>
      </c>
      <c r="B541">
        <v>3</v>
      </c>
      <c r="C541">
        <v>1</v>
      </c>
      <c r="D541">
        <v>3</v>
      </c>
      <c r="E541">
        <v>313</v>
      </c>
      <c r="F541" t="s">
        <v>1233</v>
      </c>
    </row>
    <row r="542" spans="1:6" x14ac:dyDescent="0.55000000000000004">
      <c r="A542" s="6">
        <v>4.7892406125369027E+18</v>
      </c>
      <c r="B542">
        <v>2</v>
      </c>
      <c r="C542">
        <v>2</v>
      </c>
      <c r="D542">
        <v>3</v>
      </c>
      <c r="E542">
        <v>223</v>
      </c>
      <c r="F542" t="s">
        <v>1234</v>
      </c>
    </row>
    <row r="543" spans="1:6" x14ac:dyDescent="0.55000000000000004">
      <c r="A543" s="6">
        <v>4.7894399729084293E+18</v>
      </c>
      <c r="B543">
        <v>5</v>
      </c>
      <c r="C543">
        <v>2</v>
      </c>
      <c r="D543">
        <v>3</v>
      </c>
      <c r="E543">
        <v>523</v>
      </c>
      <c r="F543" t="s">
        <v>1229</v>
      </c>
    </row>
    <row r="544" spans="1:6" x14ac:dyDescent="0.55000000000000004">
      <c r="A544" s="6">
        <v>4.7908905203526687E+18</v>
      </c>
      <c r="B544">
        <v>2</v>
      </c>
      <c r="C544">
        <v>1</v>
      </c>
      <c r="D544">
        <v>3</v>
      </c>
      <c r="E544">
        <v>213</v>
      </c>
      <c r="F544" t="s">
        <v>1234</v>
      </c>
    </row>
    <row r="545" spans="1:6" x14ac:dyDescent="0.55000000000000004">
      <c r="A545" s="6">
        <v>4.7913437573787628E+18</v>
      </c>
      <c r="B545">
        <v>4</v>
      </c>
      <c r="C545">
        <v>3</v>
      </c>
      <c r="D545">
        <v>3</v>
      </c>
      <c r="E545">
        <v>433</v>
      </c>
      <c r="F545" t="s">
        <v>1230</v>
      </c>
    </row>
    <row r="546" spans="1:6" x14ac:dyDescent="0.55000000000000004">
      <c r="A546" s="6">
        <v>4.7931904598988749E+18</v>
      </c>
      <c r="B546">
        <v>4</v>
      </c>
      <c r="C546">
        <v>1</v>
      </c>
      <c r="D546">
        <v>1</v>
      </c>
      <c r="E546">
        <v>411</v>
      </c>
      <c r="F546" t="s">
        <v>1233</v>
      </c>
    </row>
    <row r="547" spans="1:6" x14ac:dyDescent="0.55000000000000004">
      <c r="A547" s="6">
        <v>4.7992098544701256E+18</v>
      </c>
      <c r="B547">
        <v>4</v>
      </c>
      <c r="C547">
        <v>3</v>
      </c>
      <c r="D547">
        <v>2</v>
      </c>
      <c r="E547">
        <v>432</v>
      </c>
      <c r="F547" t="s">
        <v>1230</v>
      </c>
    </row>
    <row r="548" spans="1:6" x14ac:dyDescent="0.55000000000000004">
      <c r="A548" s="6">
        <v>4.8196819098361508E+18</v>
      </c>
      <c r="B548">
        <v>5</v>
      </c>
      <c r="C548">
        <v>2</v>
      </c>
      <c r="D548">
        <v>1</v>
      </c>
      <c r="E548">
        <v>521</v>
      </c>
      <c r="F548" t="s">
        <v>1229</v>
      </c>
    </row>
    <row r="549" spans="1:6" x14ac:dyDescent="0.55000000000000004">
      <c r="A549" s="6">
        <v>4.8202440816167782E+18</v>
      </c>
      <c r="B549">
        <v>5</v>
      </c>
      <c r="C549">
        <v>1</v>
      </c>
      <c r="D549">
        <v>2</v>
      </c>
      <c r="E549">
        <v>512</v>
      </c>
      <c r="F549" t="s">
        <v>1228</v>
      </c>
    </row>
    <row r="550" spans="1:6" x14ac:dyDescent="0.55000000000000004">
      <c r="A550" s="6">
        <v>4.8261840652299284E+18</v>
      </c>
      <c r="B550">
        <v>3</v>
      </c>
      <c r="C550">
        <v>1</v>
      </c>
      <c r="D550">
        <v>3</v>
      </c>
      <c r="E550">
        <v>313</v>
      </c>
      <c r="F550" t="s">
        <v>1233</v>
      </c>
    </row>
    <row r="551" spans="1:6" x14ac:dyDescent="0.55000000000000004">
      <c r="A551" s="6">
        <v>4.8261973668250235E+18</v>
      </c>
      <c r="B551">
        <v>3</v>
      </c>
      <c r="C551">
        <v>2</v>
      </c>
      <c r="D551">
        <v>1</v>
      </c>
      <c r="E551">
        <v>321</v>
      </c>
      <c r="F551" t="s">
        <v>1233</v>
      </c>
    </row>
    <row r="552" spans="1:6" x14ac:dyDescent="0.55000000000000004">
      <c r="A552" s="6">
        <v>4.8279716963090606E+18</v>
      </c>
      <c r="B552">
        <v>5</v>
      </c>
      <c r="C552">
        <v>2</v>
      </c>
      <c r="D552">
        <v>2</v>
      </c>
      <c r="E552">
        <v>522</v>
      </c>
      <c r="F552" t="s">
        <v>1229</v>
      </c>
    </row>
    <row r="553" spans="1:6" x14ac:dyDescent="0.55000000000000004">
      <c r="A553" s="6">
        <v>4.8291584269761249E+18</v>
      </c>
      <c r="B553">
        <v>5</v>
      </c>
      <c r="C553">
        <v>2</v>
      </c>
      <c r="D553">
        <v>3</v>
      </c>
      <c r="E553">
        <v>523</v>
      </c>
      <c r="F553" t="s">
        <v>1229</v>
      </c>
    </row>
    <row r="554" spans="1:6" x14ac:dyDescent="0.55000000000000004">
      <c r="A554" s="6">
        <v>4.8303745034687304E+18</v>
      </c>
      <c r="B554">
        <v>4</v>
      </c>
      <c r="C554">
        <v>1</v>
      </c>
      <c r="D554">
        <v>1</v>
      </c>
      <c r="E554">
        <v>411</v>
      </c>
      <c r="F554" t="s">
        <v>1233</v>
      </c>
    </row>
    <row r="555" spans="1:6" x14ac:dyDescent="0.55000000000000004">
      <c r="A555" s="6">
        <v>4.8320004813216389E+18</v>
      </c>
      <c r="B555">
        <v>5</v>
      </c>
      <c r="C555">
        <v>2</v>
      </c>
      <c r="D555">
        <v>2</v>
      </c>
      <c r="E555">
        <v>522</v>
      </c>
      <c r="F555" t="s">
        <v>1229</v>
      </c>
    </row>
    <row r="556" spans="1:6" x14ac:dyDescent="0.55000000000000004">
      <c r="A556" s="6">
        <v>4.8328095164550554E+18</v>
      </c>
      <c r="B556">
        <v>4</v>
      </c>
      <c r="C556">
        <v>2</v>
      </c>
      <c r="D556">
        <v>2</v>
      </c>
      <c r="E556">
        <v>422</v>
      </c>
      <c r="F556" t="s">
        <v>1229</v>
      </c>
    </row>
    <row r="557" spans="1:6" x14ac:dyDescent="0.55000000000000004">
      <c r="A557" s="6">
        <v>4.8366144911632036E+18</v>
      </c>
      <c r="B557">
        <v>5</v>
      </c>
      <c r="C557">
        <v>2</v>
      </c>
      <c r="D557">
        <v>3</v>
      </c>
      <c r="E557">
        <v>523</v>
      </c>
      <c r="F557" t="s">
        <v>1229</v>
      </c>
    </row>
    <row r="558" spans="1:6" x14ac:dyDescent="0.55000000000000004">
      <c r="A558" s="6">
        <v>4.8396436690101975E+18</v>
      </c>
      <c r="B558">
        <v>5</v>
      </c>
      <c r="C558">
        <v>3</v>
      </c>
      <c r="D558">
        <v>3</v>
      </c>
      <c r="E558">
        <v>533</v>
      </c>
      <c r="F558" t="s">
        <v>1230</v>
      </c>
    </row>
    <row r="559" spans="1:6" x14ac:dyDescent="0.55000000000000004">
      <c r="A559" s="6">
        <v>4.850517775836585E+18</v>
      </c>
      <c r="B559">
        <v>4</v>
      </c>
      <c r="C559">
        <v>2</v>
      </c>
      <c r="D559">
        <v>1</v>
      </c>
      <c r="E559">
        <v>421</v>
      </c>
      <c r="F559" t="s">
        <v>1229</v>
      </c>
    </row>
    <row r="560" spans="1:6" x14ac:dyDescent="0.55000000000000004">
      <c r="A560" s="6">
        <v>4.8639728879807365E+18</v>
      </c>
      <c r="B560">
        <v>4</v>
      </c>
      <c r="C560">
        <v>1</v>
      </c>
      <c r="D560">
        <v>3</v>
      </c>
      <c r="E560">
        <v>413</v>
      </c>
      <c r="F560" t="s">
        <v>1233</v>
      </c>
    </row>
    <row r="561" spans="1:6" x14ac:dyDescent="0.55000000000000004">
      <c r="A561" s="6">
        <v>4.8678317292628603E+18</v>
      </c>
      <c r="B561">
        <v>4</v>
      </c>
      <c r="C561">
        <v>1</v>
      </c>
      <c r="D561">
        <v>2</v>
      </c>
      <c r="E561">
        <v>412</v>
      </c>
      <c r="F561" t="s">
        <v>1233</v>
      </c>
    </row>
    <row r="562" spans="1:6" x14ac:dyDescent="0.55000000000000004">
      <c r="A562" s="6">
        <v>4.8679583041495921E+18</v>
      </c>
      <c r="B562">
        <v>4</v>
      </c>
      <c r="C562">
        <v>1</v>
      </c>
      <c r="D562">
        <v>2</v>
      </c>
      <c r="E562">
        <v>412</v>
      </c>
      <c r="F562" t="s">
        <v>1233</v>
      </c>
    </row>
    <row r="563" spans="1:6" x14ac:dyDescent="0.55000000000000004">
      <c r="A563" s="6">
        <v>4.8701968054532291E+18</v>
      </c>
      <c r="B563">
        <v>5</v>
      </c>
      <c r="C563">
        <v>2</v>
      </c>
      <c r="D563">
        <v>2</v>
      </c>
      <c r="E563">
        <v>522</v>
      </c>
      <c r="F563" t="s">
        <v>1229</v>
      </c>
    </row>
    <row r="564" spans="1:6" x14ac:dyDescent="0.55000000000000004">
      <c r="A564" s="6">
        <v>4.8769984664423875E+18</v>
      </c>
      <c r="B564">
        <v>5</v>
      </c>
      <c r="C564">
        <v>3</v>
      </c>
      <c r="D564">
        <v>3</v>
      </c>
      <c r="E564">
        <v>533</v>
      </c>
      <c r="F564" t="s">
        <v>1230</v>
      </c>
    </row>
    <row r="565" spans="1:6" x14ac:dyDescent="0.55000000000000004">
      <c r="A565" s="6">
        <v>4.87798441317184E+18</v>
      </c>
      <c r="B565">
        <v>5</v>
      </c>
      <c r="C565">
        <v>2</v>
      </c>
      <c r="D565">
        <v>2</v>
      </c>
      <c r="E565">
        <v>522</v>
      </c>
      <c r="F565" t="s">
        <v>1229</v>
      </c>
    </row>
    <row r="566" spans="1:6" x14ac:dyDescent="0.55000000000000004">
      <c r="A566" s="6">
        <v>4.8818776375257528E+18</v>
      </c>
      <c r="B566">
        <v>3</v>
      </c>
      <c r="C566">
        <v>1</v>
      </c>
      <c r="D566">
        <v>1</v>
      </c>
      <c r="E566">
        <v>311</v>
      </c>
      <c r="F566" t="s">
        <v>1233</v>
      </c>
    </row>
    <row r="567" spans="1:6" x14ac:dyDescent="0.55000000000000004">
      <c r="A567" s="6">
        <v>4.9000438688418744E+18</v>
      </c>
      <c r="B567">
        <v>5</v>
      </c>
      <c r="C567">
        <v>3</v>
      </c>
      <c r="D567">
        <v>3</v>
      </c>
      <c r="E567">
        <v>533</v>
      </c>
      <c r="F567" t="s">
        <v>1230</v>
      </c>
    </row>
    <row r="568" spans="1:6" x14ac:dyDescent="0.55000000000000004">
      <c r="A568" s="6">
        <v>4.9010360200738509E+18</v>
      </c>
      <c r="B568">
        <v>5</v>
      </c>
      <c r="C568">
        <v>1</v>
      </c>
      <c r="D568">
        <v>3</v>
      </c>
      <c r="E568">
        <v>513</v>
      </c>
      <c r="F568" t="s">
        <v>1228</v>
      </c>
    </row>
    <row r="569" spans="1:6" x14ac:dyDescent="0.55000000000000004">
      <c r="A569" s="6">
        <v>4.9043793651502182E+18</v>
      </c>
      <c r="B569">
        <v>5</v>
      </c>
      <c r="C569">
        <v>1</v>
      </c>
      <c r="D569">
        <v>2</v>
      </c>
      <c r="E569">
        <v>512</v>
      </c>
      <c r="F569" t="s">
        <v>1228</v>
      </c>
    </row>
    <row r="570" spans="1:6" x14ac:dyDescent="0.55000000000000004">
      <c r="A570" s="6">
        <v>4.9074909914343188E+18</v>
      </c>
      <c r="B570">
        <v>4</v>
      </c>
      <c r="C570">
        <v>2</v>
      </c>
      <c r="D570">
        <v>3</v>
      </c>
      <c r="E570">
        <v>423</v>
      </c>
      <c r="F570" t="s">
        <v>1229</v>
      </c>
    </row>
    <row r="571" spans="1:6" x14ac:dyDescent="0.55000000000000004">
      <c r="A571" s="6">
        <v>4.9268211954818836E+18</v>
      </c>
      <c r="B571">
        <v>4</v>
      </c>
      <c r="C571">
        <v>1</v>
      </c>
      <c r="D571">
        <v>1</v>
      </c>
      <c r="E571">
        <v>411</v>
      </c>
      <c r="F571" t="s">
        <v>1233</v>
      </c>
    </row>
    <row r="572" spans="1:6" x14ac:dyDescent="0.55000000000000004">
      <c r="A572" s="6">
        <v>4.9356075865298401E+18</v>
      </c>
      <c r="B572">
        <v>5</v>
      </c>
      <c r="C572">
        <v>2</v>
      </c>
      <c r="D572">
        <v>3</v>
      </c>
      <c r="E572">
        <v>523</v>
      </c>
      <c r="F572" t="s">
        <v>1229</v>
      </c>
    </row>
    <row r="573" spans="1:6" x14ac:dyDescent="0.55000000000000004">
      <c r="A573" s="6">
        <v>4.936094153990783E+18</v>
      </c>
      <c r="B573">
        <v>5</v>
      </c>
      <c r="C573">
        <v>1</v>
      </c>
      <c r="D573">
        <v>2</v>
      </c>
      <c r="E573">
        <v>512</v>
      </c>
      <c r="F573" t="s">
        <v>1228</v>
      </c>
    </row>
    <row r="574" spans="1:6" x14ac:dyDescent="0.55000000000000004">
      <c r="A574" s="6">
        <v>4.9450563649617633E+18</v>
      </c>
      <c r="B574">
        <v>5</v>
      </c>
      <c r="C574">
        <v>2</v>
      </c>
      <c r="D574">
        <v>2</v>
      </c>
      <c r="E574">
        <v>522</v>
      </c>
      <c r="F574" t="s">
        <v>1229</v>
      </c>
    </row>
    <row r="575" spans="1:6" x14ac:dyDescent="0.55000000000000004">
      <c r="A575" s="6">
        <v>4.9500099252429445E+18</v>
      </c>
      <c r="B575">
        <v>5</v>
      </c>
      <c r="C575">
        <v>2</v>
      </c>
      <c r="D575">
        <v>3</v>
      </c>
      <c r="E575">
        <v>523</v>
      </c>
      <c r="F575" t="s">
        <v>1229</v>
      </c>
    </row>
    <row r="576" spans="1:6" x14ac:dyDescent="0.55000000000000004">
      <c r="A576" s="6">
        <v>4.9635871697967299E+18</v>
      </c>
      <c r="B576">
        <v>3</v>
      </c>
      <c r="C576">
        <v>1</v>
      </c>
      <c r="D576">
        <v>2</v>
      </c>
      <c r="E576">
        <v>312</v>
      </c>
      <c r="F576" t="s">
        <v>1233</v>
      </c>
    </row>
    <row r="577" spans="1:6" x14ac:dyDescent="0.55000000000000004">
      <c r="A577" s="6">
        <v>4.9669611351398246E+18</v>
      </c>
      <c r="B577">
        <v>4</v>
      </c>
      <c r="C577">
        <v>1</v>
      </c>
      <c r="D577">
        <v>1</v>
      </c>
      <c r="E577">
        <v>411</v>
      </c>
      <c r="F577" t="s">
        <v>1233</v>
      </c>
    </row>
    <row r="578" spans="1:6" x14ac:dyDescent="0.55000000000000004">
      <c r="A578" s="6">
        <v>4.9679677734774938E+18</v>
      </c>
      <c r="B578">
        <v>4</v>
      </c>
      <c r="C578">
        <v>3</v>
      </c>
      <c r="D578">
        <v>3</v>
      </c>
      <c r="E578">
        <v>433</v>
      </c>
      <c r="F578" t="s">
        <v>1230</v>
      </c>
    </row>
    <row r="579" spans="1:6" x14ac:dyDescent="0.55000000000000004">
      <c r="A579" s="6">
        <v>4.971188874099796E+18</v>
      </c>
      <c r="B579">
        <v>4</v>
      </c>
      <c r="C579">
        <v>1</v>
      </c>
      <c r="D579">
        <v>2</v>
      </c>
      <c r="E579">
        <v>412</v>
      </c>
      <c r="F579" t="s">
        <v>1233</v>
      </c>
    </row>
    <row r="580" spans="1:6" x14ac:dyDescent="0.55000000000000004">
      <c r="A580" s="6">
        <v>4.9767555645308058E+18</v>
      </c>
      <c r="B580">
        <v>5</v>
      </c>
      <c r="C580">
        <v>2</v>
      </c>
      <c r="D580">
        <v>3</v>
      </c>
      <c r="E580">
        <v>523</v>
      </c>
      <c r="F580" t="s">
        <v>1229</v>
      </c>
    </row>
    <row r="581" spans="1:6" x14ac:dyDescent="0.55000000000000004">
      <c r="A581" s="6">
        <v>5.0025370734544476E+18</v>
      </c>
      <c r="B581">
        <v>4</v>
      </c>
      <c r="C581">
        <v>1</v>
      </c>
      <c r="D581">
        <v>3</v>
      </c>
      <c r="E581">
        <v>413</v>
      </c>
      <c r="F581" t="s">
        <v>1233</v>
      </c>
    </row>
    <row r="582" spans="1:6" x14ac:dyDescent="0.55000000000000004">
      <c r="A582" s="6">
        <v>5.0200884906810337E+18</v>
      </c>
      <c r="B582">
        <v>3</v>
      </c>
      <c r="C582">
        <v>2</v>
      </c>
      <c r="D582">
        <v>2</v>
      </c>
      <c r="E582">
        <v>322</v>
      </c>
      <c r="F582" t="s">
        <v>1233</v>
      </c>
    </row>
    <row r="583" spans="1:6" x14ac:dyDescent="0.55000000000000004">
      <c r="A583" s="6">
        <v>5.0270598344531937E+18</v>
      </c>
      <c r="B583">
        <v>2</v>
      </c>
      <c r="C583">
        <v>1</v>
      </c>
      <c r="D583">
        <v>1</v>
      </c>
      <c r="E583">
        <v>211</v>
      </c>
      <c r="F583" t="s">
        <v>1234</v>
      </c>
    </row>
    <row r="584" spans="1:6" x14ac:dyDescent="0.55000000000000004">
      <c r="A584" s="6">
        <v>5.0326461427474545E+18</v>
      </c>
      <c r="B584">
        <v>3</v>
      </c>
      <c r="C584">
        <v>1</v>
      </c>
      <c r="D584">
        <v>2</v>
      </c>
      <c r="E584">
        <v>312</v>
      </c>
      <c r="F584" t="s">
        <v>1233</v>
      </c>
    </row>
    <row r="585" spans="1:6" x14ac:dyDescent="0.55000000000000004">
      <c r="A585" s="6">
        <v>5.0342814580087347E+18</v>
      </c>
      <c r="B585">
        <v>4</v>
      </c>
      <c r="C585">
        <v>2</v>
      </c>
      <c r="D585">
        <v>1</v>
      </c>
      <c r="E585">
        <v>421</v>
      </c>
      <c r="F585" t="s">
        <v>1229</v>
      </c>
    </row>
    <row r="586" spans="1:6" x14ac:dyDescent="0.55000000000000004">
      <c r="A586" s="6">
        <v>5.048051833006036E+18</v>
      </c>
      <c r="B586">
        <v>1</v>
      </c>
      <c r="C586">
        <v>1</v>
      </c>
      <c r="D586">
        <v>1</v>
      </c>
      <c r="E586">
        <v>111</v>
      </c>
      <c r="F586" t="s">
        <v>1234</v>
      </c>
    </row>
    <row r="587" spans="1:6" x14ac:dyDescent="0.55000000000000004">
      <c r="A587" s="6">
        <v>5.0481806929191342E+18</v>
      </c>
      <c r="B587">
        <v>3</v>
      </c>
      <c r="C587">
        <v>2</v>
      </c>
      <c r="D587">
        <v>1</v>
      </c>
      <c r="E587">
        <v>321</v>
      </c>
      <c r="F587" t="s">
        <v>1233</v>
      </c>
    </row>
    <row r="588" spans="1:6" x14ac:dyDescent="0.55000000000000004">
      <c r="A588" s="6">
        <v>5.062924551433218E+18</v>
      </c>
      <c r="B588">
        <v>4</v>
      </c>
      <c r="C588">
        <v>1</v>
      </c>
      <c r="D588">
        <v>1</v>
      </c>
      <c r="E588">
        <v>411</v>
      </c>
      <c r="F588" t="s">
        <v>1233</v>
      </c>
    </row>
    <row r="589" spans="1:6" x14ac:dyDescent="0.55000000000000004">
      <c r="A589" s="6">
        <v>5.0702927783924183E+18</v>
      </c>
      <c r="B589">
        <v>3</v>
      </c>
      <c r="C589">
        <v>1</v>
      </c>
      <c r="D589">
        <v>2</v>
      </c>
      <c r="E589">
        <v>312</v>
      </c>
      <c r="F589" t="s">
        <v>1233</v>
      </c>
    </row>
    <row r="590" spans="1:6" x14ac:dyDescent="0.55000000000000004">
      <c r="A590" s="6">
        <v>5.0802846933944412E+18</v>
      </c>
      <c r="B590">
        <v>5</v>
      </c>
      <c r="C590">
        <v>1</v>
      </c>
      <c r="D590">
        <v>2</v>
      </c>
      <c r="E590">
        <v>512</v>
      </c>
      <c r="F590" t="s">
        <v>1228</v>
      </c>
    </row>
    <row r="591" spans="1:6" x14ac:dyDescent="0.55000000000000004">
      <c r="A591" s="6">
        <v>5.089514647593942E+18</v>
      </c>
      <c r="B591">
        <v>5</v>
      </c>
      <c r="C591">
        <v>1</v>
      </c>
      <c r="D591">
        <v>2</v>
      </c>
      <c r="E591">
        <v>512</v>
      </c>
      <c r="F591" t="s">
        <v>1228</v>
      </c>
    </row>
    <row r="592" spans="1:6" x14ac:dyDescent="0.55000000000000004">
      <c r="A592" s="6">
        <v>5.0919192247528796E+18</v>
      </c>
      <c r="B592">
        <v>1</v>
      </c>
      <c r="C592">
        <v>1</v>
      </c>
      <c r="D592">
        <v>1</v>
      </c>
      <c r="E592">
        <v>111</v>
      </c>
      <c r="F592" t="s">
        <v>1234</v>
      </c>
    </row>
    <row r="593" spans="1:6" x14ac:dyDescent="0.55000000000000004">
      <c r="A593" s="6">
        <v>5.1034642093638625E+18</v>
      </c>
      <c r="B593">
        <v>2</v>
      </c>
      <c r="C593">
        <v>1</v>
      </c>
      <c r="D593">
        <v>3</v>
      </c>
      <c r="E593">
        <v>213</v>
      </c>
      <c r="F593" t="s">
        <v>1234</v>
      </c>
    </row>
    <row r="594" spans="1:6" x14ac:dyDescent="0.55000000000000004">
      <c r="A594" s="6">
        <v>5.1068414271306322E+18</v>
      </c>
      <c r="B594">
        <v>3</v>
      </c>
      <c r="C594">
        <v>1</v>
      </c>
      <c r="D594">
        <v>1</v>
      </c>
      <c r="E594">
        <v>311</v>
      </c>
      <c r="F594" t="s">
        <v>1233</v>
      </c>
    </row>
    <row r="595" spans="1:6" x14ac:dyDescent="0.55000000000000004">
      <c r="A595" s="6">
        <v>5.1151533040191508E+18</v>
      </c>
      <c r="B595">
        <v>3</v>
      </c>
      <c r="C595">
        <v>1</v>
      </c>
      <c r="D595">
        <v>2</v>
      </c>
      <c r="E595">
        <v>312</v>
      </c>
      <c r="F595" t="s">
        <v>1233</v>
      </c>
    </row>
    <row r="596" spans="1:6" x14ac:dyDescent="0.55000000000000004">
      <c r="A596" s="6">
        <v>5.1195927289748562E+18</v>
      </c>
      <c r="B596">
        <v>4</v>
      </c>
      <c r="C596">
        <v>2</v>
      </c>
      <c r="D596">
        <v>1</v>
      </c>
      <c r="E596">
        <v>421</v>
      </c>
      <c r="F596" t="s">
        <v>1229</v>
      </c>
    </row>
    <row r="597" spans="1:6" x14ac:dyDescent="0.55000000000000004">
      <c r="A597" s="6">
        <v>5.1197851135200154E+18</v>
      </c>
      <c r="B597">
        <v>2</v>
      </c>
      <c r="C597">
        <v>1</v>
      </c>
      <c r="D597">
        <v>3</v>
      </c>
      <c r="E597">
        <v>213</v>
      </c>
      <c r="F597" t="s">
        <v>1234</v>
      </c>
    </row>
    <row r="598" spans="1:6" x14ac:dyDescent="0.55000000000000004">
      <c r="A598" s="6">
        <v>5.1250685605554504E+18</v>
      </c>
      <c r="B598">
        <v>5</v>
      </c>
      <c r="C598">
        <v>2</v>
      </c>
      <c r="D598">
        <v>1</v>
      </c>
      <c r="E598">
        <v>521</v>
      </c>
      <c r="F598" t="s">
        <v>1229</v>
      </c>
    </row>
    <row r="599" spans="1:6" x14ac:dyDescent="0.55000000000000004">
      <c r="A599" s="6">
        <v>5.1344811324232817E+18</v>
      </c>
      <c r="B599">
        <v>4</v>
      </c>
      <c r="C599">
        <v>1</v>
      </c>
      <c r="D599">
        <v>3</v>
      </c>
      <c r="E599">
        <v>413</v>
      </c>
      <c r="F599" t="s">
        <v>1233</v>
      </c>
    </row>
    <row r="600" spans="1:6" x14ac:dyDescent="0.55000000000000004">
      <c r="A600" s="6">
        <v>5.1460942534911273E+18</v>
      </c>
      <c r="B600">
        <v>5</v>
      </c>
      <c r="C600">
        <v>2</v>
      </c>
      <c r="D600">
        <v>3</v>
      </c>
      <c r="E600">
        <v>523</v>
      </c>
      <c r="F600" t="s">
        <v>1229</v>
      </c>
    </row>
    <row r="601" spans="1:6" x14ac:dyDescent="0.55000000000000004">
      <c r="A601" s="6">
        <v>5.1485119209302528E+18</v>
      </c>
      <c r="B601">
        <v>1</v>
      </c>
      <c r="C601">
        <v>1</v>
      </c>
      <c r="D601">
        <v>1</v>
      </c>
      <c r="E601">
        <v>111</v>
      </c>
      <c r="F601" t="s">
        <v>1234</v>
      </c>
    </row>
    <row r="602" spans="1:6" x14ac:dyDescent="0.55000000000000004">
      <c r="A602" s="6">
        <v>5.160656493172777E+18</v>
      </c>
      <c r="B602">
        <v>2</v>
      </c>
      <c r="C602">
        <v>1</v>
      </c>
      <c r="D602">
        <v>1</v>
      </c>
      <c r="E602">
        <v>211</v>
      </c>
      <c r="F602" t="s">
        <v>1234</v>
      </c>
    </row>
    <row r="603" spans="1:6" x14ac:dyDescent="0.55000000000000004">
      <c r="A603" s="6">
        <v>5.1745483234186783E+18</v>
      </c>
      <c r="B603">
        <v>5</v>
      </c>
      <c r="C603">
        <v>1</v>
      </c>
      <c r="D603">
        <v>3</v>
      </c>
      <c r="E603">
        <v>513</v>
      </c>
      <c r="F603" t="s">
        <v>1228</v>
      </c>
    </row>
    <row r="604" spans="1:6" x14ac:dyDescent="0.55000000000000004">
      <c r="A604" s="6">
        <v>5.1767562768368189E+18</v>
      </c>
      <c r="B604">
        <v>4</v>
      </c>
      <c r="C604">
        <v>1</v>
      </c>
      <c r="D604">
        <v>1</v>
      </c>
      <c r="E604">
        <v>411</v>
      </c>
      <c r="F604" t="s">
        <v>1233</v>
      </c>
    </row>
    <row r="605" spans="1:6" x14ac:dyDescent="0.55000000000000004">
      <c r="A605" s="6">
        <v>5.1788856754276485E+18</v>
      </c>
      <c r="B605">
        <v>3</v>
      </c>
      <c r="C605">
        <v>2</v>
      </c>
      <c r="D605">
        <v>2</v>
      </c>
      <c r="E605">
        <v>322</v>
      </c>
      <c r="F605" t="s">
        <v>1233</v>
      </c>
    </row>
    <row r="606" spans="1:6" x14ac:dyDescent="0.55000000000000004">
      <c r="A606" s="6">
        <v>5.1902422601240381E+18</v>
      </c>
      <c r="B606">
        <v>5</v>
      </c>
      <c r="C606">
        <v>2</v>
      </c>
      <c r="D606">
        <v>3</v>
      </c>
      <c r="E606">
        <v>523</v>
      </c>
      <c r="F606" t="s">
        <v>1229</v>
      </c>
    </row>
    <row r="607" spans="1:6" x14ac:dyDescent="0.55000000000000004">
      <c r="A607" s="6">
        <v>5.1961716275844608E+18</v>
      </c>
      <c r="B607">
        <v>2</v>
      </c>
      <c r="C607">
        <v>1</v>
      </c>
      <c r="D607">
        <v>2</v>
      </c>
      <c r="E607">
        <v>212</v>
      </c>
      <c r="F607" t="s">
        <v>1234</v>
      </c>
    </row>
    <row r="608" spans="1:6" x14ac:dyDescent="0.55000000000000004">
      <c r="A608" s="6">
        <v>5.210992950617346E+18</v>
      </c>
      <c r="B608">
        <v>4</v>
      </c>
      <c r="C608">
        <v>1</v>
      </c>
      <c r="D608">
        <v>2</v>
      </c>
      <c r="E608">
        <v>412</v>
      </c>
      <c r="F608" t="s">
        <v>1233</v>
      </c>
    </row>
    <row r="609" spans="1:6" x14ac:dyDescent="0.55000000000000004">
      <c r="A609" s="6">
        <v>5.2246598796763812E+18</v>
      </c>
      <c r="B609">
        <v>3</v>
      </c>
      <c r="C609">
        <v>1</v>
      </c>
      <c r="D609">
        <v>2</v>
      </c>
      <c r="E609">
        <v>312</v>
      </c>
      <c r="F609" t="s">
        <v>1233</v>
      </c>
    </row>
    <row r="610" spans="1:6" x14ac:dyDescent="0.55000000000000004">
      <c r="A610" s="6">
        <v>5.2340527379084902E+18</v>
      </c>
      <c r="B610">
        <v>4</v>
      </c>
      <c r="C610">
        <v>1</v>
      </c>
      <c r="D610">
        <v>1</v>
      </c>
      <c r="E610">
        <v>411</v>
      </c>
      <c r="F610" t="s">
        <v>1233</v>
      </c>
    </row>
    <row r="611" spans="1:6" x14ac:dyDescent="0.55000000000000004">
      <c r="A611" s="6">
        <v>5.239570284531626E+18</v>
      </c>
      <c r="B611">
        <v>4</v>
      </c>
      <c r="C611">
        <v>1</v>
      </c>
      <c r="D611">
        <v>2</v>
      </c>
      <c r="E611">
        <v>412</v>
      </c>
      <c r="F611" t="s">
        <v>1233</v>
      </c>
    </row>
    <row r="612" spans="1:6" x14ac:dyDescent="0.55000000000000004">
      <c r="A612" s="6">
        <v>5.2428657608355123E+18</v>
      </c>
      <c r="B612">
        <v>5</v>
      </c>
      <c r="C612">
        <v>1</v>
      </c>
      <c r="D612">
        <v>3</v>
      </c>
      <c r="E612">
        <v>513</v>
      </c>
      <c r="F612" t="s">
        <v>1228</v>
      </c>
    </row>
    <row r="613" spans="1:6" x14ac:dyDescent="0.55000000000000004">
      <c r="A613" s="6">
        <v>5.2552553803214479E+18</v>
      </c>
      <c r="B613">
        <v>5</v>
      </c>
      <c r="C613">
        <v>1</v>
      </c>
      <c r="D613">
        <v>3</v>
      </c>
      <c r="E613">
        <v>513</v>
      </c>
      <c r="F613" t="s">
        <v>1228</v>
      </c>
    </row>
    <row r="614" spans="1:6" x14ac:dyDescent="0.55000000000000004">
      <c r="A614" s="6">
        <v>5.2579795737863025E+18</v>
      </c>
      <c r="B614">
        <v>2</v>
      </c>
      <c r="C614">
        <v>1</v>
      </c>
      <c r="D614">
        <v>1</v>
      </c>
      <c r="E614">
        <v>211</v>
      </c>
      <c r="F614" t="s">
        <v>1234</v>
      </c>
    </row>
    <row r="615" spans="1:6" x14ac:dyDescent="0.55000000000000004">
      <c r="A615" s="6">
        <v>5.2725860293849027E+18</v>
      </c>
      <c r="B615">
        <v>5</v>
      </c>
      <c r="C615">
        <v>1</v>
      </c>
      <c r="D615">
        <v>1</v>
      </c>
      <c r="E615">
        <v>511</v>
      </c>
      <c r="F615" t="s">
        <v>1228</v>
      </c>
    </row>
    <row r="616" spans="1:6" x14ac:dyDescent="0.55000000000000004">
      <c r="A616" s="6">
        <v>5.2922210755784581E+18</v>
      </c>
      <c r="B616">
        <v>4</v>
      </c>
      <c r="C616">
        <v>2</v>
      </c>
      <c r="D616">
        <v>2</v>
      </c>
      <c r="E616">
        <v>422</v>
      </c>
      <c r="F616" t="s">
        <v>1229</v>
      </c>
    </row>
    <row r="617" spans="1:6" x14ac:dyDescent="0.55000000000000004">
      <c r="A617" s="6">
        <v>5.2949354389902428E+18</v>
      </c>
      <c r="B617">
        <v>5</v>
      </c>
      <c r="C617">
        <v>1</v>
      </c>
      <c r="D617">
        <v>1</v>
      </c>
      <c r="E617">
        <v>511</v>
      </c>
      <c r="F617" t="s">
        <v>1228</v>
      </c>
    </row>
    <row r="618" spans="1:6" x14ac:dyDescent="0.55000000000000004">
      <c r="A618" s="6">
        <v>5.306007669942868E+18</v>
      </c>
      <c r="B618">
        <v>5</v>
      </c>
      <c r="C618">
        <v>2</v>
      </c>
      <c r="D618">
        <v>2</v>
      </c>
      <c r="E618">
        <v>522</v>
      </c>
      <c r="F618" t="s">
        <v>1229</v>
      </c>
    </row>
    <row r="619" spans="1:6" x14ac:dyDescent="0.55000000000000004">
      <c r="A619" s="6">
        <v>5.3060560523915049E+18</v>
      </c>
      <c r="B619">
        <v>3</v>
      </c>
      <c r="C619">
        <v>1</v>
      </c>
      <c r="D619">
        <v>2</v>
      </c>
      <c r="E619">
        <v>312</v>
      </c>
      <c r="F619" t="s">
        <v>1233</v>
      </c>
    </row>
    <row r="620" spans="1:6" x14ac:dyDescent="0.55000000000000004">
      <c r="A620" s="6">
        <v>5.3237933045177467E+18</v>
      </c>
      <c r="B620">
        <v>5</v>
      </c>
      <c r="C620">
        <v>1</v>
      </c>
      <c r="D620">
        <v>3</v>
      </c>
      <c r="E620">
        <v>513</v>
      </c>
      <c r="F620" t="s">
        <v>1228</v>
      </c>
    </row>
    <row r="621" spans="1:6" x14ac:dyDescent="0.55000000000000004">
      <c r="A621" s="6">
        <v>5.3366388308756603E+18</v>
      </c>
      <c r="B621">
        <v>4</v>
      </c>
      <c r="C621">
        <v>1</v>
      </c>
      <c r="D621">
        <v>3</v>
      </c>
      <c r="E621">
        <v>413</v>
      </c>
      <c r="F621" t="s">
        <v>1233</v>
      </c>
    </row>
    <row r="622" spans="1:6" x14ac:dyDescent="0.55000000000000004">
      <c r="A622" s="6">
        <v>5.3367691214396877E+18</v>
      </c>
      <c r="B622">
        <v>5</v>
      </c>
      <c r="C622">
        <v>1</v>
      </c>
      <c r="D622">
        <v>1</v>
      </c>
      <c r="E622">
        <v>511</v>
      </c>
      <c r="F622" t="s">
        <v>1228</v>
      </c>
    </row>
    <row r="623" spans="1:6" x14ac:dyDescent="0.55000000000000004">
      <c r="A623" s="6">
        <v>5.3370243637905869E+18</v>
      </c>
      <c r="B623">
        <v>3</v>
      </c>
      <c r="C623">
        <v>1</v>
      </c>
      <c r="D623">
        <v>1</v>
      </c>
      <c r="E623">
        <v>311</v>
      </c>
      <c r="F623" t="s">
        <v>1233</v>
      </c>
    </row>
    <row r="624" spans="1:6" x14ac:dyDescent="0.55000000000000004">
      <c r="A624" s="6">
        <v>5.3561866016784497E+18</v>
      </c>
      <c r="B624">
        <v>4</v>
      </c>
      <c r="C624">
        <v>1</v>
      </c>
      <c r="D624">
        <v>2</v>
      </c>
      <c r="E624">
        <v>412</v>
      </c>
      <c r="F624" t="s">
        <v>1233</v>
      </c>
    </row>
    <row r="625" spans="1:6" x14ac:dyDescent="0.55000000000000004">
      <c r="A625" s="6">
        <v>5.3620778757135073E+18</v>
      </c>
      <c r="B625">
        <v>5</v>
      </c>
      <c r="C625">
        <v>1</v>
      </c>
      <c r="D625">
        <v>3</v>
      </c>
      <c r="E625">
        <v>513</v>
      </c>
      <c r="F625" t="s">
        <v>1228</v>
      </c>
    </row>
    <row r="626" spans="1:6" x14ac:dyDescent="0.55000000000000004">
      <c r="A626" s="6">
        <v>5.364618019062016E+18</v>
      </c>
      <c r="B626">
        <v>5</v>
      </c>
      <c r="C626">
        <v>2</v>
      </c>
      <c r="D626">
        <v>3</v>
      </c>
      <c r="E626">
        <v>523</v>
      </c>
      <c r="F626" t="s">
        <v>1229</v>
      </c>
    </row>
    <row r="627" spans="1:6" x14ac:dyDescent="0.55000000000000004">
      <c r="A627" s="6">
        <v>5.3702924294165412E+18</v>
      </c>
      <c r="B627">
        <v>2</v>
      </c>
      <c r="C627">
        <v>1</v>
      </c>
      <c r="D627">
        <v>1</v>
      </c>
      <c r="E627">
        <v>211</v>
      </c>
      <c r="F627" t="s">
        <v>1234</v>
      </c>
    </row>
    <row r="628" spans="1:6" x14ac:dyDescent="0.55000000000000004">
      <c r="A628" s="6">
        <v>5.3711356378921155E+18</v>
      </c>
      <c r="B628">
        <v>5</v>
      </c>
      <c r="C628">
        <v>1</v>
      </c>
      <c r="D628">
        <v>3</v>
      </c>
      <c r="E628">
        <v>513</v>
      </c>
      <c r="F628" t="s">
        <v>1228</v>
      </c>
    </row>
    <row r="629" spans="1:6" x14ac:dyDescent="0.55000000000000004">
      <c r="A629" s="6">
        <v>5.3732341107030211E+18</v>
      </c>
      <c r="B629">
        <v>4</v>
      </c>
      <c r="C629">
        <v>1</v>
      </c>
      <c r="D629">
        <v>1</v>
      </c>
      <c r="E629">
        <v>411</v>
      </c>
      <c r="F629" t="s">
        <v>1233</v>
      </c>
    </row>
    <row r="630" spans="1:6" x14ac:dyDescent="0.55000000000000004">
      <c r="A630" s="6">
        <v>5.3744616220022743E+18</v>
      </c>
      <c r="B630">
        <v>3</v>
      </c>
      <c r="C630">
        <v>2</v>
      </c>
      <c r="D630">
        <v>3</v>
      </c>
      <c r="E630">
        <v>323</v>
      </c>
      <c r="F630" t="s">
        <v>1233</v>
      </c>
    </row>
    <row r="631" spans="1:6" x14ac:dyDescent="0.55000000000000004">
      <c r="A631" s="6">
        <v>5.3784676578982953E+18</v>
      </c>
      <c r="B631">
        <v>5</v>
      </c>
      <c r="C631">
        <v>1</v>
      </c>
      <c r="D631">
        <v>2</v>
      </c>
      <c r="E631">
        <v>512</v>
      </c>
      <c r="F631" t="s">
        <v>1228</v>
      </c>
    </row>
    <row r="632" spans="1:6" x14ac:dyDescent="0.55000000000000004">
      <c r="A632" s="6">
        <v>5.3910319597590886E+18</v>
      </c>
      <c r="B632">
        <v>5</v>
      </c>
      <c r="C632">
        <v>1</v>
      </c>
      <c r="D632">
        <v>2</v>
      </c>
      <c r="E632">
        <v>512</v>
      </c>
      <c r="F632" t="s">
        <v>1228</v>
      </c>
    </row>
    <row r="633" spans="1:6" x14ac:dyDescent="0.55000000000000004">
      <c r="A633" s="6">
        <v>5.3920489679229184E+18</v>
      </c>
      <c r="B633">
        <v>5</v>
      </c>
      <c r="C633">
        <v>2</v>
      </c>
      <c r="D633">
        <v>2</v>
      </c>
      <c r="E633">
        <v>522</v>
      </c>
      <c r="F633" t="s">
        <v>1229</v>
      </c>
    </row>
    <row r="634" spans="1:6" x14ac:dyDescent="0.55000000000000004">
      <c r="A634" s="6">
        <v>5.3973038049061745E+18</v>
      </c>
      <c r="B634">
        <v>5</v>
      </c>
      <c r="C634">
        <v>3</v>
      </c>
      <c r="D634">
        <v>3</v>
      </c>
      <c r="E634">
        <v>533</v>
      </c>
      <c r="F634" t="s">
        <v>1230</v>
      </c>
    </row>
    <row r="635" spans="1:6" x14ac:dyDescent="0.55000000000000004">
      <c r="A635" s="6">
        <v>5.4003993865011261E+18</v>
      </c>
      <c r="B635">
        <v>5</v>
      </c>
      <c r="C635">
        <v>1</v>
      </c>
      <c r="D635">
        <v>1</v>
      </c>
      <c r="E635">
        <v>511</v>
      </c>
      <c r="F635" t="s">
        <v>1228</v>
      </c>
    </row>
    <row r="636" spans="1:6" x14ac:dyDescent="0.55000000000000004">
      <c r="A636" s="6">
        <v>5.4059398132815749E+18</v>
      </c>
      <c r="B636">
        <v>5</v>
      </c>
      <c r="C636">
        <v>1</v>
      </c>
      <c r="D636">
        <v>1</v>
      </c>
      <c r="E636">
        <v>511</v>
      </c>
      <c r="F636" t="s">
        <v>1228</v>
      </c>
    </row>
    <row r="637" spans="1:6" x14ac:dyDescent="0.55000000000000004">
      <c r="A637" s="6">
        <v>5.4108562764381123E+18</v>
      </c>
      <c r="B637">
        <v>2</v>
      </c>
      <c r="C637">
        <v>1</v>
      </c>
      <c r="D637">
        <v>1</v>
      </c>
      <c r="E637">
        <v>211</v>
      </c>
      <c r="F637" t="s">
        <v>1234</v>
      </c>
    </row>
    <row r="638" spans="1:6" x14ac:dyDescent="0.55000000000000004">
      <c r="A638" s="6">
        <v>5.4120567348960328E+18</v>
      </c>
      <c r="B638">
        <v>5</v>
      </c>
      <c r="C638">
        <v>1</v>
      </c>
      <c r="D638">
        <v>1</v>
      </c>
      <c r="E638">
        <v>511</v>
      </c>
      <c r="F638" t="s">
        <v>1228</v>
      </c>
    </row>
    <row r="639" spans="1:6" x14ac:dyDescent="0.55000000000000004">
      <c r="A639" s="6">
        <v>5.4207611659423212E+18</v>
      </c>
      <c r="B639">
        <v>3</v>
      </c>
      <c r="C639">
        <v>1</v>
      </c>
      <c r="D639">
        <v>1</v>
      </c>
      <c r="E639">
        <v>311</v>
      </c>
      <c r="F639" t="s">
        <v>1233</v>
      </c>
    </row>
    <row r="640" spans="1:6" x14ac:dyDescent="0.55000000000000004">
      <c r="A640" s="6">
        <v>5.4221416760493773E+18</v>
      </c>
      <c r="B640">
        <v>4</v>
      </c>
      <c r="C640">
        <v>1</v>
      </c>
      <c r="D640">
        <v>2</v>
      </c>
      <c r="E640">
        <v>412</v>
      </c>
      <c r="F640" t="s">
        <v>1233</v>
      </c>
    </row>
    <row r="641" spans="1:6" x14ac:dyDescent="0.55000000000000004">
      <c r="A641" s="6">
        <v>5.4238305817622938E+18</v>
      </c>
      <c r="B641">
        <v>4</v>
      </c>
      <c r="C641">
        <v>1</v>
      </c>
      <c r="D641">
        <v>1</v>
      </c>
      <c r="E641">
        <v>411</v>
      </c>
      <c r="F641" t="s">
        <v>1233</v>
      </c>
    </row>
    <row r="642" spans="1:6" x14ac:dyDescent="0.55000000000000004">
      <c r="A642" s="6">
        <v>5.4249199035225917E+18</v>
      </c>
      <c r="B642">
        <v>4</v>
      </c>
      <c r="C642">
        <v>3</v>
      </c>
      <c r="D642">
        <v>3</v>
      </c>
      <c r="E642">
        <v>433</v>
      </c>
      <c r="F642" t="s">
        <v>1230</v>
      </c>
    </row>
    <row r="643" spans="1:6" x14ac:dyDescent="0.55000000000000004">
      <c r="A643" s="6">
        <v>5.4480656603369421E+18</v>
      </c>
      <c r="B643">
        <v>5</v>
      </c>
      <c r="C643">
        <v>2</v>
      </c>
      <c r="D643">
        <v>1</v>
      </c>
      <c r="E643">
        <v>521</v>
      </c>
      <c r="F643" t="s">
        <v>1229</v>
      </c>
    </row>
    <row r="644" spans="1:6" x14ac:dyDescent="0.55000000000000004">
      <c r="A644" s="6">
        <v>5.4525141882851154E+18</v>
      </c>
      <c r="B644">
        <v>2</v>
      </c>
      <c r="C644">
        <v>1</v>
      </c>
      <c r="D644">
        <v>2</v>
      </c>
      <c r="E644">
        <v>212</v>
      </c>
      <c r="F644" t="s">
        <v>1234</v>
      </c>
    </row>
    <row r="645" spans="1:6" x14ac:dyDescent="0.55000000000000004">
      <c r="A645" s="6">
        <v>5.4624663585149143E+18</v>
      </c>
      <c r="B645">
        <v>4</v>
      </c>
      <c r="C645">
        <v>1</v>
      </c>
      <c r="D645">
        <v>1</v>
      </c>
      <c r="E645">
        <v>411</v>
      </c>
      <c r="F645" t="s">
        <v>1233</v>
      </c>
    </row>
    <row r="646" spans="1:6" x14ac:dyDescent="0.55000000000000004">
      <c r="A646" s="6">
        <v>5.4651937541551749E+18</v>
      </c>
      <c r="B646">
        <v>5</v>
      </c>
      <c r="C646">
        <v>2</v>
      </c>
      <c r="D646">
        <v>1</v>
      </c>
      <c r="E646">
        <v>521</v>
      </c>
      <c r="F646" t="s">
        <v>1229</v>
      </c>
    </row>
    <row r="647" spans="1:6" x14ac:dyDescent="0.55000000000000004">
      <c r="A647" s="6">
        <v>5.4967923404373617E+18</v>
      </c>
      <c r="B647">
        <v>5</v>
      </c>
      <c r="C647">
        <v>2</v>
      </c>
      <c r="D647">
        <v>3</v>
      </c>
      <c r="E647">
        <v>523</v>
      </c>
      <c r="F647" t="s">
        <v>1229</v>
      </c>
    </row>
    <row r="648" spans="1:6" x14ac:dyDescent="0.55000000000000004">
      <c r="A648" s="6">
        <v>5.497031036325631E+18</v>
      </c>
      <c r="B648">
        <v>5</v>
      </c>
      <c r="C648">
        <v>2</v>
      </c>
      <c r="D648">
        <v>3</v>
      </c>
      <c r="E648">
        <v>523</v>
      </c>
      <c r="F648" t="s">
        <v>1229</v>
      </c>
    </row>
    <row r="649" spans="1:6" x14ac:dyDescent="0.55000000000000004">
      <c r="A649" s="6">
        <v>5.5103799152353352E+18</v>
      </c>
      <c r="B649">
        <v>5</v>
      </c>
      <c r="C649">
        <v>2</v>
      </c>
      <c r="D649">
        <v>3</v>
      </c>
      <c r="E649">
        <v>523</v>
      </c>
      <c r="F649" t="s">
        <v>1229</v>
      </c>
    </row>
    <row r="650" spans="1:6" x14ac:dyDescent="0.55000000000000004">
      <c r="A650" s="6">
        <v>5.5255863221200271E+18</v>
      </c>
      <c r="B650">
        <v>5</v>
      </c>
      <c r="C650">
        <v>2</v>
      </c>
      <c r="D650">
        <v>1</v>
      </c>
      <c r="E650">
        <v>521</v>
      </c>
      <c r="F650" t="s">
        <v>1229</v>
      </c>
    </row>
    <row r="651" spans="1:6" x14ac:dyDescent="0.55000000000000004">
      <c r="A651" s="6">
        <v>5.5398942607699497E+18</v>
      </c>
      <c r="B651">
        <v>3</v>
      </c>
      <c r="C651">
        <v>1</v>
      </c>
      <c r="D651">
        <v>1</v>
      </c>
      <c r="E651">
        <v>311</v>
      </c>
      <c r="F651" t="s">
        <v>1233</v>
      </c>
    </row>
    <row r="652" spans="1:6" x14ac:dyDescent="0.55000000000000004">
      <c r="A652" s="6">
        <v>5.5407192610282045E+18</v>
      </c>
      <c r="B652">
        <v>5</v>
      </c>
      <c r="C652">
        <v>1</v>
      </c>
      <c r="D652">
        <v>1</v>
      </c>
      <c r="E652">
        <v>511</v>
      </c>
      <c r="F652" t="s">
        <v>1228</v>
      </c>
    </row>
    <row r="653" spans="1:6" x14ac:dyDescent="0.55000000000000004">
      <c r="A653" s="6">
        <v>5.5419601185334149E+18</v>
      </c>
      <c r="B653">
        <v>5</v>
      </c>
      <c r="C653">
        <v>1</v>
      </c>
      <c r="D653">
        <v>1</v>
      </c>
      <c r="E653">
        <v>511</v>
      </c>
      <c r="F653" t="s">
        <v>1228</v>
      </c>
    </row>
    <row r="654" spans="1:6" x14ac:dyDescent="0.55000000000000004">
      <c r="A654" s="6">
        <v>5.5473400348587612E+18</v>
      </c>
      <c r="B654">
        <v>5</v>
      </c>
      <c r="C654">
        <v>1</v>
      </c>
      <c r="D654">
        <v>2</v>
      </c>
      <c r="E654">
        <v>512</v>
      </c>
      <c r="F654" t="s">
        <v>1228</v>
      </c>
    </row>
    <row r="655" spans="1:6" x14ac:dyDescent="0.55000000000000004">
      <c r="A655" s="6">
        <v>5.5710040725666847E+18</v>
      </c>
      <c r="B655">
        <v>4</v>
      </c>
      <c r="C655">
        <v>2</v>
      </c>
      <c r="D655">
        <v>3</v>
      </c>
      <c r="E655">
        <v>423</v>
      </c>
      <c r="F655" t="s">
        <v>1229</v>
      </c>
    </row>
    <row r="656" spans="1:6" x14ac:dyDescent="0.55000000000000004">
      <c r="A656" s="6">
        <v>5.5746640187933563E+18</v>
      </c>
      <c r="B656">
        <v>3</v>
      </c>
      <c r="C656">
        <v>1</v>
      </c>
      <c r="D656">
        <v>1</v>
      </c>
      <c r="E656">
        <v>311</v>
      </c>
      <c r="F656" t="s">
        <v>1233</v>
      </c>
    </row>
    <row r="657" spans="1:6" x14ac:dyDescent="0.55000000000000004">
      <c r="A657" s="6">
        <v>5.5847640147339397E+18</v>
      </c>
      <c r="B657">
        <v>3</v>
      </c>
      <c r="C657">
        <v>1</v>
      </c>
      <c r="D657">
        <v>1</v>
      </c>
      <c r="E657">
        <v>311</v>
      </c>
      <c r="F657" t="s">
        <v>1233</v>
      </c>
    </row>
    <row r="658" spans="1:6" x14ac:dyDescent="0.55000000000000004">
      <c r="A658" s="6">
        <v>5.5869190576617318E+18</v>
      </c>
      <c r="B658">
        <v>3</v>
      </c>
      <c r="C658">
        <v>1</v>
      </c>
      <c r="D658">
        <v>3</v>
      </c>
      <c r="E658">
        <v>313</v>
      </c>
      <c r="F658" t="s">
        <v>1233</v>
      </c>
    </row>
    <row r="659" spans="1:6" x14ac:dyDescent="0.55000000000000004">
      <c r="A659" s="6">
        <v>5.5885706773209549E+18</v>
      </c>
      <c r="B659">
        <v>5</v>
      </c>
      <c r="C659">
        <v>2</v>
      </c>
      <c r="D659">
        <v>3</v>
      </c>
      <c r="E659">
        <v>523</v>
      </c>
      <c r="F659" t="s">
        <v>1229</v>
      </c>
    </row>
    <row r="660" spans="1:6" x14ac:dyDescent="0.55000000000000004">
      <c r="A660" s="6">
        <v>5.5996363281860024E+18</v>
      </c>
      <c r="B660">
        <v>5</v>
      </c>
      <c r="C660">
        <v>1</v>
      </c>
      <c r="D660">
        <v>2</v>
      </c>
      <c r="E660">
        <v>512</v>
      </c>
      <c r="F660" t="s">
        <v>1228</v>
      </c>
    </row>
    <row r="661" spans="1:6" x14ac:dyDescent="0.55000000000000004">
      <c r="A661" s="6">
        <v>5.6031507266232842E+18</v>
      </c>
      <c r="B661">
        <v>3</v>
      </c>
      <c r="C661">
        <v>1</v>
      </c>
      <c r="D661">
        <v>1</v>
      </c>
      <c r="E661">
        <v>311</v>
      </c>
      <c r="F661" t="s">
        <v>1233</v>
      </c>
    </row>
    <row r="662" spans="1:6" x14ac:dyDescent="0.55000000000000004">
      <c r="A662" s="6">
        <v>5.6058152256816343E+18</v>
      </c>
      <c r="B662">
        <v>5</v>
      </c>
      <c r="C662">
        <v>1</v>
      </c>
      <c r="D662">
        <v>1</v>
      </c>
      <c r="E662">
        <v>511</v>
      </c>
      <c r="F662" t="s">
        <v>1228</v>
      </c>
    </row>
    <row r="663" spans="1:6" x14ac:dyDescent="0.55000000000000004">
      <c r="A663" s="6">
        <v>5.6099104682635295E+18</v>
      </c>
      <c r="B663">
        <v>4</v>
      </c>
      <c r="C663">
        <v>2</v>
      </c>
      <c r="D663">
        <v>3</v>
      </c>
      <c r="E663">
        <v>423</v>
      </c>
      <c r="F663" t="s">
        <v>1229</v>
      </c>
    </row>
    <row r="664" spans="1:6" x14ac:dyDescent="0.55000000000000004">
      <c r="A664" s="6">
        <v>5.6186651322132787E+18</v>
      </c>
      <c r="B664">
        <v>3</v>
      </c>
      <c r="C664">
        <v>1</v>
      </c>
      <c r="D664">
        <v>3</v>
      </c>
      <c r="E664">
        <v>313</v>
      </c>
      <c r="F664" t="s">
        <v>1233</v>
      </c>
    </row>
    <row r="665" spans="1:6" x14ac:dyDescent="0.55000000000000004">
      <c r="A665" s="6">
        <v>5.6382876841213542E+18</v>
      </c>
      <c r="B665">
        <v>5</v>
      </c>
      <c r="C665">
        <v>2</v>
      </c>
      <c r="D665">
        <v>2</v>
      </c>
      <c r="E665">
        <v>522</v>
      </c>
      <c r="F665" t="s">
        <v>1229</v>
      </c>
    </row>
    <row r="666" spans="1:6" x14ac:dyDescent="0.55000000000000004">
      <c r="A666" s="6">
        <v>5.6384367051789804E+18</v>
      </c>
      <c r="B666">
        <v>5</v>
      </c>
      <c r="C666">
        <v>2</v>
      </c>
      <c r="D666">
        <v>3</v>
      </c>
      <c r="E666">
        <v>523</v>
      </c>
      <c r="F666" t="s">
        <v>1229</v>
      </c>
    </row>
    <row r="667" spans="1:6" x14ac:dyDescent="0.55000000000000004">
      <c r="A667" s="6">
        <v>5.6423374827702804E+18</v>
      </c>
      <c r="B667">
        <v>2</v>
      </c>
      <c r="C667">
        <v>2</v>
      </c>
      <c r="D667">
        <v>3</v>
      </c>
      <c r="E667">
        <v>223</v>
      </c>
      <c r="F667" t="s">
        <v>1234</v>
      </c>
    </row>
    <row r="668" spans="1:6" x14ac:dyDescent="0.55000000000000004">
      <c r="A668" s="6">
        <v>5.6429876351709235E+18</v>
      </c>
      <c r="B668">
        <v>5</v>
      </c>
      <c r="C668">
        <v>1</v>
      </c>
      <c r="D668">
        <v>1</v>
      </c>
      <c r="E668">
        <v>511</v>
      </c>
      <c r="F668" t="s">
        <v>1228</v>
      </c>
    </row>
    <row r="669" spans="1:6" x14ac:dyDescent="0.55000000000000004">
      <c r="A669" s="6">
        <v>5.6599675409249679E+18</v>
      </c>
      <c r="B669">
        <v>4</v>
      </c>
      <c r="C669">
        <v>2</v>
      </c>
      <c r="D669">
        <v>3</v>
      </c>
      <c r="E669">
        <v>423</v>
      </c>
      <c r="F669" t="s">
        <v>1229</v>
      </c>
    </row>
    <row r="670" spans="1:6" x14ac:dyDescent="0.55000000000000004">
      <c r="A670" s="6">
        <v>5.6630641825212416E+18</v>
      </c>
      <c r="B670">
        <v>3</v>
      </c>
      <c r="C670">
        <v>1</v>
      </c>
      <c r="D670">
        <v>2</v>
      </c>
      <c r="E670">
        <v>312</v>
      </c>
      <c r="F670" t="s">
        <v>1233</v>
      </c>
    </row>
    <row r="671" spans="1:6" x14ac:dyDescent="0.55000000000000004">
      <c r="A671" s="6">
        <v>5.6822075481277911E+18</v>
      </c>
      <c r="B671">
        <v>5</v>
      </c>
      <c r="C671">
        <v>2</v>
      </c>
      <c r="D671">
        <v>2</v>
      </c>
      <c r="E671">
        <v>522</v>
      </c>
      <c r="F671" t="s">
        <v>1229</v>
      </c>
    </row>
    <row r="672" spans="1:6" x14ac:dyDescent="0.55000000000000004">
      <c r="A672" s="6">
        <v>5.6825257000827535E+18</v>
      </c>
      <c r="B672">
        <v>5</v>
      </c>
      <c r="C672">
        <v>3</v>
      </c>
      <c r="D672">
        <v>3</v>
      </c>
      <c r="E672">
        <v>533</v>
      </c>
      <c r="F672" t="s">
        <v>1230</v>
      </c>
    </row>
    <row r="673" spans="1:6" x14ac:dyDescent="0.55000000000000004">
      <c r="A673" s="6">
        <v>5.6918524632912978E+18</v>
      </c>
      <c r="B673">
        <v>5</v>
      </c>
      <c r="C673">
        <v>2</v>
      </c>
      <c r="D673">
        <v>3</v>
      </c>
      <c r="E673">
        <v>523</v>
      </c>
      <c r="F673" t="s">
        <v>1229</v>
      </c>
    </row>
    <row r="674" spans="1:6" x14ac:dyDescent="0.55000000000000004">
      <c r="A674" s="6">
        <v>5.6919244987251599E+18</v>
      </c>
      <c r="B674">
        <v>3</v>
      </c>
      <c r="C674">
        <v>1</v>
      </c>
      <c r="D674">
        <v>2</v>
      </c>
      <c r="E674">
        <v>312</v>
      </c>
      <c r="F674" t="s">
        <v>1233</v>
      </c>
    </row>
    <row r="675" spans="1:6" x14ac:dyDescent="0.55000000000000004">
      <c r="A675" s="6">
        <v>5.6974482217642691E+18</v>
      </c>
      <c r="B675">
        <v>5</v>
      </c>
      <c r="C675">
        <v>1</v>
      </c>
      <c r="D675">
        <v>2</v>
      </c>
      <c r="E675">
        <v>512</v>
      </c>
      <c r="F675" t="s">
        <v>1228</v>
      </c>
    </row>
    <row r="676" spans="1:6" x14ac:dyDescent="0.55000000000000004">
      <c r="A676" s="6">
        <v>5.7005708962086676E+18</v>
      </c>
      <c r="B676">
        <v>5</v>
      </c>
      <c r="C676">
        <v>2</v>
      </c>
      <c r="D676">
        <v>2</v>
      </c>
      <c r="E676">
        <v>522</v>
      </c>
      <c r="F676" t="s">
        <v>1229</v>
      </c>
    </row>
    <row r="677" spans="1:6" x14ac:dyDescent="0.55000000000000004">
      <c r="A677" s="6">
        <v>5.7023836737131592E+18</v>
      </c>
      <c r="B677">
        <v>1</v>
      </c>
      <c r="C677">
        <v>1</v>
      </c>
      <c r="D677">
        <v>2</v>
      </c>
      <c r="E677">
        <v>112</v>
      </c>
      <c r="F677" t="s">
        <v>1234</v>
      </c>
    </row>
    <row r="678" spans="1:6" x14ac:dyDescent="0.55000000000000004">
      <c r="A678" s="6">
        <v>5.7073573820168806E+18</v>
      </c>
      <c r="B678">
        <v>5</v>
      </c>
      <c r="C678">
        <v>1</v>
      </c>
      <c r="D678">
        <v>1</v>
      </c>
      <c r="E678">
        <v>511</v>
      </c>
      <c r="F678" t="s">
        <v>1228</v>
      </c>
    </row>
    <row r="679" spans="1:6" x14ac:dyDescent="0.55000000000000004">
      <c r="A679" s="6">
        <v>5.7291105250867794E+18</v>
      </c>
      <c r="B679">
        <v>5</v>
      </c>
      <c r="C679">
        <v>1</v>
      </c>
      <c r="D679">
        <v>3</v>
      </c>
      <c r="E679">
        <v>513</v>
      </c>
      <c r="F679" t="s">
        <v>1228</v>
      </c>
    </row>
    <row r="680" spans="1:6" x14ac:dyDescent="0.55000000000000004">
      <c r="A680" s="6">
        <v>5.7314394643560571E+18</v>
      </c>
      <c r="B680">
        <v>5</v>
      </c>
      <c r="C680">
        <v>3</v>
      </c>
      <c r="D680">
        <v>3</v>
      </c>
      <c r="E680">
        <v>533</v>
      </c>
      <c r="F680" t="s">
        <v>1230</v>
      </c>
    </row>
    <row r="681" spans="1:6" x14ac:dyDescent="0.55000000000000004">
      <c r="A681" s="6">
        <v>5.7494670863138181E+18</v>
      </c>
      <c r="B681">
        <v>4</v>
      </c>
      <c r="C681">
        <v>1</v>
      </c>
      <c r="D681">
        <v>1</v>
      </c>
      <c r="E681">
        <v>411</v>
      </c>
      <c r="F681" t="s">
        <v>1233</v>
      </c>
    </row>
    <row r="682" spans="1:6" x14ac:dyDescent="0.55000000000000004">
      <c r="A682" s="6">
        <v>5.7556105243482644E+18</v>
      </c>
      <c r="B682">
        <v>5</v>
      </c>
      <c r="C682">
        <v>3</v>
      </c>
      <c r="D682">
        <v>2</v>
      </c>
      <c r="E682">
        <v>532</v>
      </c>
      <c r="F682" t="s">
        <v>1230</v>
      </c>
    </row>
    <row r="683" spans="1:6" x14ac:dyDescent="0.55000000000000004">
      <c r="A683" s="6">
        <v>5.7659891873700403E+18</v>
      </c>
      <c r="B683">
        <v>4</v>
      </c>
      <c r="C683">
        <v>2</v>
      </c>
      <c r="D683">
        <v>2</v>
      </c>
      <c r="E683">
        <v>422</v>
      </c>
      <c r="F683" t="s">
        <v>1229</v>
      </c>
    </row>
    <row r="684" spans="1:6" x14ac:dyDescent="0.55000000000000004">
      <c r="A684" s="6">
        <v>5.7661049619039703E+18</v>
      </c>
      <c r="B684">
        <v>5</v>
      </c>
      <c r="C684">
        <v>1</v>
      </c>
      <c r="D684">
        <v>2</v>
      </c>
      <c r="E684">
        <v>512</v>
      </c>
      <c r="F684" t="s">
        <v>1228</v>
      </c>
    </row>
    <row r="685" spans="1:6" x14ac:dyDescent="0.55000000000000004">
      <c r="A685" s="6">
        <v>5.7910861182605609E+18</v>
      </c>
      <c r="B685">
        <v>5</v>
      </c>
      <c r="C685">
        <v>2</v>
      </c>
      <c r="D685">
        <v>2</v>
      </c>
      <c r="E685">
        <v>522</v>
      </c>
      <c r="F685" t="s">
        <v>1229</v>
      </c>
    </row>
    <row r="686" spans="1:6" x14ac:dyDescent="0.55000000000000004">
      <c r="A686" s="6">
        <v>5.7976081621662054E+18</v>
      </c>
      <c r="B686">
        <v>3</v>
      </c>
      <c r="C686">
        <v>1</v>
      </c>
      <c r="D686">
        <v>2</v>
      </c>
      <c r="E686">
        <v>312</v>
      </c>
      <c r="F686" t="s">
        <v>1233</v>
      </c>
    </row>
    <row r="687" spans="1:6" x14ac:dyDescent="0.55000000000000004">
      <c r="A687" s="6">
        <v>5.7983901334204365E+18</v>
      </c>
      <c r="B687">
        <v>3</v>
      </c>
      <c r="C687">
        <v>1</v>
      </c>
      <c r="D687">
        <v>2</v>
      </c>
      <c r="E687">
        <v>312</v>
      </c>
      <c r="F687" t="s">
        <v>1233</v>
      </c>
    </row>
    <row r="688" spans="1:6" x14ac:dyDescent="0.55000000000000004">
      <c r="A688" s="6">
        <v>5.8046519740638956E+18</v>
      </c>
      <c r="B688">
        <v>5</v>
      </c>
      <c r="C688">
        <v>1</v>
      </c>
      <c r="D688">
        <v>1</v>
      </c>
      <c r="E688">
        <v>511</v>
      </c>
      <c r="F688" t="s">
        <v>1228</v>
      </c>
    </row>
    <row r="689" spans="1:6" x14ac:dyDescent="0.55000000000000004">
      <c r="A689" s="6">
        <v>5.8066164037275054E+18</v>
      </c>
      <c r="B689">
        <v>4</v>
      </c>
      <c r="C689">
        <v>1</v>
      </c>
      <c r="D689">
        <v>3</v>
      </c>
      <c r="E689">
        <v>413</v>
      </c>
      <c r="F689" t="s">
        <v>1233</v>
      </c>
    </row>
    <row r="690" spans="1:6" x14ac:dyDescent="0.55000000000000004">
      <c r="A690" s="6">
        <v>5.8176783672434412E+18</v>
      </c>
      <c r="B690">
        <v>2</v>
      </c>
      <c r="C690">
        <v>1</v>
      </c>
      <c r="D690">
        <v>1</v>
      </c>
      <c r="E690">
        <v>211</v>
      </c>
      <c r="F690" t="s">
        <v>1234</v>
      </c>
    </row>
    <row r="691" spans="1:6" x14ac:dyDescent="0.55000000000000004">
      <c r="A691" s="6">
        <v>5.8245192961811661E+18</v>
      </c>
      <c r="B691">
        <v>5</v>
      </c>
      <c r="C691">
        <v>2</v>
      </c>
      <c r="D691">
        <v>3</v>
      </c>
      <c r="E691">
        <v>523</v>
      </c>
      <c r="F691" t="s">
        <v>1229</v>
      </c>
    </row>
    <row r="692" spans="1:6" x14ac:dyDescent="0.55000000000000004">
      <c r="A692" s="6">
        <v>5.8273439590150308E+18</v>
      </c>
      <c r="B692">
        <v>3</v>
      </c>
      <c r="C692">
        <v>1</v>
      </c>
      <c r="D692">
        <v>3</v>
      </c>
      <c r="E692">
        <v>313</v>
      </c>
      <c r="F692" t="s">
        <v>1233</v>
      </c>
    </row>
    <row r="693" spans="1:6" x14ac:dyDescent="0.55000000000000004">
      <c r="A693" s="6">
        <v>5.8282773082604247E+18</v>
      </c>
      <c r="B693">
        <v>4</v>
      </c>
      <c r="C693">
        <v>1</v>
      </c>
      <c r="D693">
        <v>1</v>
      </c>
      <c r="E693">
        <v>411</v>
      </c>
      <c r="F693" t="s">
        <v>1233</v>
      </c>
    </row>
    <row r="694" spans="1:6" x14ac:dyDescent="0.55000000000000004">
      <c r="A694" s="6">
        <v>5.8340753107297587E+18</v>
      </c>
      <c r="B694">
        <v>5</v>
      </c>
      <c r="C694">
        <v>3</v>
      </c>
      <c r="D694">
        <v>3</v>
      </c>
      <c r="E694">
        <v>533</v>
      </c>
      <c r="F694" t="s">
        <v>1230</v>
      </c>
    </row>
    <row r="695" spans="1:6" x14ac:dyDescent="0.55000000000000004">
      <c r="A695" s="6">
        <v>5.8340963873294909E+18</v>
      </c>
      <c r="B695">
        <v>5</v>
      </c>
      <c r="C695">
        <v>3</v>
      </c>
      <c r="D695">
        <v>2</v>
      </c>
      <c r="E695">
        <v>532</v>
      </c>
      <c r="F695" t="s">
        <v>1230</v>
      </c>
    </row>
    <row r="696" spans="1:6" x14ac:dyDescent="0.55000000000000004">
      <c r="A696" s="6">
        <v>5.8366539935574548E+18</v>
      </c>
      <c r="B696">
        <v>5</v>
      </c>
      <c r="C696">
        <v>2</v>
      </c>
      <c r="D696">
        <v>3</v>
      </c>
      <c r="E696">
        <v>523</v>
      </c>
      <c r="F696" t="s">
        <v>1229</v>
      </c>
    </row>
    <row r="697" spans="1:6" x14ac:dyDescent="0.55000000000000004">
      <c r="A697" s="6">
        <v>5.8446676842090926E+18</v>
      </c>
      <c r="B697">
        <v>5</v>
      </c>
      <c r="C697">
        <v>3</v>
      </c>
      <c r="D697">
        <v>2</v>
      </c>
      <c r="E697">
        <v>532</v>
      </c>
      <c r="F697" t="s">
        <v>1230</v>
      </c>
    </row>
    <row r="698" spans="1:6" x14ac:dyDescent="0.55000000000000004">
      <c r="A698" s="6">
        <v>5.8453089461778842E+18</v>
      </c>
      <c r="B698">
        <v>4</v>
      </c>
      <c r="C698">
        <v>1</v>
      </c>
      <c r="D698">
        <v>2</v>
      </c>
      <c r="E698">
        <v>412</v>
      </c>
      <c r="F698" t="s">
        <v>1233</v>
      </c>
    </row>
    <row r="699" spans="1:6" x14ac:dyDescent="0.55000000000000004">
      <c r="A699" s="6">
        <v>5.8485697205147709E+18</v>
      </c>
      <c r="B699">
        <v>1</v>
      </c>
      <c r="C699">
        <v>1</v>
      </c>
      <c r="D699">
        <v>1</v>
      </c>
      <c r="E699">
        <v>111</v>
      </c>
      <c r="F699" t="s">
        <v>1234</v>
      </c>
    </row>
    <row r="700" spans="1:6" x14ac:dyDescent="0.55000000000000004">
      <c r="A700" s="6">
        <v>5.8495625339273144E+18</v>
      </c>
      <c r="B700">
        <v>4</v>
      </c>
      <c r="C700">
        <v>1</v>
      </c>
      <c r="D700">
        <v>1</v>
      </c>
      <c r="E700">
        <v>411</v>
      </c>
      <c r="F700" t="s">
        <v>1233</v>
      </c>
    </row>
    <row r="701" spans="1:6" x14ac:dyDescent="0.55000000000000004">
      <c r="A701" s="6">
        <v>5.8527438191363031E+18</v>
      </c>
      <c r="B701">
        <v>3</v>
      </c>
      <c r="C701">
        <v>1</v>
      </c>
      <c r="D701">
        <v>3</v>
      </c>
      <c r="E701">
        <v>313</v>
      </c>
      <c r="F701" t="s">
        <v>1233</v>
      </c>
    </row>
    <row r="702" spans="1:6" x14ac:dyDescent="0.55000000000000004">
      <c r="A702" s="6">
        <v>5.8580331839227464E+18</v>
      </c>
      <c r="B702">
        <v>5</v>
      </c>
      <c r="C702">
        <v>1</v>
      </c>
      <c r="D702">
        <v>2</v>
      </c>
      <c r="E702">
        <v>512</v>
      </c>
      <c r="F702" t="s">
        <v>1228</v>
      </c>
    </row>
    <row r="703" spans="1:6" x14ac:dyDescent="0.55000000000000004">
      <c r="A703" s="6">
        <v>5.8649699749280215E+18</v>
      </c>
      <c r="B703">
        <v>5</v>
      </c>
      <c r="C703">
        <v>3</v>
      </c>
      <c r="D703">
        <v>3</v>
      </c>
      <c r="E703">
        <v>533</v>
      </c>
      <c r="F703" t="s">
        <v>1230</v>
      </c>
    </row>
    <row r="704" spans="1:6" x14ac:dyDescent="0.55000000000000004">
      <c r="A704" s="6">
        <v>5.8660013562805678E+18</v>
      </c>
      <c r="B704">
        <v>2</v>
      </c>
      <c r="C704">
        <v>1</v>
      </c>
      <c r="D704">
        <v>3</v>
      </c>
      <c r="E704">
        <v>213</v>
      </c>
      <c r="F704" t="s">
        <v>1234</v>
      </c>
    </row>
    <row r="705" spans="1:6" x14ac:dyDescent="0.55000000000000004">
      <c r="A705" s="6">
        <v>5.8784430253090079E+18</v>
      </c>
      <c r="B705">
        <v>5</v>
      </c>
      <c r="C705">
        <v>2</v>
      </c>
      <c r="D705">
        <v>3</v>
      </c>
      <c r="E705">
        <v>523</v>
      </c>
      <c r="F705" t="s">
        <v>1229</v>
      </c>
    </row>
    <row r="706" spans="1:6" x14ac:dyDescent="0.55000000000000004">
      <c r="A706" s="6">
        <v>5.880092382884011E+18</v>
      </c>
      <c r="B706">
        <v>5</v>
      </c>
      <c r="C706">
        <v>1</v>
      </c>
      <c r="D706">
        <v>3</v>
      </c>
      <c r="E706">
        <v>513</v>
      </c>
      <c r="F706" t="s">
        <v>1228</v>
      </c>
    </row>
    <row r="707" spans="1:6" x14ac:dyDescent="0.55000000000000004">
      <c r="A707" s="6">
        <v>5.881433254715179E+18</v>
      </c>
      <c r="B707">
        <v>4</v>
      </c>
      <c r="C707">
        <v>1</v>
      </c>
      <c r="D707">
        <v>2</v>
      </c>
      <c r="E707">
        <v>412</v>
      </c>
      <c r="F707" t="s">
        <v>1233</v>
      </c>
    </row>
    <row r="708" spans="1:6" x14ac:dyDescent="0.55000000000000004">
      <c r="A708" s="6">
        <v>5.8825871455281633E+18</v>
      </c>
      <c r="B708">
        <v>5</v>
      </c>
      <c r="C708">
        <v>2</v>
      </c>
      <c r="D708">
        <v>3</v>
      </c>
      <c r="E708">
        <v>523</v>
      </c>
      <c r="F708" t="s">
        <v>1229</v>
      </c>
    </row>
    <row r="709" spans="1:6" x14ac:dyDescent="0.55000000000000004">
      <c r="A709" s="6">
        <v>5.8918493956634819E+18</v>
      </c>
      <c r="B709">
        <v>5</v>
      </c>
      <c r="C709">
        <v>1</v>
      </c>
      <c r="D709">
        <v>1</v>
      </c>
      <c r="E709">
        <v>511</v>
      </c>
      <c r="F709" t="s">
        <v>1228</v>
      </c>
    </row>
    <row r="710" spans="1:6" x14ac:dyDescent="0.55000000000000004">
      <c r="A710" s="6">
        <v>5.9076356762723389E+18</v>
      </c>
      <c r="B710">
        <v>2</v>
      </c>
      <c r="C710">
        <v>1</v>
      </c>
      <c r="D710">
        <v>1</v>
      </c>
      <c r="E710">
        <v>211</v>
      </c>
      <c r="F710" t="s">
        <v>1234</v>
      </c>
    </row>
    <row r="711" spans="1:6" x14ac:dyDescent="0.55000000000000004">
      <c r="A711" s="6">
        <v>5.9140597912836055E+18</v>
      </c>
      <c r="B711">
        <v>4</v>
      </c>
      <c r="C711">
        <v>1</v>
      </c>
      <c r="D711">
        <v>1</v>
      </c>
      <c r="E711">
        <v>411</v>
      </c>
      <c r="F711" t="s">
        <v>1233</v>
      </c>
    </row>
    <row r="712" spans="1:6" x14ac:dyDescent="0.55000000000000004">
      <c r="A712" s="6">
        <v>5.9243940192343204E+18</v>
      </c>
      <c r="B712">
        <v>3</v>
      </c>
      <c r="C712">
        <v>1</v>
      </c>
      <c r="D712">
        <v>1</v>
      </c>
      <c r="E712">
        <v>311</v>
      </c>
      <c r="F712" t="s">
        <v>1233</v>
      </c>
    </row>
    <row r="713" spans="1:6" x14ac:dyDescent="0.55000000000000004">
      <c r="A713" s="6">
        <v>5.9294889023276319E+18</v>
      </c>
      <c r="B713">
        <v>2</v>
      </c>
      <c r="C713">
        <v>2</v>
      </c>
      <c r="D713">
        <v>3</v>
      </c>
      <c r="E713">
        <v>223</v>
      </c>
      <c r="F713" t="s">
        <v>1234</v>
      </c>
    </row>
    <row r="714" spans="1:6" x14ac:dyDescent="0.55000000000000004">
      <c r="A714" s="6">
        <v>5.9351186772047555E+18</v>
      </c>
      <c r="B714">
        <v>4</v>
      </c>
      <c r="C714">
        <v>1</v>
      </c>
      <c r="D714">
        <v>2</v>
      </c>
      <c r="E714">
        <v>412</v>
      </c>
      <c r="F714" t="s">
        <v>1233</v>
      </c>
    </row>
    <row r="715" spans="1:6" x14ac:dyDescent="0.55000000000000004">
      <c r="A715" s="6">
        <v>5.9432810329175511E+18</v>
      </c>
      <c r="B715">
        <v>3</v>
      </c>
      <c r="C715">
        <v>1</v>
      </c>
      <c r="D715">
        <v>2</v>
      </c>
      <c r="E715">
        <v>312</v>
      </c>
      <c r="F715" t="s">
        <v>1233</v>
      </c>
    </row>
    <row r="716" spans="1:6" x14ac:dyDescent="0.55000000000000004">
      <c r="A716" s="6">
        <v>5.9513242594965381E+18</v>
      </c>
      <c r="B716">
        <v>4</v>
      </c>
      <c r="C716">
        <v>1</v>
      </c>
      <c r="D716">
        <v>1</v>
      </c>
      <c r="E716">
        <v>411</v>
      </c>
      <c r="F716" t="s">
        <v>1233</v>
      </c>
    </row>
    <row r="717" spans="1:6" x14ac:dyDescent="0.55000000000000004">
      <c r="A717" s="6">
        <v>5.9912185336162427E+18</v>
      </c>
      <c r="B717">
        <v>5</v>
      </c>
      <c r="C717">
        <v>2</v>
      </c>
      <c r="D717">
        <v>2</v>
      </c>
      <c r="E717">
        <v>522</v>
      </c>
      <c r="F717" t="s">
        <v>1229</v>
      </c>
    </row>
    <row r="718" spans="1:6" x14ac:dyDescent="0.55000000000000004">
      <c r="A718" s="6">
        <v>6.0064479704031314E+18</v>
      </c>
      <c r="B718">
        <v>5</v>
      </c>
      <c r="C718">
        <v>1</v>
      </c>
      <c r="D718">
        <v>1</v>
      </c>
      <c r="E718">
        <v>511</v>
      </c>
      <c r="F718" t="s">
        <v>1228</v>
      </c>
    </row>
    <row r="719" spans="1:6" x14ac:dyDescent="0.55000000000000004">
      <c r="A719" s="6">
        <v>6.025922031137792E+18</v>
      </c>
      <c r="B719">
        <v>1</v>
      </c>
      <c r="C719">
        <v>1</v>
      </c>
      <c r="D719">
        <v>2</v>
      </c>
      <c r="E719">
        <v>112</v>
      </c>
      <c r="F719" t="s">
        <v>1234</v>
      </c>
    </row>
    <row r="720" spans="1:6" x14ac:dyDescent="0.55000000000000004">
      <c r="A720" s="6">
        <v>6.0436031502157281E+18</v>
      </c>
      <c r="B720">
        <v>2</v>
      </c>
      <c r="C720">
        <v>2</v>
      </c>
      <c r="D720">
        <v>2</v>
      </c>
      <c r="E720">
        <v>222</v>
      </c>
      <c r="F720" t="s">
        <v>1234</v>
      </c>
    </row>
    <row r="721" spans="1:6" x14ac:dyDescent="0.55000000000000004">
      <c r="A721" s="6">
        <v>6.0502654778610524E+18</v>
      </c>
      <c r="B721">
        <v>2</v>
      </c>
      <c r="C721">
        <v>2</v>
      </c>
      <c r="D721">
        <v>1</v>
      </c>
      <c r="E721">
        <v>221</v>
      </c>
      <c r="F721" t="s">
        <v>1234</v>
      </c>
    </row>
    <row r="722" spans="1:6" x14ac:dyDescent="0.55000000000000004">
      <c r="A722" s="6">
        <v>6.0647484128367104E+18</v>
      </c>
      <c r="B722">
        <v>3</v>
      </c>
      <c r="C722">
        <v>1</v>
      </c>
      <c r="D722">
        <v>2</v>
      </c>
      <c r="E722">
        <v>312</v>
      </c>
      <c r="F722" t="s">
        <v>1233</v>
      </c>
    </row>
    <row r="723" spans="1:6" x14ac:dyDescent="0.55000000000000004">
      <c r="A723" s="6">
        <v>6.0654496658877901E+18</v>
      </c>
      <c r="B723">
        <v>2</v>
      </c>
      <c r="C723">
        <v>2</v>
      </c>
      <c r="D723">
        <v>3</v>
      </c>
      <c r="E723">
        <v>223</v>
      </c>
      <c r="F723" t="s">
        <v>1234</v>
      </c>
    </row>
    <row r="724" spans="1:6" x14ac:dyDescent="0.55000000000000004">
      <c r="A724" s="6">
        <v>6.0699786435620608E+18</v>
      </c>
      <c r="B724">
        <v>3</v>
      </c>
      <c r="C724">
        <v>2</v>
      </c>
      <c r="D724">
        <v>2</v>
      </c>
      <c r="E724">
        <v>322</v>
      </c>
      <c r="F724" t="s">
        <v>1233</v>
      </c>
    </row>
    <row r="725" spans="1:6" x14ac:dyDescent="0.55000000000000004">
      <c r="A725" s="6">
        <v>6.0705676511978691E+18</v>
      </c>
      <c r="B725">
        <v>4</v>
      </c>
      <c r="C725">
        <v>1</v>
      </c>
      <c r="D725">
        <v>2</v>
      </c>
      <c r="E725">
        <v>412</v>
      </c>
      <c r="F725" t="s">
        <v>1233</v>
      </c>
    </row>
    <row r="726" spans="1:6" x14ac:dyDescent="0.55000000000000004">
      <c r="A726" s="6">
        <v>6.084764153214294E+18</v>
      </c>
      <c r="B726">
        <v>4</v>
      </c>
      <c r="C726">
        <v>2</v>
      </c>
      <c r="D726">
        <v>3</v>
      </c>
      <c r="E726">
        <v>423</v>
      </c>
      <c r="F726" t="s">
        <v>1229</v>
      </c>
    </row>
    <row r="727" spans="1:6" x14ac:dyDescent="0.55000000000000004">
      <c r="A727" s="6">
        <v>6.0930507342067261E+18</v>
      </c>
      <c r="B727">
        <v>5</v>
      </c>
      <c r="C727">
        <v>1</v>
      </c>
      <c r="D727">
        <v>2</v>
      </c>
      <c r="E727">
        <v>512</v>
      </c>
      <c r="F727" t="s">
        <v>1228</v>
      </c>
    </row>
    <row r="728" spans="1:6" x14ac:dyDescent="0.55000000000000004">
      <c r="A728" s="6">
        <v>6.0965140272997366E+18</v>
      </c>
      <c r="B728">
        <v>5</v>
      </c>
      <c r="C728">
        <v>3</v>
      </c>
      <c r="D728">
        <v>3</v>
      </c>
      <c r="E728">
        <v>533</v>
      </c>
      <c r="F728" t="s">
        <v>1230</v>
      </c>
    </row>
    <row r="729" spans="1:6" x14ac:dyDescent="0.55000000000000004">
      <c r="A729" s="6">
        <v>6.0967920813631478E+18</v>
      </c>
      <c r="B729">
        <v>4</v>
      </c>
      <c r="C729">
        <v>1</v>
      </c>
      <c r="D729">
        <v>1</v>
      </c>
      <c r="E729">
        <v>411</v>
      </c>
      <c r="F729" t="s">
        <v>1233</v>
      </c>
    </row>
    <row r="730" spans="1:6" x14ac:dyDescent="0.55000000000000004">
      <c r="A730" s="6">
        <v>6.1057971100813087E+18</v>
      </c>
      <c r="B730">
        <v>2</v>
      </c>
      <c r="C730">
        <v>2</v>
      </c>
      <c r="D730">
        <v>2</v>
      </c>
      <c r="E730">
        <v>222</v>
      </c>
      <c r="F730" t="s">
        <v>1234</v>
      </c>
    </row>
    <row r="731" spans="1:6" x14ac:dyDescent="0.55000000000000004">
      <c r="A731" s="6">
        <v>6.11687229500642E+18</v>
      </c>
      <c r="B731">
        <v>5</v>
      </c>
      <c r="C731">
        <v>3</v>
      </c>
      <c r="D731">
        <v>3</v>
      </c>
      <c r="E731">
        <v>533</v>
      </c>
      <c r="F731" t="s">
        <v>1230</v>
      </c>
    </row>
    <row r="732" spans="1:6" x14ac:dyDescent="0.55000000000000004">
      <c r="A732" s="6">
        <v>6.1294857726784379E+18</v>
      </c>
      <c r="B732">
        <v>3</v>
      </c>
      <c r="C732">
        <v>1</v>
      </c>
      <c r="D732">
        <v>1</v>
      </c>
      <c r="E732">
        <v>311</v>
      </c>
      <c r="F732" t="s">
        <v>1233</v>
      </c>
    </row>
    <row r="733" spans="1:6" x14ac:dyDescent="0.55000000000000004">
      <c r="A733" s="6">
        <v>6.1368107832507228E+18</v>
      </c>
      <c r="B733">
        <v>4</v>
      </c>
      <c r="C733">
        <v>2</v>
      </c>
      <c r="D733">
        <v>3</v>
      </c>
      <c r="E733">
        <v>423</v>
      </c>
      <c r="F733" t="s">
        <v>1229</v>
      </c>
    </row>
    <row r="734" spans="1:6" x14ac:dyDescent="0.55000000000000004">
      <c r="A734" s="6">
        <v>6.1389040048259338E+18</v>
      </c>
      <c r="B734">
        <v>5</v>
      </c>
      <c r="C734">
        <v>3</v>
      </c>
      <c r="D734">
        <v>2</v>
      </c>
      <c r="E734">
        <v>532</v>
      </c>
      <c r="F734" t="s">
        <v>1230</v>
      </c>
    </row>
    <row r="735" spans="1:6" x14ac:dyDescent="0.55000000000000004">
      <c r="A735" s="6">
        <v>6.1405135759450532E+18</v>
      </c>
      <c r="B735">
        <v>5</v>
      </c>
      <c r="C735">
        <v>1</v>
      </c>
      <c r="D735">
        <v>2</v>
      </c>
      <c r="E735">
        <v>512</v>
      </c>
      <c r="F735" t="s">
        <v>1228</v>
      </c>
    </row>
    <row r="736" spans="1:6" x14ac:dyDescent="0.55000000000000004">
      <c r="A736" s="6">
        <v>6.1476417961953853E+18</v>
      </c>
      <c r="B736">
        <v>5</v>
      </c>
      <c r="C736">
        <v>1</v>
      </c>
      <c r="D736">
        <v>3</v>
      </c>
      <c r="E736">
        <v>513</v>
      </c>
      <c r="F736" t="s">
        <v>1228</v>
      </c>
    </row>
    <row r="737" spans="1:6" x14ac:dyDescent="0.55000000000000004">
      <c r="A737" s="6">
        <v>6.1484501004097894E+18</v>
      </c>
      <c r="B737">
        <v>5</v>
      </c>
      <c r="C737">
        <v>2</v>
      </c>
      <c r="D737">
        <v>1</v>
      </c>
      <c r="E737">
        <v>521</v>
      </c>
      <c r="F737" t="s">
        <v>1229</v>
      </c>
    </row>
    <row r="738" spans="1:6" x14ac:dyDescent="0.55000000000000004">
      <c r="A738" s="6">
        <v>6.155040696454528E+18</v>
      </c>
      <c r="B738">
        <v>3</v>
      </c>
      <c r="C738">
        <v>1</v>
      </c>
      <c r="D738">
        <v>1</v>
      </c>
      <c r="E738">
        <v>311</v>
      </c>
      <c r="F738" t="s">
        <v>1233</v>
      </c>
    </row>
    <row r="739" spans="1:6" x14ac:dyDescent="0.55000000000000004">
      <c r="A739" s="6">
        <v>6.1636865884116582E+18</v>
      </c>
      <c r="B739">
        <v>4</v>
      </c>
      <c r="C739">
        <v>1</v>
      </c>
      <c r="D739">
        <v>2</v>
      </c>
      <c r="E739">
        <v>412</v>
      </c>
      <c r="F739" t="s">
        <v>1233</v>
      </c>
    </row>
    <row r="740" spans="1:6" x14ac:dyDescent="0.55000000000000004">
      <c r="A740" s="6">
        <v>6.1676260676265769E+18</v>
      </c>
      <c r="B740">
        <v>1</v>
      </c>
      <c r="C740">
        <v>1</v>
      </c>
      <c r="D740">
        <v>1</v>
      </c>
      <c r="E740">
        <v>111</v>
      </c>
      <c r="F740" t="s">
        <v>1234</v>
      </c>
    </row>
    <row r="741" spans="1:6" x14ac:dyDescent="0.55000000000000004">
      <c r="A741" s="6">
        <v>6.1701038095527096E+18</v>
      </c>
      <c r="B741">
        <v>5</v>
      </c>
      <c r="C741">
        <v>3</v>
      </c>
      <c r="D741">
        <v>3</v>
      </c>
      <c r="E741">
        <v>533</v>
      </c>
      <c r="F741" t="s">
        <v>1230</v>
      </c>
    </row>
    <row r="742" spans="1:6" x14ac:dyDescent="0.55000000000000004">
      <c r="A742" s="6">
        <v>6.1839390129527962E+18</v>
      </c>
      <c r="B742">
        <v>3</v>
      </c>
      <c r="C742">
        <v>1</v>
      </c>
      <c r="D742">
        <v>3</v>
      </c>
      <c r="E742">
        <v>313</v>
      </c>
      <c r="F742" t="s">
        <v>1233</v>
      </c>
    </row>
    <row r="743" spans="1:6" x14ac:dyDescent="0.55000000000000004">
      <c r="A743" s="6">
        <v>6.1955041660847278E+18</v>
      </c>
      <c r="B743">
        <v>1</v>
      </c>
      <c r="C743">
        <v>1</v>
      </c>
      <c r="D743">
        <v>1</v>
      </c>
      <c r="E743">
        <v>111</v>
      </c>
      <c r="F743" t="s">
        <v>1234</v>
      </c>
    </row>
    <row r="744" spans="1:6" x14ac:dyDescent="0.55000000000000004">
      <c r="A744" s="6">
        <v>6.1981796903171369E+18</v>
      </c>
      <c r="B744">
        <v>3</v>
      </c>
      <c r="C744">
        <v>2</v>
      </c>
      <c r="D744">
        <v>3</v>
      </c>
      <c r="E744">
        <v>323</v>
      </c>
      <c r="F744" t="s">
        <v>1233</v>
      </c>
    </row>
    <row r="745" spans="1:6" x14ac:dyDescent="0.55000000000000004">
      <c r="A745" s="6">
        <v>6.1986093279012096E+18</v>
      </c>
      <c r="B745">
        <v>5</v>
      </c>
      <c r="C745">
        <v>1</v>
      </c>
      <c r="D745">
        <v>1</v>
      </c>
      <c r="E745">
        <v>511</v>
      </c>
      <c r="F745" t="s">
        <v>1228</v>
      </c>
    </row>
    <row r="746" spans="1:6" x14ac:dyDescent="0.55000000000000004">
      <c r="A746" s="6">
        <v>6.215206063014871E+18</v>
      </c>
      <c r="B746">
        <v>2</v>
      </c>
      <c r="C746">
        <v>1</v>
      </c>
      <c r="D746">
        <v>1</v>
      </c>
      <c r="E746">
        <v>211</v>
      </c>
      <c r="F746" t="s">
        <v>1234</v>
      </c>
    </row>
    <row r="747" spans="1:6" x14ac:dyDescent="0.55000000000000004">
      <c r="A747" s="6">
        <v>6.2213589487169055E+18</v>
      </c>
      <c r="B747">
        <v>3</v>
      </c>
      <c r="C747">
        <v>2</v>
      </c>
      <c r="D747">
        <v>2</v>
      </c>
      <c r="E747">
        <v>322</v>
      </c>
      <c r="F747" t="s">
        <v>1233</v>
      </c>
    </row>
    <row r="748" spans="1:6" x14ac:dyDescent="0.55000000000000004">
      <c r="A748" s="6">
        <v>6.2303015627692554E+18</v>
      </c>
      <c r="B748">
        <v>5</v>
      </c>
      <c r="C748">
        <v>2</v>
      </c>
      <c r="D748">
        <v>2</v>
      </c>
      <c r="E748">
        <v>522</v>
      </c>
      <c r="F748" t="s">
        <v>1229</v>
      </c>
    </row>
    <row r="749" spans="1:6" x14ac:dyDescent="0.55000000000000004">
      <c r="A749" s="6">
        <v>6.2338335694389146E+18</v>
      </c>
      <c r="B749">
        <v>3</v>
      </c>
      <c r="C749">
        <v>1</v>
      </c>
      <c r="D749">
        <v>2</v>
      </c>
      <c r="E749">
        <v>312</v>
      </c>
      <c r="F749" t="s">
        <v>1233</v>
      </c>
    </row>
    <row r="750" spans="1:6" x14ac:dyDescent="0.55000000000000004">
      <c r="A750" s="6">
        <v>6.2343246215722609E+18</v>
      </c>
      <c r="B750">
        <v>1</v>
      </c>
      <c r="C750">
        <v>1</v>
      </c>
      <c r="D750">
        <v>2</v>
      </c>
      <c r="E750">
        <v>112</v>
      </c>
      <c r="F750" t="s">
        <v>1234</v>
      </c>
    </row>
    <row r="751" spans="1:6" x14ac:dyDescent="0.55000000000000004">
      <c r="A751" s="6">
        <v>6.2355655699120046E+18</v>
      </c>
      <c r="B751">
        <v>4</v>
      </c>
      <c r="C751">
        <v>1</v>
      </c>
      <c r="D751">
        <v>3</v>
      </c>
      <c r="E751">
        <v>413</v>
      </c>
      <c r="F751" t="s">
        <v>1233</v>
      </c>
    </row>
    <row r="752" spans="1:6" x14ac:dyDescent="0.55000000000000004">
      <c r="A752" s="6">
        <v>6.2599499234929787E+18</v>
      </c>
      <c r="B752">
        <v>5</v>
      </c>
      <c r="C752">
        <v>3</v>
      </c>
      <c r="D752">
        <v>2</v>
      </c>
      <c r="E752">
        <v>532</v>
      </c>
      <c r="F752" t="s">
        <v>1230</v>
      </c>
    </row>
    <row r="753" spans="1:6" x14ac:dyDescent="0.55000000000000004">
      <c r="A753" s="6">
        <v>6.2608471938323026E+18</v>
      </c>
      <c r="B753">
        <v>3</v>
      </c>
      <c r="C753">
        <v>1</v>
      </c>
      <c r="D753">
        <v>2</v>
      </c>
      <c r="E753">
        <v>312</v>
      </c>
      <c r="F753" t="s">
        <v>1233</v>
      </c>
    </row>
    <row r="754" spans="1:6" x14ac:dyDescent="0.55000000000000004">
      <c r="A754" s="6">
        <v>6.2701828360759163E+18</v>
      </c>
      <c r="B754">
        <v>3</v>
      </c>
      <c r="C754">
        <v>1</v>
      </c>
      <c r="D754">
        <v>1</v>
      </c>
      <c r="E754">
        <v>311</v>
      </c>
      <c r="F754" t="s">
        <v>1233</v>
      </c>
    </row>
    <row r="755" spans="1:6" x14ac:dyDescent="0.55000000000000004">
      <c r="A755" s="6">
        <v>6.2709077484598569E+18</v>
      </c>
      <c r="B755">
        <v>3</v>
      </c>
      <c r="C755">
        <v>3</v>
      </c>
      <c r="D755">
        <v>3</v>
      </c>
      <c r="E755">
        <v>333</v>
      </c>
      <c r="F755" t="s">
        <v>1231</v>
      </c>
    </row>
    <row r="756" spans="1:6" x14ac:dyDescent="0.55000000000000004">
      <c r="A756" s="6">
        <v>6.2774505286284667E+18</v>
      </c>
      <c r="B756">
        <v>4</v>
      </c>
      <c r="C756">
        <v>1</v>
      </c>
      <c r="D756">
        <v>3</v>
      </c>
      <c r="E756">
        <v>413</v>
      </c>
      <c r="F756" t="s">
        <v>1233</v>
      </c>
    </row>
    <row r="757" spans="1:6" x14ac:dyDescent="0.55000000000000004">
      <c r="A757" s="6">
        <v>6.2799528260788367E+18</v>
      </c>
      <c r="B757">
        <v>5</v>
      </c>
      <c r="C757">
        <v>2</v>
      </c>
      <c r="D757">
        <v>3</v>
      </c>
      <c r="E757">
        <v>523</v>
      </c>
      <c r="F757" t="s">
        <v>1229</v>
      </c>
    </row>
    <row r="758" spans="1:6" x14ac:dyDescent="0.55000000000000004">
      <c r="A758" s="6">
        <v>6.2994961456809595E+18</v>
      </c>
      <c r="B758">
        <v>5</v>
      </c>
      <c r="C758">
        <v>3</v>
      </c>
      <c r="D758">
        <v>2</v>
      </c>
      <c r="E758">
        <v>532</v>
      </c>
      <c r="F758" t="s">
        <v>1230</v>
      </c>
    </row>
    <row r="759" spans="1:6" x14ac:dyDescent="0.55000000000000004">
      <c r="A759" s="6">
        <v>6.3035102497799158E+18</v>
      </c>
      <c r="B759">
        <v>5</v>
      </c>
      <c r="C759">
        <v>2</v>
      </c>
      <c r="D759">
        <v>3</v>
      </c>
      <c r="E759">
        <v>523</v>
      </c>
      <c r="F759" t="s">
        <v>1229</v>
      </c>
    </row>
    <row r="760" spans="1:6" x14ac:dyDescent="0.55000000000000004">
      <c r="A760" s="6">
        <v>6.3061077703786875E+18</v>
      </c>
      <c r="B760">
        <v>4</v>
      </c>
      <c r="C760">
        <v>1</v>
      </c>
      <c r="D760">
        <v>2</v>
      </c>
      <c r="E760">
        <v>412</v>
      </c>
      <c r="F760" t="s">
        <v>1233</v>
      </c>
    </row>
    <row r="761" spans="1:6" x14ac:dyDescent="0.55000000000000004">
      <c r="A761" s="6">
        <v>6.31703434655326E+18</v>
      </c>
      <c r="B761">
        <v>2</v>
      </c>
      <c r="C761">
        <v>1</v>
      </c>
      <c r="D761">
        <v>1</v>
      </c>
      <c r="E761">
        <v>211</v>
      </c>
      <c r="F761" t="s">
        <v>1234</v>
      </c>
    </row>
    <row r="762" spans="1:6" x14ac:dyDescent="0.55000000000000004">
      <c r="A762" s="6">
        <v>6.319029113315626E+18</v>
      </c>
      <c r="B762">
        <v>5</v>
      </c>
      <c r="C762">
        <v>1</v>
      </c>
      <c r="D762">
        <v>2</v>
      </c>
      <c r="E762">
        <v>512</v>
      </c>
      <c r="F762" t="s">
        <v>1228</v>
      </c>
    </row>
    <row r="763" spans="1:6" x14ac:dyDescent="0.55000000000000004">
      <c r="A763" s="6">
        <v>6.3308097158382285E+18</v>
      </c>
      <c r="B763">
        <v>5</v>
      </c>
      <c r="C763">
        <v>3</v>
      </c>
      <c r="D763">
        <v>3</v>
      </c>
      <c r="E763">
        <v>533</v>
      </c>
      <c r="F763" t="s">
        <v>1230</v>
      </c>
    </row>
    <row r="764" spans="1:6" x14ac:dyDescent="0.55000000000000004">
      <c r="A764" s="6">
        <v>6.3309673559597763E+18</v>
      </c>
      <c r="B764">
        <v>5</v>
      </c>
      <c r="C764">
        <v>1</v>
      </c>
      <c r="D764">
        <v>2</v>
      </c>
      <c r="E764">
        <v>512</v>
      </c>
      <c r="F764" t="s">
        <v>1228</v>
      </c>
    </row>
    <row r="765" spans="1:6" x14ac:dyDescent="0.55000000000000004">
      <c r="A765" s="6">
        <v>6.3366569435153132E+18</v>
      </c>
      <c r="B765">
        <v>4</v>
      </c>
      <c r="C765">
        <v>1</v>
      </c>
      <c r="D765">
        <v>1</v>
      </c>
      <c r="E765">
        <v>411</v>
      </c>
      <c r="F765" t="s">
        <v>1233</v>
      </c>
    </row>
    <row r="766" spans="1:6" x14ac:dyDescent="0.55000000000000004">
      <c r="A766" s="6">
        <v>6.3453818904014387E+18</v>
      </c>
      <c r="B766">
        <v>3</v>
      </c>
      <c r="C766">
        <v>1</v>
      </c>
      <c r="D766">
        <v>2</v>
      </c>
      <c r="E766">
        <v>312</v>
      </c>
      <c r="F766" t="s">
        <v>1233</v>
      </c>
    </row>
    <row r="767" spans="1:6" x14ac:dyDescent="0.55000000000000004">
      <c r="A767" s="6">
        <v>6.3481624462595748E+18</v>
      </c>
      <c r="B767">
        <v>5</v>
      </c>
      <c r="C767">
        <v>3</v>
      </c>
      <c r="D767">
        <v>2</v>
      </c>
      <c r="E767">
        <v>532</v>
      </c>
      <c r="F767" t="s">
        <v>1230</v>
      </c>
    </row>
    <row r="768" spans="1:6" x14ac:dyDescent="0.55000000000000004">
      <c r="A768" s="6">
        <v>6.3615895712746906E+18</v>
      </c>
      <c r="B768">
        <v>5</v>
      </c>
      <c r="C768">
        <v>1</v>
      </c>
      <c r="D768">
        <v>1</v>
      </c>
      <c r="E768">
        <v>511</v>
      </c>
      <c r="F768" t="s">
        <v>1228</v>
      </c>
    </row>
    <row r="769" spans="1:6" x14ac:dyDescent="0.55000000000000004">
      <c r="A769" s="6">
        <v>6.3632607311316357E+18</v>
      </c>
      <c r="B769">
        <v>3</v>
      </c>
      <c r="C769">
        <v>1</v>
      </c>
      <c r="D769">
        <v>3</v>
      </c>
      <c r="E769">
        <v>313</v>
      </c>
      <c r="F769" t="s">
        <v>1233</v>
      </c>
    </row>
    <row r="770" spans="1:6" x14ac:dyDescent="0.55000000000000004">
      <c r="A770" s="6">
        <v>6.3662245030475868E+18</v>
      </c>
      <c r="B770">
        <v>5</v>
      </c>
      <c r="C770">
        <v>3</v>
      </c>
      <c r="D770">
        <v>3</v>
      </c>
      <c r="E770">
        <v>533</v>
      </c>
      <c r="F770" t="s">
        <v>1230</v>
      </c>
    </row>
    <row r="771" spans="1:6" x14ac:dyDescent="0.55000000000000004">
      <c r="A771" s="6">
        <v>6.3697051539120968E+18</v>
      </c>
      <c r="B771">
        <v>5</v>
      </c>
      <c r="C771">
        <v>1</v>
      </c>
      <c r="D771">
        <v>2</v>
      </c>
      <c r="E771">
        <v>512</v>
      </c>
      <c r="F771" t="s">
        <v>1228</v>
      </c>
    </row>
    <row r="772" spans="1:6" x14ac:dyDescent="0.55000000000000004">
      <c r="A772" s="6">
        <v>6.3777441576841124E+18</v>
      </c>
      <c r="B772">
        <v>5</v>
      </c>
      <c r="C772">
        <v>1</v>
      </c>
      <c r="D772">
        <v>3</v>
      </c>
      <c r="E772">
        <v>513</v>
      </c>
      <c r="F772" t="s">
        <v>1228</v>
      </c>
    </row>
    <row r="773" spans="1:6" x14ac:dyDescent="0.55000000000000004">
      <c r="A773" s="6">
        <v>6.3787399135739679E+18</v>
      </c>
      <c r="B773">
        <v>3</v>
      </c>
      <c r="C773">
        <v>1</v>
      </c>
      <c r="D773">
        <v>1</v>
      </c>
      <c r="E773">
        <v>311</v>
      </c>
      <c r="F773" t="s">
        <v>1233</v>
      </c>
    </row>
    <row r="774" spans="1:6" x14ac:dyDescent="0.55000000000000004">
      <c r="A774" s="6">
        <v>6.3829002099703767E+18</v>
      </c>
      <c r="B774">
        <v>5</v>
      </c>
      <c r="C774">
        <v>1</v>
      </c>
      <c r="D774">
        <v>1</v>
      </c>
      <c r="E774">
        <v>511</v>
      </c>
      <c r="F774" t="s">
        <v>1228</v>
      </c>
    </row>
    <row r="775" spans="1:6" x14ac:dyDescent="0.55000000000000004">
      <c r="A775" s="6">
        <v>6.386093456178901E+18</v>
      </c>
      <c r="B775">
        <v>3</v>
      </c>
      <c r="C775">
        <v>1</v>
      </c>
      <c r="D775">
        <v>1</v>
      </c>
      <c r="E775">
        <v>311</v>
      </c>
      <c r="F775" t="s">
        <v>1233</v>
      </c>
    </row>
    <row r="776" spans="1:6" x14ac:dyDescent="0.55000000000000004">
      <c r="A776" s="6">
        <v>6.3875957610149612E+18</v>
      </c>
      <c r="B776">
        <v>3</v>
      </c>
      <c r="C776">
        <v>1</v>
      </c>
      <c r="D776">
        <v>3</v>
      </c>
      <c r="E776">
        <v>313</v>
      </c>
      <c r="F776" t="s">
        <v>1233</v>
      </c>
    </row>
    <row r="777" spans="1:6" x14ac:dyDescent="0.55000000000000004">
      <c r="A777" s="6">
        <v>6.4055489536641393E+18</v>
      </c>
      <c r="B777">
        <v>5</v>
      </c>
      <c r="C777">
        <v>1</v>
      </c>
      <c r="D777">
        <v>3</v>
      </c>
      <c r="E777">
        <v>513</v>
      </c>
      <c r="F777" t="s">
        <v>1228</v>
      </c>
    </row>
    <row r="778" spans="1:6" x14ac:dyDescent="0.55000000000000004">
      <c r="A778" s="6">
        <v>6.4168281896961137E+18</v>
      </c>
      <c r="B778">
        <v>4</v>
      </c>
      <c r="C778">
        <v>1</v>
      </c>
      <c r="D778">
        <v>1</v>
      </c>
      <c r="E778">
        <v>411</v>
      </c>
      <c r="F778" t="s">
        <v>1233</v>
      </c>
    </row>
    <row r="779" spans="1:6" x14ac:dyDescent="0.55000000000000004">
      <c r="A779" s="6">
        <v>6.4342451881816975E+18</v>
      </c>
      <c r="B779">
        <v>4</v>
      </c>
      <c r="C779">
        <v>1</v>
      </c>
      <c r="D779">
        <v>3</v>
      </c>
      <c r="E779">
        <v>413</v>
      </c>
      <c r="F779" t="s">
        <v>1233</v>
      </c>
    </row>
    <row r="780" spans="1:6" x14ac:dyDescent="0.55000000000000004">
      <c r="A780" s="6">
        <v>6.4675072884870011E+18</v>
      </c>
      <c r="B780">
        <v>5</v>
      </c>
      <c r="C780">
        <v>1</v>
      </c>
      <c r="D780">
        <v>3</v>
      </c>
      <c r="E780">
        <v>513</v>
      </c>
      <c r="F780" t="s">
        <v>1228</v>
      </c>
    </row>
    <row r="781" spans="1:6" x14ac:dyDescent="0.55000000000000004">
      <c r="A781" s="6">
        <v>6.4691629409427087E+18</v>
      </c>
      <c r="B781">
        <v>3</v>
      </c>
      <c r="C781">
        <v>2</v>
      </c>
      <c r="D781">
        <v>3</v>
      </c>
      <c r="E781">
        <v>323</v>
      </c>
      <c r="F781" t="s">
        <v>1233</v>
      </c>
    </row>
    <row r="782" spans="1:6" x14ac:dyDescent="0.55000000000000004">
      <c r="A782" s="6">
        <v>6.4811992783555676E+18</v>
      </c>
      <c r="B782">
        <v>5</v>
      </c>
      <c r="C782">
        <v>1</v>
      </c>
      <c r="D782">
        <v>1</v>
      </c>
      <c r="E782">
        <v>511</v>
      </c>
      <c r="F782" t="s">
        <v>1228</v>
      </c>
    </row>
    <row r="783" spans="1:6" x14ac:dyDescent="0.55000000000000004">
      <c r="A783" s="6">
        <v>6.4922869165179116E+18</v>
      </c>
      <c r="B783">
        <v>3</v>
      </c>
      <c r="C783">
        <v>1</v>
      </c>
      <c r="D783">
        <v>1</v>
      </c>
      <c r="E783">
        <v>311</v>
      </c>
      <c r="F783" t="s">
        <v>1233</v>
      </c>
    </row>
    <row r="784" spans="1:6" x14ac:dyDescent="0.55000000000000004">
      <c r="A784" s="6">
        <v>6.5055564192307231E+18</v>
      </c>
      <c r="B784">
        <v>5</v>
      </c>
      <c r="C784">
        <v>2</v>
      </c>
      <c r="D784">
        <v>2</v>
      </c>
      <c r="E784">
        <v>522</v>
      </c>
      <c r="F784" t="s">
        <v>1229</v>
      </c>
    </row>
    <row r="785" spans="1:6" x14ac:dyDescent="0.55000000000000004">
      <c r="A785" s="6">
        <v>6.5114163163565875E+18</v>
      </c>
      <c r="B785">
        <v>5</v>
      </c>
      <c r="C785">
        <v>1</v>
      </c>
      <c r="D785">
        <v>2</v>
      </c>
      <c r="E785">
        <v>512</v>
      </c>
      <c r="F785" t="s">
        <v>1228</v>
      </c>
    </row>
    <row r="786" spans="1:6" x14ac:dyDescent="0.55000000000000004">
      <c r="A786" s="6">
        <v>6.5158383350411981E+18</v>
      </c>
      <c r="B786">
        <v>5</v>
      </c>
      <c r="C786">
        <v>2</v>
      </c>
      <c r="D786">
        <v>3</v>
      </c>
      <c r="E786">
        <v>523</v>
      </c>
      <c r="F786" t="s">
        <v>1229</v>
      </c>
    </row>
    <row r="787" spans="1:6" x14ac:dyDescent="0.55000000000000004">
      <c r="A787" s="6">
        <v>6.5209463129209108E+18</v>
      </c>
      <c r="B787">
        <v>2</v>
      </c>
      <c r="C787">
        <v>1</v>
      </c>
      <c r="D787">
        <v>1</v>
      </c>
      <c r="E787">
        <v>211</v>
      </c>
      <c r="F787" t="s">
        <v>1234</v>
      </c>
    </row>
    <row r="788" spans="1:6" x14ac:dyDescent="0.55000000000000004">
      <c r="A788" s="6">
        <v>6.5261375982636462E+18</v>
      </c>
      <c r="B788">
        <v>4</v>
      </c>
      <c r="C788">
        <v>1</v>
      </c>
      <c r="D788">
        <v>1</v>
      </c>
      <c r="E788">
        <v>411</v>
      </c>
      <c r="F788" t="s">
        <v>1233</v>
      </c>
    </row>
    <row r="789" spans="1:6" x14ac:dyDescent="0.55000000000000004">
      <c r="A789" s="6">
        <v>6.5433186383751281E+18</v>
      </c>
      <c r="B789">
        <v>3</v>
      </c>
      <c r="C789">
        <v>1</v>
      </c>
      <c r="D789">
        <v>1</v>
      </c>
      <c r="E789">
        <v>311</v>
      </c>
      <c r="F789" t="s">
        <v>1233</v>
      </c>
    </row>
    <row r="790" spans="1:6" x14ac:dyDescent="0.55000000000000004">
      <c r="A790" s="6">
        <v>6.5643654175855411E+18</v>
      </c>
      <c r="B790">
        <v>5</v>
      </c>
      <c r="C790">
        <v>2</v>
      </c>
      <c r="D790">
        <v>1</v>
      </c>
      <c r="E790">
        <v>521</v>
      </c>
      <c r="F790" t="s">
        <v>1229</v>
      </c>
    </row>
    <row r="791" spans="1:6" x14ac:dyDescent="0.55000000000000004">
      <c r="A791" s="6">
        <v>6.5677631329683415E+18</v>
      </c>
      <c r="B791">
        <v>5</v>
      </c>
      <c r="C791">
        <v>1</v>
      </c>
      <c r="D791">
        <v>1</v>
      </c>
      <c r="E791">
        <v>511</v>
      </c>
      <c r="F791" t="s">
        <v>1228</v>
      </c>
    </row>
    <row r="792" spans="1:6" x14ac:dyDescent="0.55000000000000004">
      <c r="A792" s="6">
        <v>6.5695404423805542E+18</v>
      </c>
      <c r="B792">
        <v>5</v>
      </c>
      <c r="C792">
        <v>1</v>
      </c>
      <c r="D792">
        <v>2</v>
      </c>
      <c r="E792">
        <v>512</v>
      </c>
      <c r="F792" t="s">
        <v>1228</v>
      </c>
    </row>
    <row r="793" spans="1:6" x14ac:dyDescent="0.55000000000000004">
      <c r="A793" s="6">
        <v>6.5847090901631529E+18</v>
      </c>
      <c r="B793">
        <v>2</v>
      </c>
      <c r="C793">
        <v>1</v>
      </c>
      <c r="D793">
        <v>3</v>
      </c>
      <c r="E793">
        <v>213</v>
      </c>
      <c r="F793" t="s">
        <v>1234</v>
      </c>
    </row>
    <row r="794" spans="1:6" x14ac:dyDescent="0.55000000000000004">
      <c r="A794" s="6">
        <v>6.5876540869802783E+18</v>
      </c>
      <c r="B794">
        <v>4</v>
      </c>
      <c r="C794">
        <v>1</v>
      </c>
      <c r="D794">
        <v>2</v>
      </c>
      <c r="E794">
        <v>412</v>
      </c>
      <c r="F794" t="s">
        <v>1233</v>
      </c>
    </row>
    <row r="795" spans="1:6" x14ac:dyDescent="0.55000000000000004">
      <c r="A795" s="6">
        <v>6.6130664491283999E+18</v>
      </c>
      <c r="B795">
        <v>2</v>
      </c>
      <c r="C795">
        <v>1</v>
      </c>
      <c r="D795">
        <v>2</v>
      </c>
      <c r="E795">
        <v>212</v>
      </c>
      <c r="F795" t="s">
        <v>1234</v>
      </c>
    </row>
    <row r="796" spans="1:6" x14ac:dyDescent="0.55000000000000004">
      <c r="A796" s="6">
        <v>6.6230097931188941E+18</v>
      </c>
      <c r="B796">
        <v>5</v>
      </c>
      <c r="C796">
        <v>1</v>
      </c>
      <c r="D796">
        <v>3</v>
      </c>
      <c r="E796">
        <v>513</v>
      </c>
      <c r="F796" t="s">
        <v>1228</v>
      </c>
    </row>
    <row r="797" spans="1:6" x14ac:dyDescent="0.55000000000000004">
      <c r="A797" s="6">
        <v>6.625628621733374E+18</v>
      </c>
      <c r="B797">
        <v>4</v>
      </c>
      <c r="C797">
        <v>1</v>
      </c>
      <c r="D797">
        <v>1</v>
      </c>
      <c r="E797">
        <v>411</v>
      </c>
      <c r="F797" t="s">
        <v>1233</v>
      </c>
    </row>
    <row r="798" spans="1:6" x14ac:dyDescent="0.55000000000000004">
      <c r="A798" s="6">
        <v>6.633261323295703E+18</v>
      </c>
      <c r="B798">
        <v>5</v>
      </c>
      <c r="C798">
        <v>1</v>
      </c>
      <c r="D798">
        <v>2</v>
      </c>
      <c r="E798">
        <v>512</v>
      </c>
      <c r="F798" t="s">
        <v>1228</v>
      </c>
    </row>
    <row r="799" spans="1:6" x14ac:dyDescent="0.55000000000000004">
      <c r="A799" s="6">
        <v>6.6423141965100452E+18</v>
      </c>
      <c r="B799">
        <v>2</v>
      </c>
      <c r="C799">
        <v>1</v>
      </c>
      <c r="D799">
        <v>1</v>
      </c>
      <c r="E799">
        <v>211</v>
      </c>
      <c r="F799" t="s">
        <v>1234</v>
      </c>
    </row>
    <row r="800" spans="1:6" x14ac:dyDescent="0.55000000000000004">
      <c r="A800" s="6">
        <v>6.6553452039854715E+18</v>
      </c>
      <c r="B800">
        <v>3</v>
      </c>
      <c r="C800">
        <v>1</v>
      </c>
      <c r="D800">
        <v>1</v>
      </c>
      <c r="E800">
        <v>311</v>
      </c>
      <c r="F800" t="s">
        <v>1233</v>
      </c>
    </row>
    <row r="801" spans="1:6" x14ac:dyDescent="0.55000000000000004">
      <c r="A801" s="6">
        <v>6.667778297334103E+18</v>
      </c>
      <c r="B801">
        <v>3</v>
      </c>
      <c r="C801">
        <v>1</v>
      </c>
      <c r="D801">
        <v>2</v>
      </c>
      <c r="E801">
        <v>312</v>
      </c>
      <c r="F801" t="s">
        <v>1233</v>
      </c>
    </row>
    <row r="802" spans="1:6" x14ac:dyDescent="0.55000000000000004">
      <c r="A802" s="6">
        <v>6.679991526404095E+18</v>
      </c>
      <c r="B802">
        <v>5</v>
      </c>
      <c r="C802">
        <v>1</v>
      </c>
      <c r="D802">
        <v>1</v>
      </c>
      <c r="E802">
        <v>511</v>
      </c>
      <c r="F802" t="s">
        <v>1228</v>
      </c>
    </row>
    <row r="803" spans="1:6" x14ac:dyDescent="0.55000000000000004">
      <c r="A803" s="6">
        <v>6.6806323183104154E+18</v>
      </c>
      <c r="B803">
        <v>4</v>
      </c>
      <c r="C803">
        <v>1</v>
      </c>
      <c r="D803">
        <v>1</v>
      </c>
      <c r="E803">
        <v>411</v>
      </c>
      <c r="F803" t="s">
        <v>1233</v>
      </c>
    </row>
    <row r="804" spans="1:6" x14ac:dyDescent="0.55000000000000004">
      <c r="A804" s="6">
        <v>6.7083114319589734E+18</v>
      </c>
      <c r="B804">
        <v>4</v>
      </c>
      <c r="C804">
        <v>1</v>
      </c>
      <c r="D804">
        <v>1</v>
      </c>
      <c r="E804">
        <v>411</v>
      </c>
      <c r="F804" t="s">
        <v>1233</v>
      </c>
    </row>
    <row r="805" spans="1:6" x14ac:dyDescent="0.55000000000000004">
      <c r="A805" s="6">
        <v>6.7253496507708355E+18</v>
      </c>
      <c r="B805">
        <v>5</v>
      </c>
      <c r="C805">
        <v>1</v>
      </c>
      <c r="D805">
        <v>2</v>
      </c>
      <c r="E805">
        <v>512</v>
      </c>
      <c r="F805" t="s">
        <v>1228</v>
      </c>
    </row>
    <row r="806" spans="1:6" x14ac:dyDescent="0.55000000000000004">
      <c r="A806" s="6">
        <v>6.7368181650913751E+18</v>
      </c>
      <c r="B806">
        <v>2</v>
      </c>
      <c r="C806">
        <v>1</v>
      </c>
      <c r="D806">
        <v>1</v>
      </c>
      <c r="E806">
        <v>211</v>
      </c>
      <c r="F806" t="s">
        <v>1234</v>
      </c>
    </row>
    <row r="807" spans="1:6" x14ac:dyDescent="0.55000000000000004">
      <c r="A807" s="6">
        <v>6.7373578365760123E+18</v>
      </c>
      <c r="B807">
        <v>5</v>
      </c>
      <c r="C807">
        <v>1</v>
      </c>
      <c r="D807">
        <v>3</v>
      </c>
      <c r="E807">
        <v>513</v>
      </c>
      <c r="F807" t="s">
        <v>1228</v>
      </c>
    </row>
    <row r="808" spans="1:6" x14ac:dyDescent="0.55000000000000004">
      <c r="A808" s="6">
        <v>6.7389753197457009E+18</v>
      </c>
      <c r="B808">
        <v>5</v>
      </c>
      <c r="C808">
        <v>2</v>
      </c>
      <c r="D808">
        <v>2</v>
      </c>
      <c r="E808">
        <v>522</v>
      </c>
      <c r="F808" t="s">
        <v>1229</v>
      </c>
    </row>
    <row r="809" spans="1:6" x14ac:dyDescent="0.55000000000000004">
      <c r="A809" s="6">
        <v>6.749289830386561E+18</v>
      </c>
      <c r="B809">
        <v>5</v>
      </c>
      <c r="C809">
        <v>2</v>
      </c>
      <c r="D809">
        <v>3</v>
      </c>
      <c r="E809">
        <v>523</v>
      </c>
      <c r="F809" t="s">
        <v>1229</v>
      </c>
    </row>
    <row r="810" spans="1:6" x14ac:dyDescent="0.55000000000000004">
      <c r="A810" s="6">
        <v>6.7667673536150569E+18</v>
      </c>
      <c r="B810">
        <v>4</v>
      </c>
      <c r="C810">
        <v>2</v>
      </c>
      <c r="D810">
        <v>1</v>
      </c>
      <c r="E810">
        <v>421</v>
      </c>
      <c r="F810" t="s">
        <v>1229</v>
      </c>
    </row>
    <row r="811" spans="1:6" x14ac:dyDescent="0.55000000000000004">
      <c r="A811" s="6">
        <v>6.7868190596382003E+18</v>
      </c>
      <c r="B811">
        <v>5</v>
      </c>
      <c r="C811">
        <v>1</v>
      </c>
      <c r="D811">
        <v>2</v>
      </c>
      <c r="E811">
        <v>512</v>
      </c>
      <c r="F811" t="s">
        <v>1228</v>
      </c>
    </row>
    <row r="812" spans="1:6" x14ac:dyDescent="0.55000000000000004">
      <c r="A812" s="6">
        <v>6.7894057374757151E+18</v>
      </c>
      <c r="B812">
        <v>4</v>
      </c>
      <c r="C812">
        <v>1</v>
      </c>
      <c r="D812">
        <v>2</v>
      </c>
      <c r="E812">
        <v>412</v>
      </c>
      <c r="F812" t="s">
        <v>1233</v>
      </c>
    </row>
    <row r="813" spans="1:6" x14ac:dyDescent="0.55000000000000004">
      <c r="A813" s="6">
        <v>6.8081673511501599E+18</v>
      </c>
      <c r="B813">
        <v>3</v>
      </c>
      <c r="C813">
        <v>1</v>
      </c>
      <c r="D813">
        <v>3</v>
      </c>
      <c r="E813">
        <v>313</v>
      </c>
      <c r="F813" t="s">
        <v>1233</v>
      </c>
    </row>
    <row r="814" spans="1:6" x14ac:dyDescent="0.55000000000000004">
      <c r="A814" s="6">
        <v>6.8089722655245609E+18</v>
      </c>
      <c r="B814">
        <v>3</v>
      </c>
      <c r="C814">
        <v>2</v>
      </c>
      <c r="D814">
        <v>3</v>
      </c>
      <c r="E814">
        <v>323</v>
      </c>
      <c r="F814" t="s">
        <v>1233</v>
      </c>
    </row>
    <row r="815" spans="1:6" x14ac:dyDescent="0.55000000000000004">
      <c r="A815" s="6">
        <v>6.8227132645195633E+18</v>
      </c>
      <c r="B815">
        <v>3</v>
      </c>
      <c r="C815">
        <v>1</v>
      </c>
      <c r="D815">
        <v>1</v>
      </c>
      <c r="E815">
        <v>311</v>
      </c>
      <c r="F815" t="s">
        <v>1233</v>
      </c>
    </row>
    <row r="816" spans="1:6" x14ac:dyDescent="0.55000000000000004">
      <c r="A816" s="6">
        <v>6.8284815311635948E+18</v>
      </c>
      <c r="B816">
        <v>3</v>
      </c>
      <c r="C816">
        <v>1</v>
      </c>
      <c r="D816">
        <v>1</v>
      </c>
      <c r="E816">
        <v>311</v>
      </c>
      <c r="F816" t="s">
        <v>1233</v>
      </c>
    </row>
    <row r="817" spans="1:6" x14ac:dyDescent="0.55000000000000004">
      <c r="A817" s="6">
        <v>6.8320949424856115E+18</v>
      </c>
      <c r="B817">
        <v>4</v>
      </c>
      <c r="C817">
        <v>1</v>
      </c>
      <c r="D817">
        <v>1</v>
      </c>
      <c r="E817">
        <v>411</v>
      </c>
      <c r="F817" t="s">
        <v>1233</v>
      </c>
    </row>
    <row r="818" spans="1:6" x14ac:dyDescent="0.55000000000000004">
      <c r="A818" s="6">
        <v>6.8412832984735416E+18</v>
      </c>
      <c r="B818">
        <v>3</v>
      </c>
      <c r="C818">
        <v>1</v>
      </c>
      <c r="D818">
        <v>2</v>
      </c>
      <c r="E818">
        <v>312</v>
      </c>
      <c r="F818" t="s">
        <v>1233</v>
      </c>
    </row>
    <row r="819" spans="1:6" x14ac:dyDescent="0.55000000000000004">
      <c r="A819" s="6">
        <v>6.8623891938470922E+18</v>
      </c>
      <c r="B819">
        <v>4</v>
      </c>
      <c r="C819">
        <v>3</v>
      </c>
      <c r="D819">
        <v>3</v>
      </c>
      <c r="E819">
        <v>433</v>
      </c>
      <c r="F819" t="s">
        <v>1230</v>
      </c>
    </row>
    <row r="820" spans="1:6" x14ac:dyDescent="0.55000000000000004">
      <c r="A820" s="6">
        <v>6.8680169767252644E+18</v>
      </c>
      <c r="B820">
        <v>4</v>
      </c>
      <c r="C820">
        <v>1</v>
      </c>
      <c r="D820">
        <v>1</v>
      </c>
      <c r="E820">
        <v>411</v>
      </c>
      <c r="F820" t="s">
        <v>1233</v>
      </c>
    </row>
    <row r="821" spans="1:6" x14ac:dyDescent="0.55000000000000004">
      <c r="A821" s="6">
        <v>6.8786533844441723E+18</v>
      </c>
      <c r="B821">
        <v>4</v>
      </c>
      <c r="C821">
        <v>1</v>
      </c>
      <c r="D821">
        <v>1</v>
      </c>
      <c r="E821">
        <v>411</v>
      </c>
      <c r="F821" t="s">
        <v>1233</v>
      </c>
    </row>
    <row r="822" spans="1:6" x14ac:dyDescent="0.55000000000000004">
      <c r="A822" s="6">
        <v>6.8830756411811174E+18</v>
      </c>
      <c r="B822">
        <v>3</v>
      </c>
      <c r="C822">
        <v>1</v>
      </c>
      <c r="D822">
        <v>2</v>
      </c>
      <c r="E822">
        <v>312</v>
      </c>
      <c r="F822" t="s">
        <v>1233</v>
      </c>
    </row>
    <row r="823" spans="1:6" x14ac:dyDescent="0.55000000000000004">
      <c r="A823" s="6">
        <v>6.88461090437325E+18</v>
      </c>
      <c r="B823">
        <v>4</v>
      </c>
      <c r="C823">
        <v>1</v>
      </c>
      <c r="D823">
        <v>3</v>
      </c>
      <c r="E823">
        <v>413</v>
      </c>
      <c r="F823" t="s">
        <v>1233</v>
      </c>
    </row>
    <row r="824" spans="1:6" x14ac:dyDescent="0.55000000000000004">
      <c r="A824" s="6">
        <v>6.8994182060755128E+18</v>
      </c>
      <c r="B824">
        <v>3</v>
      </c>
      <c r="C824">
        <v>1</v>
      </c>
      <c r="D824">
        <v>1</v>
      </c>
      <c r="E824">
        <v>311</v>
      </c>
      <c r="F824" t="s">
        <v>1233</v>
      </c>
    </row>
    <row r="825" spans="1:6" x14ac:dyDescent="0.55000000000000004">
      <c r="A825" s="6">
        <v>6.9030815266361641E+18</v>
      </c>
      <c r="B825">
        <v>4</v>
      </c>
      <c r="C825">
        <v>1</v>
      </c>
      <c r="D825">
        <v>2</v>
      </c>
      <c r="E825">
        <v>412</v>
      </c>
      <c r="F825" t="s">
        <v>1233</v>
      </c>
    </row>
    <row r="826" spans="1:6" x14ac:dyDescent="0.55000000000000004">
      <c r="A826" s="6">
        <v>6.908084459337769E+18</v>
      </c>
      <c r="B826">
        <v>3</v>
      </c>
      <c r="C826">
        <v>1</v>
      </c>
      <c r="D826">
        <v>1</v>
      </c>
      <c r="E826">
        <v>311</v>
      </c>
      <c r="F826" t="s">
        <v>1233</v>
      </c>
    </row>
    <row r="827" spans="1:6" x14ac:dyDescent="0.55000000000000004">
      <c r="A827" s="6">
        <v>6.9166335837545892E+18</v>
      </c>
      <c r="B827">
        <v>4</v>
      </c>
      <c r="C827">
        <v>2</v>
      </c>
      <c r="D827">
        <v>1</v>
      </c>
      <c r="E827">
        <v>421</v>
      </c>
      <c r="F827" t="s">
        <v>1229</v>
      </c>
    </row>
    <row r="828" spans="1:6" x14ac:dyDescent="0.55000000000000004">
      <c r="A828" s="6">
        <v>6.9191498533146655E+18</v>
      </c>
      <c r="B828">
        <v>5</v>
      </c>
      <c r="C828">
        <v>3</v>
      </c>
      <c r="D828">
        <v>3</v>
      </c>
      <c r="E828">
        <v>533</v>
      </c>
      <c r="F828" t="s">
        <v>1230</v>
      </c>
    </row>
    <row r="829" spans="1:6" x14ac:dyDescent="0.55000000000000004">
      <c r="A829" s="6">
        <v>6.9275631099077755E+18</v>
      </c>
      <c r="B829">
        <v>5</v>
      </c>
      <c r="C829">
        <v>2</v>
      </c>
      <c r="D829">
        <v>2</v>
      </c>
      <c r="E829">
        <v>522</v>
      </c>
      <c r="F829" t="s">
        <v>1229</v>
      </c>
    </row>
    <row r="830" spans="1:6" x14ac:dyDescent="0.55000000000000004">
      <c r="A830" s="6">
        <v>6.9420773313375857E+18</v>
      </c>
      <c r="B830">
        <v>4</v>
      </c>
      <c r="C830">
        <v>1</v>
      </c>
      <c r="D830">
        <v>2</v>
      </c>
      <c r="E830">
        <v>412</v>
      </c>
      <c r="F830" t="s">
        <v>1233</v>
      </c>
    </row>
    <row r="831" spans="1:6" x14ac:dyDescent="0.55000000000000004">
      <c r="A831" s="6">
        <v>6.952102393137282E+18</v>
      </c>
      <c r="B831">
        <v>2</v>
      </c>
      <c r="C831">
        <v>1</v>
      </c>
      <c r="D831">
        <v>3</v>
      </c>
      <c r="E831">
        <v>213</v>
      </c>
      <c r="F831" t="s">
        <v>1234</v>
      </c>
    </row>
    <row r="832" spans="1:6" x14ac:dyDescent="0.55000000000000004">
      <c r="A832" s="6">
        <v>6.9649657700650465E+18</v>
      </c>
      <c r="B832">
        <v>5</v>
      </c>
      <c r="C832">
        <v>1</v>
      </c>
      <c r="D832">
        <v>3</v>
      </c>
      <c r="E832">
        <v>513</v>
      </c>
      <c r="F832" t="s">
        <v>1228</v>
      </c>
    </row>
    <row r="833" spans="1:6" x14ac:dyDescent="0.55000000000000004">
      <c r="A833" s="6">
        <v>6.975653972301268E+18</v>
      </c>
      <c r="B833">
        <v>4</v>
      </c>
      <c r="C833">
        <v>1</v>
      </c>
      <c r="D833">
        <v>3</v>
      </c>
      <c r="E833">
        <v>413</v>
      </c>
      <c r="F833" t="s">
        <v>1233</v>
      </c>
    </row>
    <row r="834" spans="1:6" x14ac:dyDescent="0.55000000000000004">
      <c r="A834" s="6">
        <v>7.0152092503222774E+18</v>
      </c>
      <c r="B834">
        <v>5</v>
      </c>
      <c r="C834">
        <v>1</v>
      </c>
      <c r="D834">
        <v>2</v>
      </c>
      <c r="E834">
        <v>512</v>
      </c>
      <c r="F834" t="s">
        <v>1228</v>
      </c>
    </row>
    <row r="835" spans="1:6" x14ac:dyDescent="0.55000000000000004">
      <c r="A835" s="6">
        <v>7.044253150601986E+18</v>
      </c>
      <c r="B835">
        <v>1</v>
      </c>
      <c r="C835">
        <v>1</v>
      </c>
      <c r="D835">
        <v>3</v>
      </c>
      <c r="E835">
        <v>113</v>
      </c>
      <c r="F835" t="s">
        <v>1234</v>
      </c>
    </row>
    <row r="836" spans="1:6" x14ac:dyDescent="0.55000000000000004">
      <c r="A836" s="6">
        <v>7.078790832576682E+18</v>
      </c>
      <c r="B836">
        <v>5</v>
      </c>
      <c r="C836">
        <v>3</v>
      </c>
      <c r="D836">
        <v>2</v>
      </c>
      <c r="E836">
        <v>532</v>
      </c>
      <c r="F836" t="s">
        <v>1230</v>
      </c>
    </row>
    <row r="837" spans="1:6" x14ac:dyDescent="0.55000000000000004">
      <c r="A837" s="6">
        <v>7.0951104832175278E+18</v>
      </c>
      <c r="B837">
        <v>4</v>
      </c>
      <c r="C837">
        <v>1</v>
      </c>
      <c r="D837">
        <v>3</v>
      </c>
      <c r="E837">
        <v>413</v>
      </c>
      <c r="F837" t="s">
        <v>1233</v>
      </c>
    </row>
    <row r="838" spans="1:6" x14ac:dyDescent="0.55000000000000004">
      <c r="A838" s="6">
        <v>7.0952950250837617E+18</v>
      </c>
      <c r="B838">
        <v>3</v>
      </c>
      <c r="C838">
        <v>2</v>
      </c>
      <c r="D838">
        <v>2</v>
      </c>
      <c r="E838">
        <v>322</v>
      </c>
      <c r="F838" t="s">
        <v>1233</v>
      </c>
    </row>
    <row r="839" spans="1:6" x14ac:dyDescent="0.55000000000000004">
      <c r="A839" s="6">
        <v>7.0956688496924426E+18</v>
      </c>
      <c r="B839">
        <v>5</v>
      </c>
      <c r="C839">
        <v>1</v>
      </c>
      <c r="D839">
        <v>2</v>
      </c>
      <c r="E839">
        <v>512</v>
      </c>
      <c r="F839" t="s">
        <v>1228</v>
      </c>
    </row>
    <row r="840" spans="1:6" x14ac:dyDescent="0.55000000000000004">
      <c r="A840" s="6">
        <v>7.1070444737870602E+18</v>
      </c>
      <c r="B840">
        <v>4</v>
      </c>
      <c r="C840">
        <v>1</v>
      </c>
      <c r="D840">
        <v>3</v>
      </c>
      <c r="E840">
        <v>413</v>
      </c>
      <c r="F840" t="s">
        <v>1233</v>
      </c>
    </row>
    <row r="841" spans="1:6" x14ac:dyDescent="0.55000000000000004">
      <c r="A841" s="6">
        <v>7.1089337054576466E+18</v>
      </c>
      <c r="B841">
        <v>1</v>
      </c>
      <c r="C841">
        <v>1</v>
      </c>
      <c r="D841">
        <v>2</v>
      </c>
      <c r="E841">
        <v>112</v>
      </c>
      <c r="F841" t="s">
        <v>1234</v>
      </c>
    </row>
    <row r="842" spans="1:6" x14ac:dyDescent="0.55000000000000004">
      <c r="A842" s="6">
        <v>7.1104790862038682E+18</v>
      </c>
      <c r="B842">
        <v>5</v>
      </c>
      <c r="C842">
        <v>1</v>
      </c>
      <c r="D842">
        <v>3</v>
      </c>
      <c r="E842">
        <v>513</v>
      </c>
      <c r="F842" t="s">
        <v>1228</v>
      </c>
    </row>
    <row r="843" spans="1:6" x14ac:dyDescent="0.55000000000000004">
      <c r="A843" s="6">
        <v>7.136613630905943E+18</v>
      </c>
      <c r="B843">
        <v>5</v>
      </c>
      <c r="C843">
        <v>3</v>
      </c>
      <c r="D843">
        <v>2</v>
      </c>
      <c r="E843">
        <v>532</v>
      </c>
      <c r="F843" t="s">
        <v>1230</v>
      </c>
    </row>
    <row r="844" spans="1:6" x14ac:dyDescent="0.55000000000000004">
      <c r="A844" s="6">
        <v>7.147156795242794E+18</v>
      </c>
      <c r="B844">
        <v>5</v>
      </c>
      <c r="C844">
        <v>2</v>
      </c>
      <c r="D844">
        <v>1</v>
      </c>
      <c r="E844">
        <v>521</v>
      </c>
      <c r="F844" t="s">
        <v>1229</v>
      </c>
    </row>
    <row r="845" spans="1:6" x14ac:dyDescent="0.55000000000000004">
      <c r="A845" s="6">
        <v>7.1585107620074312E+18</v>
      </c>
      <c r="B845">
        <v>4</v>
      </c>
      <c r="C845">
        <v>3</v>
      </c>
      <c r="D845">
        <v>3</v>
      </c>
      <c r="E845">
        <v>433</v>
      </c>
      <c r="F845" t="s">
        <v>1230</v>
      </c>
    </row>
    <row r="846" spans="1:6" x14ac:dyDescent="0.55000000000000004">
      <c r="A846" s="6">
        <v>7.1727134401660109E+18</v>
      </c>
      <c r="B846">
        <v>2</v>
      </c>
      <c r="C846">
        <v>2</v>
      </c>
      <c r="D846">
        <v>2</v>
      </c>
      <c r="E846">
        <v>222</v>
      </c>
      <c r="F846" t="s">
        <v>1234</v>
      </c>
    </row>
    <row r="847" spans="1:6" x14ac:dyDescent="0.55000000000000004">
      <c r="A847" s="6">
        <v>7.1766019372537836E+18</v>
      </c>
      <c r="B847">
        <v>5</v>
      </c>
      <c r="C847">
        <v>1</v>
      </c>
      <c r="D847">
        <v>1</v>
      </c>
      <c r="E847">
        <v>511</v>
      </c>
      <c r="F847" t="s">
        <v>1228</v>
      </c>
    </row>
    <row r="848" spans="1:6" x14ac:dyDescent="0.55000000000000004">
      <c r="A848" s="6">
        <v>7.1772537848913644E+18</v>
      </c>
      <c r="B848">
        <v>4</v>
      </c>
      <c r="C848">
        <v>1</v>
      </c>
      <c r="D848">
        <v>3</v>
      </c>
      <c r="E848">
        <v>413</v>
      </c>
      <c r="F848" t="s">
        <v>1233</v>
      </c>
    </row>
    <row r="849" spans="1:6" x14ac:dyDescent="0.55000000000000004">
      <c r="A849" s="6">
        <v>7.1818682123350518E+18</v>
      </c>
      <c r="B849">
        <v>5</v>
      </c>
      <c r="C849">
        <v>3</v>
      </c>
      <c r="D849">
        <v>3</v>
      </c>
      <c r="E849">
        <v>533</v>
      </c>
      <c r="F849" t="s">
        <v>1230</v>
      </c>
    </row>
    <row r="850" spans="1:6" x14ac:dyDescent="0.55000000000000004">
      <c r="A850" s="6">
        <v>7.1895242910988739E+18</v>
      </c>
      <c r="B850">
        <v>4</v>
      </c>
      <c r="C850">
        <v>1</v>
      </c>
      <c r="D850">
        <v>2</v>
      </c>
      <c r="E850">
        <v>412</v>
      </c>
      <c r="F850" t="s">
        <v>1233</v>
      </c>
    </row>
    <row r="851" spans="1:6" x14ac:dyDescent="0.55000000000000004">
      <c r="A851" s="6">
        <v>7.2000367338064968E+18</v>
      </c>
      <c r="B851">
        <v>2</v>
      </c>
      <c r="C851">
        <v>1</v>
      </c>
      <c r="D851">
        <v>1</v>
      </c>
      <c r="E851">
        <v>211</v>
      </c>
      <c r="F851" t="s">
        <v>1234</v>
      </c>
    </row>
    <row r="852" spans="1:6" x14ac:dyDescent="0.55000000000000004">
      <c r="A852" s="6">
        <v>7.2076794550135798E+18</v>
      </c>
      <c r="B852">
        <v>2</v>
      </c>
      <c r="C852">
        <v>1</v>
      </c>
      <c r="D852">
        <v>1</v>
      </c>
      <c r="E852">
        <v>211</v>
      </c>
      <c r="F852" t="s">
        <v>1234</v>
      </c>
    </row>
    <row r="853" spans="1:6" x14ac:dyDescent="0.55000000000000004">
      <c r="A853" s="6">
        <v>7.2164494924781394E+18</v>
      </c>
      <c r="B853">
        <v>3</v>
      </c>
      <c r="C853">
        <v>1</v>
      </c>
      <c r="D853">
        <v>2</v>
      </c>
      <c r="E853">
        <v>312</v>
      </c>
      <c r="F853" t="s">
        <v>1233</v>
      </c>
    </row>
    <row r="854" spans="1:6" x14ac:dyDescent="0.55000000000000004">
      <c r="A854" s="6">
        <v>7.2351100005471386E+18</v>
      </c>
      <c r="B854">
        <v>2</v>
      </c>
      <c r="C854">
        <v>1</v>
      </c>
      <c r="D854">
        <v>1</v>
      </c>
      <c r="E854">
        <v>211</v>
      </c>
      <c r="F854" t="s">
        <v>1234</v>
      </c>
    </row>
    <row r="855" spans="1:6" x14ac:dyDescent="0.55000000000000004">
      <c r="A855" s="6">
        <v>7.2450631337090017E+18</v>
      </c>
      <c r="B855">
        <v>5</v>
      </c>
      <c r="C855">
        <v>2</v>
      </c>
      <c r="D855">
        <v>3</v>
      </c>
      <c r="E855">
        <v>523</v>
      </c>
      <c r="F855" t="s">
        <v>1229</v>
      </c>
    </row>
    <row r="856" spans="1:6" x14ac:dyDescent="0.55000000000000004">
      <c r="A856" s="6">
        <v>7.2497447867208612E+18</v>
      </c>
      <c r="B856">
        <v>5</v>
      </c>
      <c r="C856">
        <v>2</v>
      </c>
      <c r="D856">
        <v>2</v>
      </c>
      <c r="E856">
        <v>522</v>
      </c>
      <c r="F856" t="s">
        <v>1229</v>
      </c>
    </row>
    <row r="857" spans="1:6" x14ac:dyDescent="0.55000000000000004">
      <c r="A857" s="6">
        <v>7.2637407886487521E+18</v>
      </c>
      <c r="B857">
        <v>3</v>
      </c>
      <c r="C857">
        <v>1</v>
      </c>
      <c r="D857">
        <v>1</v>
      </c>
      <c r="E857">
        <v>311</v>
      </c>
      <c r="F857" t="s">
        <v>1233</v>
      </c>
    </row>
    <row r="858" spans="1:6" x14ac:dyDescent="0.55000000000000004">
      <c r="A858" s="6">
        <v>7.2685606215086868E+18</v>
      </c>
      <c r="B858">
        <v>4</v>
      </c>
      <c r="C858">
        <v>3</v>
      </c>
      <c r="D858">
        <v>3</v>
      </c>
      <c r="E858">
        <v>433</v>
      </c>
      <c r="F858" t="s">
        <v>1230</v>
      </c>
    </row>
    <row r="859" spans="1:6" x14ac:dyDescent="0.55000000000000004">
      <c r="A859" s="6">
        <v>7.2717939104775229E+18</v>
      </c>
      <c r="B859">
        <v>4</v>
      </c>
      <c r="C859">
        <v>1</v>
      </c>
      <c r="D859">
        <v>3</v>
      </c>
      <c r="E859">
        <v>413</v>
      </c>
      <c r="F859" t="s">
        <v>1233</v>
      </c>
    </row>
    <row r="860" spans="1:6" x14ac:dyDescent="0.55000000000000004">
      <c r="A860" s="6">
        <v>7.2752396177443717E+18</v>
      </c>
      <c r="B860">
        <v>4</v>
      </c>
      <c r="C860">
        <v>1</v>
      </c>
      <c r="D860">
        <v>1</v>
      </c>
      <c r="E860">
        <v>411</v>
      </c>
      <c r="F860" t="s">
        <v>1233</v>
      </c>
    </row>
    <row r="861" spans="1:6" x14ac:dyDescent="0.55000000000000004">
      <c r="A861" s="6">
        <v>7.2754115897695867E+18</v>
      </c>
      <c r="B861">
        <v>1</v>
      </c>
      <c r="C861">
        <v>1</v>
      </c>
      <c r="D861">
        <v>1</v>
      </c>
      <c r="E861">
        <v>111</v>
      </c>
      <c r="F861" t="s">
        <v>1234</v>
      </c>
    </row>
    <row r="862" spans="1:6" x14ac:dyDescent="0.55000000000000004">
      <c r="A862" s="6">
        <v>7.2768294671938744E+18</v>
      </c>
      <c r="B862">
        <v>5</v>
      </c>
      <c r="C862">
        <v>1</v>
      </c>
      <c r="D862">
        <v>2</v>
      </c>
      <c r="E862">
        <v>512</v>
      </c>
      <c r="F862" t="s">
        <v>1228</v>
      </c>
    </row>
    <row r="863" spans="1:6" x14ac:dyDescent="0.55000000000000004">
      <c r="A863" s="6">
        <v>7.3044169029944924E+18</v>
      </c>
      <c r="B863">
        <v>1</v>
      </c>
      <c r="C863">
        <v>1</v>
      </c>
      <c r="D863">
        <v>1</v>
      </c>
      <c r="E863">
        <v>111</v>
      </c>
      <c r="F863" t="s">
        <v>1234</v>
      </c>
    </row>
    <row r="864" spans="1:6" x14ac:dyDescent="0.55000000000000004">
      <c r="A864" s="6">
        <v>7.3046268671747768E+18</v>
      </c>
      <c r="B864">
        <v>3</v>
      </c>
      <c r="C864">
        <v>1</v>
      </c>
      <c r="D864">
        <v>2</v>
      </c>
      <c r="E864">
        <v>312</v>
      </c>
      <c r="F864" t="s">
        <v>1233</v>
      </c>
    </row>
    <row r="865" spans="1:6" x14ac:dyDescent="0.55000000000000004">
      <c r="A865" s="6">
        <v>7.30518996156783E+18</v>
      </c>
      <c r="B865">
        <v>3</v>
      </c>
      <c r="C865">
        <v>2</v>
      </c>
      <c r="D865">
        <v>3</v>
      </c>
      <c r="E865">
        <v>323</v>
      </c>
      <c r="F865" t="s">
        <v>1233</v>
      </c>
    </row>
    <row r="866" spans="1:6" x14ac:dyDescent="0.55000000000000004">
      <c r="A866" s="6">
        <v>7.3300644431566162E+18</v>
      </c>
      <c r="B866">
        <v>4</v>
      </c>
      <c r="C866">
        <v>1</v>
      </c>
      <c r="D866">
        <v>1</v>
      </c>
      <c r="E866">
        <v>411</v>
      </c>
      <c r="F866" t="s">
        <v>1233</v>
      </c>
    </row>
    <row r="867" spans="1:6" x14ac:dyDescent="0.55000000000000004">
      <c r="A867" s="6">
        <v>7.3495204148405125E+18</v>
      </c>
      <c r="B867">
        <v>4</v>
      </c>
      <c r="C867">
        <v>2</v>
      </c>
      <c r="D867">
        <v>1</v>
      </c>
      <c r="E867">
        <v>421</v>
      </c>
      <c r="F867" t="s">
        <v>1229</v>
      </c>
    </row>
    <row r="868" spans="1:6" x14ac:dyDescent="0.55000000000000004">
      <c r="A868" s="6">
        <v>7.3761653183158497E+18</v>
      </c>
      <c r="B868">
        <v>5</v>
      </c>
      <c r="C868">
        <v>1</v>
      </c>
      <c r="D868">
        <v>1</v>
      </c>
      <c r="E868">
        <v>511</v>
      </c>
      <c r="F868" t="s">
        <v>1228</v>
      </c>
    </row>
    <row r="869" spans="1:6" x14ac:dyDescent="0.55000000000000004">
      <c r="A869" s="6">
        <v>7.3827463218525409E+18</v>
      </c>
      <c r="B869">
        <v>5</v>
      </c>
      <c r="C869">
        <v>1</v>
      </c>
      <c r="D869">
        <v>3</v>
      </c>
      <c r="E869">
        <v>513</v>
      </c>
      <c r="F869" t="s">
        <v>1228</v>
      </c>
    </row>
    <row r="870" spans="1:6" x14ac:dyDescent="0.55000000000000004">
      <c r="A870" s="6">
        <v>7.3910230911994184E+18</v>
      </c>
      <c r="B870">
        <v>5</v>
      </c>
      <c r="C870">
        <v>2</v>
      </c>
      <c r="D870">
        <v>2</v>
      </c>
      <c r="E870">
        <v>522</v>
      </c>
      <c r="F870" t="s">
        <v>1229</v>
      </c>
    </row>
    <row r="871" spans="1:6" x14ac:dyDescent="0.55000000000000004">
      <c r="A871" s="6">
        <v>7.4140334679101583E+18</v>
      </c>
      <c r="B871">
        <v>4</v>
      </c>
      <c r="C871">
        <v>2</v>
      </c>
      <c r="D871">
        <v>2</v>
      </c>
      <c r="E871">
        <v>422</v>
      </c>
      <c r="F871" t="s">
        <v>1229</v>
      </c>
    </row>
    <row r="872" spans="1:6" x14ac:dyDescent="0.55000000000000004">
      <c r="A872" s="6">
        <v>7.4412097813958564E+18</v>
      </c>
      <c r="B872">
        <v>5</v>
      </c>
      <c r="C872">
        <v>1</v>
      </c>
      <c r="D872">
        <v>1</v>
      </c>
      <c r="E872">
        <v>511</v>
      </c>
      <c r="F872" t="s">
        <v>1228</v>
      </c>
    </row>
    <row r="873" spans="1:6" x14ac:dyDescent="0.55000000000000004">
      <c r="A873" s="6">
        <v>7.4503376825986447E+18</v>
      </c>
      <c r="B873">
        <v>2</v>
      </c>
      <c r="C873">
        <v>2</v>
      </c>
      <c r="D873">
        <v>2</v>
      </c>
      <c r="E873">
        <v>222</v>
      </c>
      <c r="F873" t="s">
        <v>1234</v>
      </c>
    </row>
    <row r="874" spans="1:6" x14ac:dyDescent="0.55000000000000004">
      <c r="A874" s="6">
        <v>7.4657880540474552E+18</v>
      </c>
      <c r="B874">
        <v>5</v>
      </c>
      <c r="C874">
        <v>1</v>
      </c>
      <c r="D874">
        <v>2</v>
      </c>
      <c r="E874">
        <v>512</v>
      </c>
      <c r="F874" t="s">
        <v>1228</v>
      </c>
    </row>
    <row r="875" spans="1:6" x14ac:dyDescent="0.55000000000000004">
      <c r="A875" s="6">
        <v>7.4798904250766193E+18</v>
      </c>
      <c r="B875">
        <v>5</v>
      </c>
      <c r="C875">
        <v>1</v>
      </c>
      <c r="D875">
        <v>1</v>
      </c>
      <c r="E875">
        <v>511</v>
      </c>
      <c r="F875" t="s">
        <v>1228</v>
      </c>
    </row>
    <row r="876" spans="1:6" x14ac:dyDescent="0.55000000000000004">
      <c r="A876" s="6">
        <v>7.4929015261092721E+18</v>
      </c>
      <c r="B876">
        <v>5</v>
      </c>
      <c r="C876">
        <v>1</v>
      </c>
      <c r="D876">
        <v>1</v>
      </c>
      <c r="E876">
        <v>511</v>
      </c>
      <c r="F876" t="s">
        <v>1228</v>
      </c>
    </row>
    <row r="877" spans="1:6" x14ac:dyDescent="0.55000000000000004">
      <c r="A877" s="6">
        <v>7.5173770377600195E+18</v>
      </c>
      <c r="B877">
        <v>1</v>
      </c>
      <c r="C877">
        <v>1</v>
      </c>
      <c r="D877">
        <v>2</v>
      </c>
      <c r="E877">
        <v>112</v>
      </c>
      <c r="F877" t="s">
        <v>1234</v>
      </c>
    </row>
    <row r="878" spans="1:6" x14ac:dyDescent="0.55000000000000004">
      <c r="A878" s="6">
        <v>7.5196572512331551E+18</v>
      </c>
      <c r="B878">
        <v>3</v>
      </c>
      <c r="C878">
        <v>1</v>
      </c>
      <c r="D878">
        <v>2</v>
      </c>
      <c r="E878">
        <v>312</v>
      </c>
      <c r="F878" t="s">
        <v>1233</v>
      </c>
    </row>
    <row r="879" spans="1:6" x14ac:dyDescent="0.55000000000000004">
      <c r="A879" s="6">
        <v>7.5205544625974272E+18</v>
      </c>
      <c r="B879">
        <v>4</v>
      </c>
      <c r="C879">
        <v>1</v>
      </c>
      <c r="D879">
        <v>1</v>
      </c>
      <c r="E879">
        <v>411</v>
      </c>
      <c r="F879" t="s">
        <v>1233</v>
      </c>
    </row>
    <row r="880" spans="1:6" x14ac:dyDescent="0.55000000000000004">
      <c r="A880" s="6">
        <v>7.5261506837205473E+18</v>
      </c>
      <c r="B880">
        <v>4</v>
      </c>
      <c r="C880">
        <v>1</v>
      </c>
      <c r="D880">
        <v>3</v>
      </c>
      <c r="E880">
        <v>413</v>
      </c>
      <c r="F880" t="s">
        <v>1233</v>
      </c>
    </row>
    <row r="881" spans="1:6" x14ac:dyDescent="0.55000000000000004">
      <c r="A881" s="6">
        <v>7.5299440716685742E+18</v>
      </c>
      <c r="B881">
        <v>3</v>
      </c>
      <c r="C881">
        <v>1</v>
      </c>
      <c r="D881">
        <v>3</v>
      </c>
      <c r="E881">
        <v>313</v>
      </c>
      <c r="F881" t="s">
        <v>1233</v>
      </c>
    </row>
    <row r="882" spans="1:6" x14ac:dyDescent="0.55000000000000004">
      <c r="A882" s="6">
        <v>7.530252964857858E+18</v>
      </c>
      <c r="B882">
        <v>5</v>
      </c>
      <c r="C882">
        <v>2</v>
      </c>
      <c r="D882">
        <v>3</v>
      </c>
      <c r="E882">
        <v>523</v>
      </c>
      <c r="F882" t="s">
        <v>1229</v>
      </c>
    </row>
    <row r="883" spans="1:6" x14ac:dyDescent="0.55000000000000004">
      <c r="A883" s="6">
        <v>7.5308154489521398E+18</v>
      </c>
      <c r="B883">
        <v>4</v>
      </c>
      <c r="C883">
        <v>1</v>
      </c>
      <c r="D883">
        <v>1</v>
      </c>
      <c r="E883">
        <v>411</v>
      </c>
      <c r="F883" t="s">
        <v>1233</v>
      </c>
    </row>
    <row r="884" spans="1:6" x14ac:dyDescent="0.55000000000000004">
      <c r="A884" s="6">
        <v>7.5454109960868352E+18</v>
      </c>
      <c r="B884">
        <v>5</v>
      </c>
      <c r="C884">
        <v>1</v>
      </c>
      <c r="D884">
        <v>2</v>
      </c>
      <c r="E884">
        <v>512</v>
      </c>
      <c r="F884" t="s">
        <v>1228</v>
      </c>
    </row>
    <row r="885" spans="1:6" x14ac:dyDescent="0.55000000000000004">
      <c r="A885" s="6">
        <v>7.5613128868329021E+18</v>
      </c>
      <c r="B885">
        <v>5</v>
      </c>
      <c r="C885">
        <v>1</v>
      </c>
      <c r="D885">
        <v>2</v>
      </c>
      <c r="E885">
        <v>512</v>
      </c>
      <c r="F885" t="s">
        <v>1228</v>
      </c>
    </row>
    <row r="886" spans="1:6" x14ac:dyDescent="0.55000000000000004">
      <c r="A886" s="6">
        <v>7.5659730072132506E+18</v>
      </c>
      <c r="B886">
        <v>5</v>
      </c>
      <c r="C886">
        <v>1</v>
      </c>
      <c r="D886">
        <v>2</v>
      </c>
      <c r="E886">
        <v>512</v>
      </c>
      <c r="F886" t="s">
        <v>1228</v>
      </c>
    </row>
    <row r="887" spans="1:6" x14ac:dyDescent="0.55000000000000004">
      <c r="A887" s="6">
        <v>7.5811886889476536E+18</v>
      </c>
      <c r="B887">
        <v>4</v>
      </c>
      <c r="C887">
        <v>1</v>
      </c>
      <c r="D887">
        <v>1</v>
      </c>
      <c r="E887">
        <v>411</v>
      </c>
      <c r="F887" t="s">
        <v>1233</v>
      </c>
    </row>
    <row r="888" spans="1:6" x14ac:dyDescent="0.55000000000000004">
      <c r="A888" s="6">
        <v>7.5917125380343245E+18</v>
      </c>
      <c r="B888">
        <v>5</v>
      </c>
      <c r="C888">
        <v>2</v>
      </c>
      <c r="D888">
        <v>3</v>
      </c>
      <c r="E888">
        <v>523</v>
      </c>
      <c r="F888" t="s">
        <v>1229</v>
      </c>
    </row>
    <row r="889" spans="1:6" x14ac:dyDescent="0.55000000000000004">
      <c r="A889" s="6">
        <v>7.5940743852725688E+18</v>
      </c>
      <c r="B889">
        <v>5</v>
      </c>
      <c r="C889">
        <v>1</v>
      </c>
      <c r="D889">
        <v>1</v>
      </c>
      <c r="E889">
        <v>511</v>
      </c>
      <c r="F889" t="s">
        <v>1228</v>
      </c>
    </row>
    <row r="890" spans="1:6" x14ac:dyDescent="0.55000000000000004">
      <c r="A890" s="6">
        <v>7.6012316943242404E+18</v>
      </c>
      <c r="B890">
        <v>4</v>
      </c>
      <c r="C890">
        <v>1</v>
      </c>
      <c r="D890">
        <v>1</v>
      </c>
      <c r="E890">
        <v>411</v>
      </c>
      <c r="F890" t="s">
        <v>1233</v>
      </c>
    </row>
    <row r="891" spans="1:6" x14ac:dyDescent="0.55000000000000004">
      <c r="A891" s="6">
        <v>7.6017591493459118E+18</v>
      </c>
      <c r="B891">
        <v>5</v>
      </c>
      <c r="C891">
        <v>2</v>
      </c>
      <c r="D891">
        <v>2</v>
      </c>
      <c r="E891">
        <v>522</v>
      </c>
      <c r="F891" t="s">
        <v>1229</v>
      </c>
    </row>
    <row r="892" spans="1:6" x14ac:dyDescent="0.55000000000000004">
      <c r="A892" s="6">
        <v>7.6031945168167496E+18</v>
      </c>
      <c r="B892">
        <v>5</v>
      </c>
      <c r="C892">
        <v>1</v>
      </c>
      <c r="D892">
        <v>1</v>
      </c>
      <c r="E892">
        <v>511</v>
      </c>
      <c r="F892" t="s">
        <v>1228</v>
      </c>
    </row>
    <row r="893" spans="1:6" x14ac:dyDescent="0.55000000000000004">
      <c r="A893" s="6">
        <v>7.6043741143239148E+18</v>
      </c>
      <c r="B893">
        <v>3</v>
      </c>
      <c r="C893">
        <v>1</v>
      </c>
      <c r="D893">
        <v>2</v>
      </c>
      <c r="E893">
        <v>312</v>
      </c>
      <c r="F893" t="s">
        <v>1233</v>
      </c>
    </row>
    <row r="894" spans="1:6" x14ac:dyDescent="0.55000000000000004">
      <c r="A894" s="6">
        <v>7.6067031389727324E+18</v>
      </c>
      <c r="B894">
        <v>5</v>
      </c>
      <c r="C894">
        <v>2</v>
      </c>
      <c r="D894">
        <v>3</v>
      </c>
      <c r="E894">
        <v>523</v>
      </c>
      <c r="F894" t="s">
        <v>1229</v>
      </c>
    </row>
    <row r="895" spans="1:6" x14ac:dyDescent="0.55000000000000004">
      <c r="A895" s="6">
        <v>7.6079480927465441E+18</v>
      </c>
      <c r="B895">
        <v>2</v>
      </c>
      <c r="C895">
        <v>3</v>
      </c>
      <c r="D895">
        <v>2</v>
      </c>
      <c r="E895">
        <v>232</v>
      </c>
      <c r="F895" t="s">
        <v>1231</v>
      </c>
    </row>
    <row r="896" spans="1:6" x14ac:dyDescent="0.55000000000000004">
      <c r="A896" s="6">
        <v>7.623556224936533E+18</v>
      </c>
      <c r="B896">
        <v>4</v>
      </c>
      <c r="C896">
        <v>1</v>
      </c>
      <c r="D896">
        <v>1</v>
      </c>
      <c r="E896">
        <v>411</v>
      </c>
      <c r="F896" t="s">
        <v>1233</v>
      </c>
    </row>
    <row r="897" spans="1:6" x14ac:dyDescent="0.55000000000000004">
      <c r="A897" s="6">
        <v>7.6447940778799524E+18</v>
      </c>
      <c r="B897">
        <v>4</v>
      </c>
      <c r="C897">
        <v>1</v>
      </c>
      <c r="D897">
        <v>1</v>
      </c>
      <c r="E897">
        <v>411</v>
      </c>
      <c r="F897" t="s">
        <v>1233</v>
      </c>
    </row>
    <row r="898" spans="1:6" x14ac:dyDescent="0.55000000000000004">
      <c r="A898" s="6">
        <v>7.6501057150357299E+18</v>
      </c>
      <c r="B898">
        <v>5</v>
      </c>
      <c r="C898">
        <v>3</v>
      </c>
      <c r="D898">
        <v>3</v>
      </c>
      <c r="E898">
        <v>533</v>
      </c>
      <c r="F898" t="s">
        <v>1230</v>
      </c>
    </row>
    <row r="899" spans="1:6" x14ac:dyDescent="0.55000000000000004">
      <c r="A899" s="6">
        <v>7.6836926941930506E+18</v>
      </c>
      <c r="B899">
        <v>4</v>
      </c>
      <c r="C899">
        <v>1</v>
      </c>
      <c r="D899">
        <v>2</v>
      </c>
      <c r="E899">
        <v>412</v>
      </c>
      <c r="F899" t="s">
        <v>1233</v>
      </c>
    </row>
    <row r="900" spans="1:6" x14ac:dyDescent="0.55000000000000004">
      <c r="A900" s="6">
        <v>7.7073247974372588E+18</v>
      </c>
      <c r="B900">
        <v>1</v>
      </c>
      <c r="C900">
        <v>1</v>
      </c>
      <c r="D900">
        <v>3</v>
      </c>
      <c r="E900">
        <v>113</v>
      </c>
      <c r="F900" t="s">
        <v>1234</v>
      </c>
    </row>
    <row r="901" spans="1:6" x14ac:dyDescent="0.55000000000000004">
      <c r="A901" s="6">
        <v>7.7153040180102728E+18</v>
      </c>
      <c r="B901">
        <v>4</v>
      </c>
      <c r="C901">
        <v>1</v>
      </c>
      <c r="D901">
        <v>1</v>
      </c>
      <c r="E901">
        <v>411</v>
      </c>
      <c r="F901" t="s">
        <v>1233</v>
      </c>
    </row>
    <row r="902" spans="1:6" x14ac:dyDescent="0.55000000000000004">
      <c r="A902" s="6">
        <v>7.7337721717866086E+18</v>
      </c>
      <c r="B902">
        <v>5</v>
      </c>
      <c r="C902">
        <v>2</v>
      </c>
      <c r="D902">
        <v>3</v>
      </c>
      <c r="E902">
        <v>523</v>
      </c>
      <c r="F902" t="s">
        <v>1229</v>
      </c>
    </row>
    <row r="903" spans="1:6" x14ac:dyDescent="0.55000000000000004">
      <c r="A903" s="6">
        <v>7.75064530770462E+18</v>
      </c>
      <c r="B903">
        <v>5</v>
      </c>
      <c r="C903">
        <v>1</v>
      </c>
      <c r="D903">
        <v>1</v>
      </c>
      <c r="E903">
        <v>511</v>
      </c>
      <c r="F903" t="s">
        <v>1228</v>
      </c>
    </row>
    <row r="904" spans="1:6" x14ac:dyDescent="0.55000000000000004">
      <c r="A904" s="6">
        <v>7.7537419316894781E+18</v>
      </c>
      <c r="B904">
        <v>5</v>
      </c>
      <c r="C904">
        <v>1</v>
      </c>
      <c r="D904">
        <v>2</v>
      </c>
      <c r="E904">
        <v>512</v>
      </c>
      <c r="F904" t="s">
        <v>1228</v>
      </c>
    </row>
    <row r="905" spans="1:6" x14ac:dyDescent="0.55000000000000004">
      <c r="A905" s="6">
        <v>7.7611629578833347E+18</v>
      </c>
      <c r="B905">
        <v>5</v>
      </c>
      <c r="C905">
        <v>1</v>
      </c>
      <c r="D905">
        <v>1</v>
      </c>
      <c r="E905">
        <v>511</v>
      </c>
      <c r="F905" t="s">
        <v>1228</v>
      </c>
    </row>
    <row r="906" spans="1:6" x14ac:dyDescent="0.55000000000000004">
      <c r="A906" s="6">
        <v>7.7811236904721183E+18</v>
      </c>
      <c r="B906">
        <v>3</v>
      </c>
      <c r="C906">
        <v>1</v>
      </c>
      <c r="D906">
        <v>2</v>
      </c>
      <c r="E906">
        <v>312</v>
      </c>
      <c r="F906" t="s">
        <v>1233</v>
      </c>
    </row>
    <row r="907" spans="1:6" x14ac:dyDescent="0.55000000000000004">
      <c r="A907" s="6">
        <v>7.7811365990850867E+18</v>
      </c>
      <c r="B907">
        <v>5</v>
      </c>
      <c r="C907">
        <v>2</v>
      </c>
      <c r="D907">
        <v>2</v>
      </c>
      <c r="E907">
        <v>522</v>
      </c>
      <c r="F907" t="s">
        <v>1229</v>
      </c>
    </row>
    <row r="908" spans="1:6" x14ac:dyDescent="0.55000000000000004">
      <c r="A908" s="6">
        <v>7.7831631543123999E+18</v>
      </c>
      <c r="B908">
        <v>1</v>
      </c>
      <c r="C908">
        <v>1</v>
      </c>
      <c r="D908">
        <v>1</v>
      </c>
      <c r="E908">
        <v>111</v>
      </c>
      <c r="F908" t="s">
        <v>1234</v>
      </c>
    </row>
    <row r="909" spans="1:6" x14ac:dyDescent="0.55000000000000004">
      <c r="A909" s="6">
        <v>7.7927665970016543E+18</v>
      </c>
      <c r="B909">
        <v>4</v>
      </c>
      <c r="C909">
        <v>1</v>
      </c>
      <c r="D909">
        <v>1</v>
      </c>
      <c r="E909">
        <v>411</v>
      </c>
      <c r="F909" t="s">
        <v>1233</v>
      </c>
    </row>
    <row r="910" spans="1:6" x14ac:dyDescent="0.55000000000000004">
      <c r="A910" s="6">
        <v>7.8378446372614328E+18</v>
      </c>
      <c r="B910">
        <v>1</v>
      </c>
      <c r="C910">
        <v>1</v>
      </c>
      <c r="D910">
        <v>1</v>
      </c>
      <c r="E910">
        <v>111</v>
      </c>
      <c r="F910" t="s">
        <v>1234</v>
      </c>
    </row>
    <row r="911" spans="1:6" x14ac:dyDescent="0.55000000000000004">
      <c r="A911" s="6">
        <v>7.8456795297527828E+18</v>
      </c>
      <c r="B911">
        <v>3</v>
      </c>
      <c r="C911">
        <v>1</v>
      </c>
      <c r="D911">
        <v>1</v>
      </c>
      <c r="E911">
        <v>311</v>
      </c>
      <c r="F911" t="s">
        <v>1233</v>
      </c>
    </row>
    <row r="912" spans="1:6" x14ac:dyDescent="0.55000000000000004">
      <c r="A912" s="6">
        <v>7.8543839468531302E+18</v>
      </c>
      <c r="B912">
        <v>2</v>
      </c>
      <c r="C912">
        <v>1</v>
      </c>
      <c r="D912">
        <v>3</v>
      </c>
      <c r="E912">
        <v>213</v>
      </c>
      <c r="F912" t="s">
        <v>1234</v>
      </c>
    </row>
    <row r="913" spans="1:6" x14ac:dyDescent="0.55000000000000004">
      <c r="A913" s="6">
        <v>7.8606803589434409E+18</v>
      </c>
      <c r="B913">
        <v>4</v>
      </c>
      <c r="C913">
        <v>1</v>
      </c>
      <c r="D913">
        <v>2</v>
      </c>
      <c r="E913">
        <v>412</v>
      </c>
      <c r="F913" t="s">
        <v>1233</v>
      </c>
    </row>
    <row r="914" spans="1:6" x14ac:dyDescent="0.55000000000000004">
      <c r="A914" s="6">
        <v>7.8708096775665695E+18</v>
      </c>
      <c r="B914">
        <v>3</v>
      </c>
      <c r="C914">
        <v>1</v>
      </c>
      <c r="D914">
        <v>2</v>
      </c>
      <c r="E914">
        <v>312</v>
      </c>
      <c r="F914" t="s">
        <v>1233</v>
      </c>
    </row>
    <row r="915" spans="1:6" x14ac:dyDescent="0.55000000000000004">
      <c r="A915" s="6">
        <v>7.8829897884774124E+18</v>
      </c>
      <c r="B915">
        <v>4</v>
      </c>
      <c r="C915">
        <v>1</v>
      </c>
      <c r="D915">
        <v>2</v>
      </c>
      <c r="E915">
        <v>412</v>
      </c>
      <c r="F915" t="s">
        <v>1233</v>
      </c>
    </row>
    <row r="916" spans="1:6" x14ac:dyDescent="0.55000000000000004">
      <c r="A916" s="6">
        <v>7.8934903852824699E+18</v>
      </c>
      <c r="B916">
        <v>3</v>
      </c>
      <c r="C916">
        <v>1</v>
      </c>
      <c r="D916">
        <v>1</v>
      </c>
      <c r="E916">
        <v>311</v>
      </c>
      <c r="F916" t="s">
        <v>1233</v>
      </c>
    </row>
    <row r="917" spans="1:6" x14ac:dyDescent="0.55000000000000004">
      <c r="A917" s="6">
        <v>7.9106735790695045E+18</v>
      </c>
      <c r="B917">
        <v>1</v>
      </c>
      <c r="C917">
        <v>1</v>
      </c>
      <c r="D917">
        <v>1</v>
      </c>
      <c r="E917">
        <v>111</v>
      </c>
      <c r="F917" t="s">
        <v>1234</v>
      </c>
    </row>
    <row r="918" spans="1:6" x14ac:dyDescent="0.55000000000000004">
      <c r="A918" s="6">
        <v>7.9157190197164687E+18</v>
      </c>
      <c r="B918">
        <v>2</v>
      </c>
      <c r="C918">
        <v>1</v>
      </c>
      <c r="D918">
        <v>1</v>
      </c>
      <c r="E918">
        <v>211</v>
      </c>
      <c r="F918" t="s">
        <v>1234</v>
      </c>
    </row>
    <row r="919" spans="1:6" x14ac:dyDescent="0.55000000000000004">
      <c r="A919" s="6">
        <v>7.9294584105126963E+18</v>
      </c>
      <c r="B919">
        <v>4</v>
      </c>
      <c r="C919">
        <v>2</v>
      </c>
      <c r="D919">
        <v>3</v>
      </c>
      <c r="E919">
        <v>423</v>
      </c>
      <c r="F919" t="s">
        <v>1229</v>
      </c>
    </row>
    <row r="920" spans="1:6" x14ac:dyDescent="0.55000000000000004">
      <c r="A920" s="6">
        <v>7.9305751184416246E+18</v>
      </c>
      <c r="B920">
        <v>2</v>
      </c>
      <c r="C920">
        <v>1</v>
      </c>
      <c r="D920">
        <v>3</v>
      </c>
      <c r="E920">
        <v>213</v>
      </c>
      <c r="F920" t="s">
        <v>1234</v>
      </c>
    </row>
    <row r="921" spans="1:6" x14ac:dyDescent="0.55000000000000004">
      <c r="A921" s="6">
        <v>7.9385571810270147E+18</v>
      </c>
      <c r="B921">
        <v>5</v>
      </c>
      <c r="C921">
        <v>1</v>
      </c>
      <c r="D921">
        <v>2</v>
      </c>
      <c r="E921">
        <v>512</v>
      </c>
      <c r="F921" t="s">
        <v>1228</v>
      </c>
    </row>
    <row r="922" spans="1:6" x14ac:dyDescent="0.55000000000000004">
      <c r="A922" s="6">
        <v>7.9386051659455212E+18</v>
      </c>
      <c r="B922">
        <v>5</v>
      </c>
      <c r="C922">
        <v>3</v>
      </c>
      <c r="D922">
        <v>3</v>
      </c>
      <c r="E922">
        <v>533</v>
      </c>
      <c r="F922" t="s">
        <v>1230</v>
      </c>
    </row>
    <row r="923" spans="1:6" x14ac:dyDescent="0.55000000000000004">
      <c r="A923" s="6">
        <v>7.9496410067358515E+18</v>
      </c>
      <c r="B923">
        <v>5</v>
      </c>
      <c r="C923">
        <v>1</v>
      </c>
      <c r="D923">
        <v>2</v>
      </c>
      <c r="E923">
        <v>512</v>
      </c>
      <c r="F923" t="s">
        <v>1228</v>
      </c>
    </row>
    <row r="924" spans="1:6" x14ac:dyDescent="0.55000000000000004">
      <c r="A924" s="6">
        <v>7.9604283635286159E+18</v>
      </c>
      <c r="B924">
        <v>5</v>
      </c>
      <c r="C924">
        <v>3</v>
      </c>
      <c r="D924">
        <v>2</v>
      </c>
      <c r="E924">
        <v>532</v>
      </c>
      <c r="F924" t="s">
        <v>1230</v>
      </c>
    </row>
    <row r="925" spans="1:6" x14ac:dyDescent="0.55000000000000004">
      <c r="A925" s="6">
        <v>7.9630113413524603E+18</v>
      </c>
      <c r="B925">
        <v>3</v>
      </c>
      <c r="C925">
        <v>2</v>
      </c>
      <c r="D925">
        <v>3</v>
      </c>
      <c r="E925">
        <v>323</v>
      </c>
      <c r="F925" t="s">
        <v>1233</v>
      </c>
    </row>
    <row r="926" spans="1:6" x14ac:dyDescent="0.55000000000000004">
      <c r="A926" s="6">
        <v>7.9655924195363287E+18</v>
      </c>
      <c r="B926">
        <v>5</v>
      </c>
      <c r="C926">
        <v>2</v>
      </c>
      <c r="D926">
        <v>3</v>
      </c>
      <c r="E926">
        <v>523</v>
      </c>
      <c r="F926" t="s">
        <v>1229</v>
      </c>
    </row>
    <row r="927" spans="1:6" x14ac:dyDescent="0.55000000000000004">
      <c r="A927" s="6">
        <v>7.9836248139405363E+18</v>
      </c>
      <c r="B927">
        <v>5</v>
      </c>
      <c r="C927">
        <v>2</v>
      </c>
      <c r="D927">
        <v>2</v>
      </c>
      <c r="E927">
        <v>522</v>
      </c>
      <c r="F927" t="s">
        <v>1229</v>
      </c>
    </row>
    <row r="928" spans="1:6" x14ac:dyDescent="0.55000000000000004">
      <c r="A928" s="6">
        <v>7.9924859963053251E+18</v>
      </c>
      <c r="B928">
        <v>5</v>
      </c>
      <c r="C928">
        <v>1</v>
      </c>
      <c r="D928">
        <v>1</v>
      </c>
      <c r="E928">
        <v>511</v>
      </c>
      <c r="F928" t="s">
        <v>1228</v>
      </c>
    </row>
    <row r="929" spans="1:6" x14ac:dyDescent="0.55000000000000004">
      <c r="A929" s="6">
        <v>8.001179516476544E+18</v>
      </c>
      <c r="B929">
        <v>1</v>
      </c>
      <c r="C929">
        <v>1</v>
      </c>
      <c r="D929">
        <v>1</v>
      </c>
      <c r="E929">
        <v>111</v>
      </c>
      <c r="F929" t="s">
        <v>1234</v>
      </c>
    </row>
    <row r="930" spans="1:6" x14ac:dyDescent="0.55000000000000004">
      <c r="A930" s="6">
        <v>8.0070065705883238E+18</v>
      </c>
      <c r="B930">
        <v>2</v>
      </c>
      <c r="C930">
        <v>1</v>
      </c>
      <c r="D930">
        <v>1</v>
      </c>
      <c r="E930">
        <v>211</v>
      </c>
      <c r="F930" t="s">
        <v>1234</v>
      </c>
    </row>
    <row r="931" spans="1:6" x14ac:dyDescent="0.55000000000000004">
      <c r="A931" s="6">
        <v>8.012821087019391E+18</v>
      </c>
      <c r="B931">
        <v>4</v>
      </c>
      <c r="C931">
        <v>2</v>
      </c>
      <c r="D931">
        <v>2</v>
      </c>
      <c r="E931">
        <v>422</v>
      </c>
      <c r="F931" t="s">
        <v>1229</v>
      </c>
    </row>
    <row r="932" spans="1:6" x14ac:dyDescent="0.55000000000000004">
      <c r="A932" s="6">
        <v>8.0129491002368553E+18</v>
      </c>
      <c r="B932">
        <v>1</v>
      </c>
      <c r="C932">
        <v>1</v>
      </c>
      <c r="D932">
        <v>2</v>
      </c>
      <c r="E932">
        <v>112</v>
      </c>
      <c r="F932" t="s">
        <v>1234</v>
      </c>
    </row>
    <row r="933" spans="1:6" x14ac:dyDescent="0.55000000000000004">
      <c r="A933" s="6">
        <v>8.0188609024188938E+18</v>
      </c>
      <c r="B933">
        <v>4</v>
      </c>
      <c r="C933">
        <v>1</v>
      </c>
      <c r="D933">
        <v>3</v>
      </c>
      <c r="E933">
        <v>413</v>
      </c>
      <c r="F933" t="s">
        <v>1233</v>
      </c>
    </row>
    <row r="934" spans="1:6" x14ac:dyDescent="0.55000000000000004">
      <c r="A934" s="6">
        <v>8.0284079268959212E+18</v>
      </c>
      <c r="B934">
        <v>2</v>
      </c>
      <c r="C934">
        <v>1</v>
      </c>
      <c r="D934">
        <v>1</v>
      </c>
      <c r="E934">
        <v>211</v>
      </c>
      <c r="F934" t="s">
        <v>1234</v>
      </c>
    </row>
    <row r="935" spans="1:6" x14ac:dyDescent="0.55000000000000004">
      <c r="A935" s="6">
        <v>8.0305918599695565E+18</v>
      </c>
      <c r="B935">
        <v>5</v>
      </c>
      <c r="C935">
        <v>2</v>
      </c>
      <c r="D935">
        <v>2</v>
      </c>
      <c r="E935">
        <v>522</v>
      </c>
      <c r="F935" t="s">
        <v>1229</v>
      </c>
    </row>
    <row r="936" spans="1:6" x14ac:dyDescent="0.55000000000000004">
      <c r="A936" s="6">
        <v>8.0382032923282616E+18</v>
      </c>
      <c r="B936">
        <v>3</v>
      </c>
      <c r="C936">
        <v>1</v>
      </c>
      <c r="D936">
        <v>2</v>
      </c>
      <c r="E936">
        <v>312</v>
      </c>
      <c r="F936" t="s">
        <v>1233</v>
      </c>
    </row>
    <row r="937" spans="1:6" x14ac:dyDescent="0.55000000000000004">
      <c r="A937" s="6">
        <v>8.0393233094696724E+18</v>
      </c>
      <c r="B937">
        <v>4</v>
      </c>
      <c r="C937">
        <v>1</v>
      </c>
      <c r="D937">
        <v>2</v>
      </c>
      <c r="E937">
        <v>412</v>
      </c>
      <c r="F937" t="s">
        <v>1233</v>
      </c>
    </row>
    <row r="938" spans="1:6" x14ac:dyDescent="0.55000000000000004">
      <c r="A938" s="6">
        <v>8.0400317019907297E+18</v>
      </c>
      <c r="B938">
        <v>5</v>
      </c>
      <c r="C938">
        <v>2</v>
      </c>
      <c r="D938">
        <v>3</v>
      </c>
      <c r="E938">
        <v>523</v>
      </c>
      <c r="F938" t="s">
        <v>1229</v>
      </c>
    </row>
    <row r="939" spans="1:6" x14ac:dyDescent="0.55000000000000004">
      <c r="A939" s="6">
        <v>8.0737938358047109E+18</v>
      </c>
      <c r="B939">
        <v>4</v>
      </c>
      <c r="C939">
        <v>2</v>
      </c>
      <c r="D939">
        <v>3</v>
      </c>
      <c r="E939">
        <v>423</v>
      </c>
      <c r="F939" t="s">
        <v>1229</v>
      </c>
    </row>
    <row r="940" spans="1:6" x14ac:dyDescent="0.55000000000000004">
      <c r="A940" s="6">
        <v>8.076829276577236E+18</v>
      </c>
      <c r="B940">
        <v>4</v>
      </c>
      <c r="C940">
        <v>1</v>
      </c>
      <c r="D940">
        <v>3</v>
      </c>
      <c r="E940">
        <v>413</v>
      </c>
      <c r="F940" t="s">
        <v>1233</v>
      </c>
    </row>
    <row r="941" spans="1:6" x14ac:dyDescent="0.55000000000000004">
      <c r="A941" s="6">
        <v>8.084749895325399E+18</v>
      </c>
      <c r="B941">
        <v>1</v>
      </c>
      <c r="C941">
        <v>1</v>
      </c>
      <c r="D941">
        <v>2</v>
      </c>
      <c r="E941">
        <v>112</v>
      </c>
      <c r="F941" t="s">
        <v>1234</v>
      </c>
    </row>
    <row r="942" spans="1:6" x14ac:dyDescent="0.55000000000000004">
      <c r="A942" s="6">
        <v>8.1026168591445023E+18</v>
      </c>
      <c r="B942">
        <v>5</v>
      </c>
      <c r="C942">
        <v>3</v>
      </c>
      <c r="D942">
        <v>3</v>
      </c>
      <c r="E942">
        <v>533</v>
      </c>
      <c r="F942" t="s">
        <v>1230</v>
      </c>
    </row>
    <row r="943" spans="1:6" x14ac:dyDescent="0.55000000000000004">
      <c r="A943" s="6">
        <v>8.1358042860853842E+18</v>
      </c>
      <c r="B943">
        <v>4</v>
      </c>
      <c r="C943">
        <v>1</v>
      </c>
      <c r="D943">
        <v>2</v>
      </c>
      <c r="E943">
        <v>412</v>
      </c>
      <c r="F943" t="s">
        <v>1233</v>
      </c>
    </row>
    <row r="944" spans="1:6" x14ac:dyDescent="0.55000000000000004">
      <c r="A944" s="6">
        <v>8.1566095224349348E+18</v>
      </c>
      <c r="B944">
        <v>5</v>
      </c>
      <c r="C944">
        <v>2</v>
      </c>
      <c r="D944">
        <v>3</v>
      </c>
      <c r="E944">
        <v>523</v>
      </c>
      <c r="F944" t="s">
        <v>1229</v>
      </c>
    </row>
    <row r="945" spans="1:6" x14ac:dyDescent="0.55000000000000004">
      <c r="A945" s="6">
        <v>8.1668287347197952E+18</v>
      </c>
      <c r="B945">
        <v>4</v>
      </c>
      <c r="C945">
        <v>1</v>
      </c>
      <c r="D945">
        <v>1</v>
      </c>
      <c r="E945">
        <v>411</v>
      </c>
      <c r="F945" t="s">
        <v>1233</v>
      </c>
    </row>
    <row r="946" spans="1:6" x14ac:dyDescent="0.55000000000000004">
      <c r="A946" s="6">
        <v>8.1715804350956923E+18</v>
      </c>
      <c r="B946">
        <v>4</v>
      </c>
      <c r="C946">
        <v>1</v>
      </c>
      <c r="D946">
        <v>3</v>
      </c>
      <c r="E946">
        <v>413</v>
      </c>
      <c r="F946" t="s">
        <v>1233</v>
      </c>
    </row>
    <row r="947" spans="1:6" x14ac:dyDescent="0.55000000000000004">
      <c r="A947" s="6">
        <v>8.1829330409292186E+18</v>
      </c>
      <c r="B947">
        <v>5</v>
      </c>
      <c r="C947">
        <v>1</v>
      </c>
      <c r="D947">
        <v>1</v>
      </c>
      <c r="E947">
        <v>511</v>
      </c>
      <c r="F947" t="s">
        <v>1228</v>
      </c>
    </row>
    <row r="948" spans="1:6" x14ac:dyDescent="0.55000000000000004">
      <c r="A948" s="6">
        <v>8.1866868172181187E+18</v>
      </c>
      <c r="B948">
        <v>2</v>
      </c>
      <c r="C948">
        <v>2</v>
      </c>
      <c r="D948">
        <v>3</v>
      </c>
      <c r="E948">
        <v>223</v>
      </c>
      <c r="F948" t="s">
        <v>1234</v>
      </c>
    </row>
    <row r="949" spans="1:6" x14ac:dyDescent="0.55000000000000004">
      <c r="A949" s="6">
        <v>8.196912481423874E+18</v>
      </c>
      <c r="B949">
        <v>4</v>
      </c>
      <c r="C949">
        <v>2</v>
      </c>
      <c r="D949">
        <v>3</v>
      </c>
      <c r="E949">
        <v>423</v>
      </c>
      <c r="F949" t="s">
        <v>1229</v>
      </c>
    </row>
    <row r="950" spans="1:6" x14ac:dyDescent="0.55000000000000004">
      <c r="A950" s="6">
        <v>8.2150272856721132E+18</v>
      </c>
      <c r="B950">
        <v>4</v>
      </c>
      <c r="C950">
        <v>1</v>
      </c>
      <c r="D950">
        <v>2</v>
      </c>
      <c r="E950">
        <v>412</v>
      </c>
      <c r="F950" t="s">
        <v>1233</v>
      </c>
    </row>
    <row r="951" spans="1:6" x14ac:dyDescent="0.55000000000000004">
      <c r="A951" s="6">
        <v>8.2387452162546698E+18</v>
      </c>
      <c r="B951">
        <v>3</v>
      </c>
      <c r="C951">
        <v>1</v>
      </c>
      <c r="D951">
        <v>1</v>
      </c>
      <c r="E951">
        <v>311</v>
      </c>
      <c r="F951" t="s">
        <v>1233</v>
      </c>
    </row>
    <row r="952" spans="1:6" x14ac:dyDescent="0.55000000000000004">
      <c r="A952" s="6">
        <v>8.2526436168957706E+18</v>
      </c>
      <c r="B952">
        <v>4</v>
      </c>
      <c r="C952">
        <v>1</v>
      </c>
      <c r="D952">
        <v>3</v>
      </c>
      <c r="E952">
        <v>413</v>
      </c>
      <c r="F952" t="s">
        <v>1233</v>
      </c>
    </row>
    <row r="953" spans="1:6" x14ac:dyDescent="0.55000000000000004">
      <c r="A953" s="6">
        <v>8.2552264909253601E+18</v>
      </c>
      <c r="B953">
        <v>5</v>
      </c>
      <c r="C953">
        <v>1</v>
      </c>
      <c r="D953">
        <v>1</v>
      </c>
      <c r="E953">
        <v>511</v>
      </c>
      <c r="F953" t="s">
        <v>1228</v>
      </c>
    </row>
    <row r="954" spans="1:6" x14ac:dyDescent="0.55000000000000004">
      <c r="A954" s="6">
        <v>8.2607926074224865E+18</v>
      </c>
      <c r="B954">
        <v>5</v>
      </c>
      <c r="C954">
        <v>1</v>
      </c>
      <c r="D954">
        <v>2</v>
      </c>
      <c r="E954">
        <v>512</v>
      </c>
      <c r="F954" t="s">
        <v>1228</v>
      </c>
    </row>
    <row r="955" spans="1:6" x14ac:dyDescent="0.55000000000000004">
      <c r="A955" s="6">
        <v>8.2788082138379418E+18</v>
      </c>
      <c r="B955">
        <v>5</v>
      </c>
      <c r="C955">
        <v>3</v>
      </c>
      <c r="D955">
        <v>3</v>
      </c>
      <c r="E955">
        <v>533</v>
      </c>
      <c r="F955" t="s">
        <v>1230</v>
      </c>
    </row>
    <row r="956" spans="1:6" x14ac:dyDescent="0.55000000000000004">
      <c r="A956" s="6">
        <v>8.2940122123659622E+18</v>
      </c>
      <c r="B956">
        <v>4</v>
      </c>
      <c r="C956">
        <v>2</v>
      </c>
      <c r="D956">
        <v>3</v>
      </c>
      <c r="E956">
        <v>423</v>
      </c>
      <c r="F956" t="s">
        <v>1229</v>
      </c>
    </row>
    <row r="957" spans="1:6" x14ac:dyDescent="0.55000000000000004">
      <c r="A957" s="6">
        <v>8.2988321104194744E+18</v>
      </c>
      <c r="B957">
        <v>4</v>
      </c>
      <c r="C957">
        <v>2</v>
      </c>
      <c r="D957">
        <v>3</v>
      </c>
      <c r="E957">
        <v>423</v>
      </c>
      <c r="F957" t="s">
        <v>1229</v>
      </c>
    </row>
    <row r="958" spans="1:6" x14ac:dyDescent="0.55000000000000004">
      <c r="A958" s="6">
        <v>8.3047703636024269E+18</v>
      </c>
      <c r="B958">
        <v>5</v>
      </c>
      <c r="C958">
        <v>2</v>
      </c>
      <c r="D958">
        <v>2</v>
      </c>
      <c r="E958">
        <v>522</v>
      </c>
      <c r="F958" t="s">
        <v>1229</v>
      </c>
    </row>
    <row r="959" spans="1:6" x14ac:dyDescent="0.55000000000000004">
      <c r="A959" s="6">
        <v>8.3220998613881928E+18</v>
      </c>
      <c r="B959">
        <v>4</v>
      </c>
      <c r="C959">
        <v>1</v>
      </c>
      <c r="D959">
        <v>3</v>
      </c>
      <c r="E959">
        <v>413</v>
      </c>
      <c r="F959" t="s">
        <v>1233</v>
      </c>
    </row>
    <row r="960" spans="1:6" x14ac:dyDescent="0.55000000000000004">
      <c r="A960" s="6">
        <v>8.3318844834548122E+18</v>
      </c>
      <c r="B960">
        <v>4</v>
      </c>
      <c r="C960">
        <v>1</v>
      </c>
      <c r="D960">
        <v>3</v>
      </c>
      <c r="E960">
        <v>413</v>
      </c>
      <c r="F960" t="s">
        <v>1233</v>
      </c>
    </row>
    <row r="961" spans="1:6" x14ac:dyDescent="0.55000000000000004">
      <c r="A961" s="6">
        <v>8.3416183814785341E+18</v>
      </c>
      <c r="B961">
        <v>5</v>
      </c>
      <c r="C961">
        <v>1</v>
      </c>
      <c r="D961">
        <v>3</v>
      </c>
      <c r="E961">
        <v>513</v>
      </c>
      <c r="F961" t="s">
        <v>1228</v>
      </c>
    </row>
    <row r="962" spans="1:6" x14ac:dyDescent="0.55000000000000004">
      <c r="A962" s="6">
        <v>8.3484161509307187E+18</v>
      </c>
      <c r="B962">
        <v>3</v>
      </c>
      <c r="C962">
        <v>1</v>
      </c>
      <c r="D962">
        <v>3</v>
      </c>
      <c r="E962">
        <v>313</v>
      </c>
      <c r="F962" t="s">
        <v>1233</v>
      </c>
    </row>
    <row r="963" spans="1:6" x14ac:dyDescent="0.55000000000000004">
      <c r="A963" s="6">
        <v>8.3570881292050012E+18</v>
      </c>
      <c r="B963">
        <v>4</v>
      </c>
      <c r="C963">
        <v>1</v>
      </c>
      <c r="D963">
        <v>3</v>
      </c>
      <c r="E963">
        <v>413</v>
      </c>
      <c r="F963" t="s">
        <v>1233</v>
      </c>
    </row>
    <row r="964" spans="1:6" x14ac:dyDescent="0.55000000000000004">
      <c r="A964" s="6">
        <v>8.3705728870820383E+18</v>
      </c>
      <c r="B964">
        <v>5</v>
      </c>
      <c r="C964">
        <v>2</v>
      </c>
      <c r="D964">
        <v>2</v>
      </c>
      <c r="E964">
        <v>522</v>
      </c>
      <c r="F964" t="s">
        <v>1229</v>
      </c>
    </row>
    <row r="965" spans="1:6" x14ac:dyDescent="0.55000000000000004">
      <c r="A965" s="6">
        <v>8.3708087912053862E+18</v>
      </c>
      <c r="B965">
        <v>5</v>
      </c>
      <c r="C965">
        <v>3</v>
      </c>
      <c r="D965">
        <v>3</v>
      </c>
      <c r="E965">
        <v>533</v>
      </c>
      <c r="F965" t="s">
        <v>1230</v>
      </c>
    </row>
    <row r="966" spans="1:6" x14ac:dyDescent="0.55000000000000004">
      <c r="A966" s="6">
        <v>8.3761788875651021E+18</v>
      </c>
      <c r="B966">
        <v>3</v>
      </c>
      <c r="C966">
        <v>1</v>
      </c>
      <c r="D966">
        <v>2</v>
      </c>
      <c r="E966">
        <v>312</v>
      </c>
      <c r="F966" t="s">
        <v>1233</v>
      </c>
    </row>
    <row r="967" spans="1:6" x14ac:dyDescent="0.55000000000000004">
      <c r="A967" s="6">
        <v>8.3774731282470246E+18</v>
      </c>
      <c r="B967">
        <v>5</v>
      </c>
      <c r="C967">
        <v>2</v>
      </c>
      <c r="D967">
        <v>3</v>
      </c>
      <c r="E967">
        <v>523</v>
      </c>
      <c r="F967" t="s">
        <v>1229</v>
      </c>
    </row>
    <row r="968" spans="1:6" x14ac:dyDescent="0.55000000000000004">
      <c r="A968" s="6">
        <v>8.4018263479148943E+18</v>
      </c>
      <c r="B968">
        <v>3</v>
      </c>
      <c r="C968">
        <v>2</v>
      </c>
      <c r="D968">
        <v>3</v>
      </c>
      <c r="E968">
        <v>323</v>
      </c>
      <c r="F968" t="s">
        <v>1233</v>
      </c>
    </row>
    <row r="969" spans="1:6" x14ac:dyDescent="0.55000000000000004">
      <c r="A969" s="6">
        <v>8.4138462489579254E+18</v>
      </c>
      <c r="B969">
        <v>4</v>
      </c>
      <c r="C969">
        <v>1</v>
      </c>
      <c r="D969">
        <v>2</v>
      </c>
      <c r="E969">
        <v>412</v>
      </c>
      <c r="F969" t="s">
        <v>1233</v>
      </c>
    </row>
    <row r="970" spans="1:6" x14ac:dyDescent="0.55000000000000004">
      <c r="A970" s="6">
        <v>8.4172921343653243E+18</v>
      </c>
      <c r="B970">
        <v>4</v>
      </c>
      <c r="C970">
        <v>1</v>
      </c>
      <c r="D970">
        <v>1</v>
      </c>
      <c r="E970">
        <v>411</v>
      </c>
      <c r="F970" t="s">
        <v>1233</v>
      </c>
    </row>
    <row r="971" spans="1:6" x14ac:dyDescent="0.55000000000000004">
      <c r="A971" s="6">
        <v>8.4191455298429901E+18</v>
      </c>
      <c r="B971">
        <v>2</v>
      </c>
      <c r="C971">
        <v>1</v>
      </c>
      <c r="D971">
        <v>1</v>
      </c>
      <c r="E971">
        <v>211</v>
      </c>
      <c r="F971" t="s">
        <v>1234</v>
      </c>
    </row>
    <row r="972" spans="1:6" x14ac:dyDescent="0.55000000000000004">
      <c r="A972" s="6">
        <v>8.4364873104592026E+18</v>
      </c>
      <c r="B972">
        <v>5</v>
      </c>
      <c r="C972">
        <v>1</v>
      </c>
      <c r="D972">
        <v>2</v>
      </c>
      <c r="E972">
        <v>512</v>
      </c>
      <c r="F972" t="s">
        <v>1228</v>
      </c>
    </row>
    <row r="973" spans="1:6" x14ac:dyDescent="0.55000000000000004">
      <c r="A973" s="6">
        <v>8.4465724405097103E+18</v>
      </c>
      <c r="B973">
        <v>4</v>
      </c>
      <c r="C973">
        <v>2</v>
      </c>
      <c r="D973">
        <v>3</v>
      </c>
      <c r="E973">
        <v>423</v>
      </c>
      <c r="F973" t="s">
        <v>1229</v>
      </c>
    </row>
    <row r="974" spans="1:6" x14ac:dyDescent="0.55000000000000004">
      <c r="A974" s="6">
        <v>8.4499611551842959E+18</v>
      </c>
      <c r="B974">
        <v>3</v>
      </c>
      <c r="C974">
        <v>1</v>
      </c>
      <c r="D974">
        <v>3</v>
      </c>
      <c r="E974">
        <v>313</v>
      </c>
      <c r="F974" t="s">
        <v>1233</v>
      </c>
    </row>
    <row r="975" spans="1:6" x14ac:dyDescent="0.55000000000000004">
      <c r="A975" s="6">
        <v>8.4525285881887816E+18</v>
      </c>
      <c r="B975">
        <v>4</v>
      </c>
      <c r="C975">
        <v>1</v>
      </c>
      <c r="D975">
        <v>1</v>
      </c>
      <c r="E975">
        <v>411</v>
      </c>
      <c r="F975" t="s">
        <v>1233</v>
      </c>
    </row>
    <row r="976" spans="1:6" x14ac:dyDescent="0.55000000000000004">
      <c r="A976" s="6">
        <v>8.4543682969037445E+18</v>
      </c>
      <c r="B976">
        <v>4</v>
      </c>
      <c r="C976">
        <v>1</v>
      </c>
      <c r="D976">
        <v>1</v>
      </c>
      <c r="E976">
        <v>411</v>
      </c>
      <c r="F976" t="s">
        <v>1233</v>
      </c>
    </row>
    <row r="977" spans="1:6" x14ac:dyDescent="0.55000000000000004">
      <c r="A977" s="6">
        <v>8.4571055573795328E+18</v>
      </c>
      <c r="B977">
        <v>3</v>
      </c>
      <c r="C977">
        <v>1</v>
      </c>
      <c r="D977">
        <v>3</v>
      </c>
      <c r="E977">
        <v>313</v>
      </c>
      <c r="F977" t="s">
        <v>1233</v>
      </c>
    </row>
    <row r="978" spans="1:6" x14ac:dyDescent="0.55000000000000004">
      <c r="A978" s="6">
        <v>8.4680920074105743E+18</v>
      </c>
      <c r="B978">
        <v>4</v>
      </c>
      <c r="C978">
        <v>1</v>
      </c>
      <c r="D978">
        <v>2</v>
      </c>
      <c r="E978">
        <v>412</v>
      </c>
      <c r="F978" t="s">
        <v>1233</v>
      </c>
    </row>
    <row r="979" spans="1:6" x14ac:dyDescent="0.55000000000000004">
      <c r="A979" s="6">
        <v>8.471699444273963E+18</v>
      </c>
      <c r="B979">
        <v>5</v>
      </c>
      <c r="C979">
        <v>1</v>
      </c>
      <c r="D979">
        <v>3</v>
      </c>
      <c r="E979">
        <v>513</v>
      </c>
      <c r="F979" t="s">
        <v>1228</v>
      </c>
    </row>
    <row r="980" spans="1:6" x14ac:dyDescent="0.55000000000000004">
      <c r="A980" s="6">
        <v>8.4806805688854006E+18</v>
      </c>
      <c r="B980">
        <v>2</v>
      </c>
      <c r="C980">
        <v>1</v>
      </c>
      <c r="D980">
        <v>1</v>
      </c>
      <c r="E980">
        <v>211</v>
      </c>
      <c r="F980" t="s">
        <v>1234</v>
      </c>
    </row>
    <row r="981" spans="1:6" x14ac:dyDescent="0.55000000000000004">
      <c r="A981" s="6">
        <v>8.4862918808198564E+18</v>
      </c>
      <c r="B981">
        <v>2</v>
      </c>
      <c r="C981">
        <v>1</v>
      </c>
      <c r="D981">
        <v>1</v>
      </c>
      <c r="E981">
        <v>211</v>
      </c>
      <c r="F981" t="s">
        <v>1234</v>
      </c>
    </row>
    <row r="982" spans="1:6" x14ac:dyDescent="0.55000000000000004">
      <c r="A982" s="6">
        <v>8.4895610788208896E+18</v>
      </c>
      <c r="B982">
        <v>4</v>
      </c>
      <c r="C982">
        <v>1</v>
      </c>
      <c r="D982">
        <v>3</v>
      </c>
      <c r="E982">
        <v>413</v>
      </c>
      <c r="F982" t="s">
        <v>1233</v>
      </c>
    </row>
    <row r="983" spans="1:6" x14ac:dyDescent="0.55000000000000004">
      <c r="A983" s="6">
        <v>8.4915234036773478E+18</v>
      </c>
      <c r="B983">
        <v>5</v>
      </c>
      <c r="C983">
        <v>2</v>
      </c>
      <c r="D983">
        <v>2</v>
      </c>
      <c r="E983">
        <v>522</v>
      </c>
      <c r="F983" t="s">
        <v>1229</v>
      </c>
    </row>
    <row r="984" spans="1:6" x14ac:dyDescent="0.55000000000000004">
      <c r="A984" s="6">
        <v>8.4999954768623831E+18</v>
      </c>
      <c r="B984">
        <v>5</v>
      </c>
      <c r="C984">
        <v>1</v>
      </c>
      <c r="D984">
        <v>1</v>
      </c>
      <c r="E984">
        <v>511</v>
      </c>
      <c r="F984" t="s">
        <v>1228</v>
      </c>
    </row>
    <row r="985" spans="1:6" x14ac:dyDescent="0.55000000000000004">
      <c r="A985" s="6">
        <v>8.5477181507552604E+18</v>
      </c>
      <c r="B985">
        <v>5</v>
      </c>
      <c r="C985">
        <v>1</v>
      </c>
      <c r="D985">
        <v>3</v>
      </c>
      <c r="E985">
        <v>513</v>
      </c>
      <c r="F985" t="s">
        <v>1228</v>
      </c>
    </row>
    <row r="986" spans="1:6" x14ac:dyDescent="0.55000000000000004">
      <c r="A986" s="6">
        <v>8.5679421323235338E+18</v>
      </c>
      <c r="B986">
        <v>5</v>
      </c>
      <c r="C986">
        <v>1</v>
      </c>
      <c r="D986">
        <v>1</v>
      </c>
      <c r="E986">
        <v>511</v>
      </c>
      <c r="F986" t="s">
        <v>1228</v>
      </c>
    </row>
    <row r="987" spans="1:6" x14ac:dyDescent="0.55000000000000004">
      <c r="A987" s="6">
        <v>8.5831141854623764E+18</v>
      </c>
      <c r="B987">
        <v>3</v>
      </c>
      <c r="C987">
        <v>2</v>
      </c>
      <c r="D987">
        <v>2</v>
      </c>
      <c r="E987">
        <v>322</v>
      </c>
      <c r="F987" t="s">
        <v>1233</v>
      </c>
    </row>
    <row r="988" spans="1:6" x14ac:dyDescent="0.55000000000000004">
      <c r="A988" s="6">
        <v>8.5845141960176026E+18</v>
      </c>
      <c r="B988">
        <v>5</v>
      </c>
      <c r="C988">
        <v>1</v>
      </c>
      <c r="D988">
        <v>3</v>
      </c>
      <c r="E988">
        <v>513</v>
      </c>
      <c r="F988" t="s">
        <v>1228</v>
      </c>
    </row>
    <row r="989" spans="1:6" x14ac:dyDescent="0.55000000000000004">
      <c r="A989" s="6">
        <v>8.5868986495551754E+18</v>
      </c>
      <c r="B989">
        <v>5</v>
      </c>
      <c r="C989">
        <v>2</v>
      </c>
      <c r="D989">
        <v>3</v>
      </c>
      <c r="E989">
        <v>523</v>
      </c>
      <c r="F989" t="s">
        <v>1229</v>
      </c>
    </row>
    <row r="990" spans="1:6" x14ac:dyDescent="0.55000000000000004">
      <c r="A990" s="6">
        <v>8.5938988973577247E+18</v>
      </c>
      <c r="B990">
        <v>2</v>
      </c>
      <c r="C990">
        <v>1</v>
      </c>
      <c r="D990">
        <v>2</v>
      </c>
      <c r="E990">
        <v>212</v>
      </c>
      <c r="F990" t="s">
        <v>1234</v>
      </c>
    </row>
    <row r="991" spans="1:6" x14ac:dyDescent="0.55000000000000004">
      <c r="A991" s="6">
        <v>8.6023041983098921E+18</v>
      </c>
      <c r="B991">
        <v>4</v>
      </c>
      <c r="C991">
        <v>1</v>
      </c>
      <c r="D991">
        <v>2</v>
      </c>
      <c r="E991">
        <v>412</v>
      </c>
      <c r="F991" t="s">
        <v>1233</v>
      </c>
    </row>
    <row r="992" spans="1:6" x14ac:dyDescent="0.55000000000000004">
      <c r="A992" s="6">
        <v>8.6074183131094415E+18</v>
      </c>
      <c r="B992">
        <v>4</v>
      </c>
      <c r="C992">
        <v>1</v>
      </c>
      <c r="D992">
        <v>3</v>
      </c>
      <c r="E992">
        <v>413</v>
      </c>
      <c r="F992" t="s">
        <v>1233</v>
      </c>
    </row>
    <row r="993" spans="1:6" x14ac:dyDescent="0.55000000000000004">
      <c r="A993" s="6">
        <v>8.607613251301118E+18</v>
      </c>
      <c r="B993">
        <v>4</v>
      </c>
      <c r="C993">
        <v>2</v>
      </c>
      <c r="D993">
        <v>3</v>
      </c>
      <c r="E993">
        <v>423</v>
      </c>
      <c r="F993" t="s">
        <v>1229</v>
      </c>
    </row>
    <row r="994" spans="1:6" x14ac:dyDescent="0.55000000000000004">
      <c r="A994" s="6">
        <v>8.6127016178122445E+18</v>
      </c>
      <c r="B994">
        <v>1</v>
      </c>
      <c r="C994">
        <v>1</v>
      </c>
      <c r="D994">
        <v>1</v>
      </c>
      <c r="E994">
        <v>111</v>
      </c>
      <c r="F994" t="s">
        <v>1234</v>
      </c>
    </row>
    <row r="995" spans="1:6" x14ac:dyDescent="0.55000000000000004">
      <c r="A995" s="6">
        <v>8.615932288906793E+18</v>
      </c>
      <c r="B995">
        <v>1</v>
      </c>
      <c r="C995">
        <v>1</v>
      </c>
      <c r="D995">
        <v>3</v>
      </c>
      <c r="E995">
        <v>113</v>
      </c>
      <c r="F995" t="s">
        <v>1234</v>
      </c>
    </row>
    <row r="996" spans="1:6" x14ac:dyDescent="0.55000000000000004">
      <c r="A996" s="6">
        <v>8.6532902772659466E+18</v>
      </c>
      <c r="B996">
        <v>2</v>
      </c>
      <c r="C996">
        <v>1</v>
      </c>
      <c r="D996">
        <v>1</v>
      </c>
      <c r="E996">
        <v>211</v>
      </c>
      <c r="F996" t="s">
        <v>1234</v>
      </c>
    </row>
    <row r="997" spans="1:6" x14ac:dyDescent="0.55000000000000004">
      <c r="A997" s="6">
        <v>8.658126767473409E+18</v>
      </c>
      <c r="B997">
        <v>5</v>
      </c>
      <c r="C997">
        <v>1</v>
      </c>
      <c r="D997">
        <v>3</v>
      </c>
      <c r="E997">
        <v>513</v>
      </c>
      <c r="F997" t="s">
        <v>1228</v>
      </c>
    </row>
    <row r="998" spans="1:6" x14ac:dyDescent="0.55000000000000004">
      <c r="A998" s="6">
        <v>8.6609747857146327E+18</v>
      </c>
      <c r="B998">
        <v>5</v>
      </c>
      <c r="C998">
        <v>1</v>
      </c>
      <c r="D998">
        <v>3</v>
      </c>
      <c r="E998">
        <v>513</v>
      </c>
      <c r="F998" t="s">
        <v>1228</v>
      </c>
    </row>
    <row r="999" spans="1:6" x14ac:dyDescent="0.55000000000000004">
      <c r="A999" s="6">
        <v>8.6671934304505836E+18</v>
      </c>
      <c r="B999">
        <v>4</v>
      </c>
      <c r="C999">
        <v>1</v>
      </c>
      <c r="D999">
        <v>1</v>
      </c>
      <c r="E999">
        <v>411</v>
      </c>
      <c r="F999" t="s">
        <v>1233</v>
      </c>
    </row>
    <row r="1000" spans="1:6" x14ac:dyDescent="0.55000000000000004">
      <c r="A1000" s="6">
        <v>8.6679631661829878E+18</v>
      </c>
      <c r="B1000">
        <v>3</v>
      </c>
      <c r="C1000">
        <v>1</v>
      </c>
      <c r="D1000">
        <v>1</v>
      </c>
      <c r="E1000">
        <v>311</v>
      </c>
      <c r="F1000" t="s">
        <v>1233</v>
      </c>
    </row>
    <row r="1001" spans="1:6" x14ac:dyDescent="0.55000000000000004">
      <c r="A1001" s="6">
        <v>8.6727379281980047E+18</v>
      </c>
      <c r="B1001">
        <v>4</v>
      </c>
      <c r="C1001">
        <v>1</v>
      </c>
      <c r="D1001">
        <v>1</v>
      </c>
      <c r="E1001">
        <v>411</v>
      </c>
      <c r="F1001" t="s">
        <v>1233</v>
      </c>
    </row>
    <row r="1002" spans="1:6" x14ac:dyDescent="0.55000000000000004">
      <c r="A1002" s="6">
        <v>8.6886831850354483E+18</v>
      </c>
      <c r="B1002">
        <v>5</v>
      </c>
      <c r="C1002">
        <v>2</v>
      </c>
      <c r="D1002">
        <v>2</v>
      </c>
      <c r="E1002">
        <v>522</v>
      </c>
      <c r="F1002" t="s">
        <v>1229</v>
      </c>
    </row>
    <row r="1003" spans="1:6" x14ac:dyDescent="0.55000000000000004">
      <c r="A1003" s="6">
        <v>8.6908928397613404E+18</v>
      </c>
      <c r="B1003">
        <v>2</v>
      </c>
      <c r="C1003">
        <v>1</v>
      </c>
      <c r="D1003">
        <v>1</v>
      </c>
      <c r="E1003">
        <v>211</v>
      </c>
      <c r="F1003" t="s">
        <v>1234</v>
      </c>
    </row>
    <row r="1004" spans="1:6" x14ac:dyDescent="0.55000000000000004">
      <c r="A1004" s="6">
        <v>8.7029438128184371E+18</v>
      </c>
      <c r="B1004">
        <v>4</v>
      </c>
      <c r="C1004">
        <v>1</v>
      </c>
      <c r="D1004">
        <v>1</v>
      </c>
      <c r="E1004">
        <v>411</v>
      </c>
      <c r="F1004" t="s">
        <v>1233</v>
      </c>
    </row>
    <row r="1005" spans="1:6" x14ac:dyDescent="0.55000000000000004">
      <c r="A1005" s="6">
        <v>8.7283328542971044E+18</v>
      </c>
      <c r="B1005">
        <v>5</v>
      </c>
      <c r="C1005">
        <v>2</v>
      </c>
      <c r="D1005">
        <v>3</v>
      </c>
      <c r="E1005">
        <v>523</v>
      </c>
      <c r="F1005" t="s">
        <v>1229</v>
      </c>
    </row>
    <row r="1006" spans="1:6" x14ac:dyDescent="0.55000000000000004">
      <c r="A1006" s="6">
        <v>8.7509659763436114E+18</v>
      </c>
      <c r="B1006">
        <v>4</v>
      </c>
      <c r="C1006">
        <v>1</v>
      </c>
      <c r="D1006">
        <v>3</v>
      </c>
      <c r="E1006">
        <v>413</v>
      </c>
      <c r="F1006" t="s">
        <v>1233</v>
      </c>
    </row>
    <row r="1007" spans="1:6" x14ac:dyDescent="0.55000000000000004">
      <c r="A1007" s="6">
        <v>8.7531651469895475E+18</v>
      </c>
      <c r="B1007">
        <v>3</v>
      </c>
      <c r="C1007">
        <v>2</v>
      </c>
      <c r="D1007">
        <v>3</v>
      </c>
      <c r="E1007">
        <v>323</v>
      </c>
      <c r="F1007" t="s">
        <v>1233</v>
      </c>
    </row>
    <row r="1008" spans="1:6" x14ac:dyDescent="0.55000000000000004">
      <c r="A1008" s="6">
        <v>8.7554948243829422E+18</v>
      </c>
      <c r="B1008">
        <v>5</v>
      </c>
      <c r="C1008">
        <v>1</v>
      </c>
      <c r="D1008">
        <v>1</v>
      </c>
      <c r="E1008">
        <v>511</v>
      </c>
      <c r="F1008" t="s">
        <v>1228</v>
      </c>
    </row>
    <row r="1009" spans="1:6" x14ac:dyDescent="0.55000000000000004">
      <c r="A1009" s="6">
        <v>8.7568087296080701E+18</v>
      </c>
      <c r="B1009">
        <v>4</v>
      </c>
      <c r="C1009">
        <v>1</v>
      </c>
      <c r="D1009">
        <v>3</v>
      </c>
      <c r="E1009">
        <v>413</v>
      </c>
      <c r="F1009" t="s">
        <v>1233</v>
      </c>
    </row>
    <row r="1010" spans="1:6" x14ac:dyDescent="0.55000000000000004">
      <c r="A1010" s="6">
        <v>8.7623730887348511E+18</v>
      </c>
      <c r="B1010">
        <v>4</v>
      </c>
      <c r="C1010">
        <v>1</v>
      </c>
      <c r="D1010">
        <v>1</v>
      </c>
      <c r="E1010">
        <v>411</v>
      </c>
      <c r="F1010" t="s">
        <v>1233</v>
      </c>
    </row>
    <row r="1011" spans="1:6" x14ac:dyDescent="0.55000000000000004">
      <c r="A1011" s="6">
        <v>8.765305006201388E+18</v>
      </c>
      <c r="B1011">
        <v>3</v>
      </c>
      <c r="C1011">
        <v>1</v>
      </c>
      <c r="D1011">
        <v>3</v>
      </c>
      <c r="E1011">
        <v>313</v>
      </c>
      <c r="F1011" t="s">
        <v>1233</v>
      </c>
    </row>
    <row r="1012" spans="1:6" x14ac:dyDescent="0.55000000000000004">
      <c r="A1012" s="6">
        <v>8.7716318777703711E+18</v>
      </c>
      <c r="B1012">
        <v>5</v>
      </c>
      <c r="C1012">
        <v>2</v>
      </c>
      <c r="D1012">
        <v>2</v>
      </c>
      <c r="E1012">
        <v>522</v>
      </c>
      <c r="F1012" t="s">
        <v>1229</v>
      </c>
    </row>
    <row r="1013" spans="1:6" x14ac:dyDescent="0.55000000000000004">
      <c r="A1013" s="6">
        <v>8.7935106791523226E+18</v>
      </c>
      <c r="B1013">
        <v>2</v>
      </c>
      <c r="C1013">
        <v>2</v>
      </c>
      <c r="D1013">
        <v>2</v>
      </c>
      <c r="E1013">
        <v>222</v>
      </c>
      <c r="F1013" t="s">
        <v>1234</v>
      </c>
    </row>
    <row r="1014" spans="1:6" x14ac:dyDescent="0.55000000000000004">
      <c r="A1014" s="6">
        <v>8.7981424033497037E+18</v>
      </c>
      <c r="B1014">
        <v>2</v>
      </c>
      <c r="C1014">
        <v>1</v>
      </c>
      <c r="D1014">
        <v>1</v>
      </c>
      <c r="E1014">
        <v>211</v>
      </c>
      <c r="F1014" t="s">
        <v>1234</v>
      </c>
    </row>
    <row r="1015" spans="1:6" x14ac:dyDescent="0.55000000000000004">
      <c r="A1015" s="6">
        <v>8.8021057141217864E+18</v>
      </c>
      <c r="B1015">
        <v>5</v>
      </c>
      <c r="C1015">
        <v>2</v>
      </c>
      <c r="D1015">
        <v>2</v>
      </c>
      <c r="E1015">
        <v>522</v>
      </c>
      <c r="F1015" t="s">
        <v>1229</v>
      </c>
    </row>
    <row r="1016" spans="1:6" x14ac:dyDescent="0.55000000000000004">
      <c r="A1016" s="6">
        <v>8.8209216732971704E+18</v>
      </c>
      <c r="B1016">
        <v>2</v>
      </c>
      <c r="C1016">
        <v>1</v>
      </c>
      <c r="D1016">
        <v>1</v>
      </c>
      <c r="E1016">
        <v>211</v>
      </c>
      <c r="F1016" t="s">
        <v>1234</v>
      </c>
    </row>
    <row r="1017" spans="1:6" x14ac:dyDescent="0.55000000000000004">
      <c r="A1017" s="6">
        <v>8.8409319117374515E+18</v>
      </c>
      <c r="B1017">
        <v>5</v>
      </c>
      <c r="C1017">
        <v>2</v>
      </c>
      <c r="D1017">
        <v>3</v>
      </c>
      <c r="E1017">
        <v>523</v>
      </c>
      <c r="F1017" t="s">
        <v>1229</v>
      </c>
    </row>
    <row r="1018" spans="1:6" x14ac:dyDescent="0.55000000000000004">
      <c r="A1018" s="6">
        <v>8.8435373430543657E+18</v>
      </c>
      <c r="B1018">
        <v>3</v>
      </c>
      <c r="C1018">
        <v>3</v>
      </c>
      <c r="D1018">
        <v>2</v>
      </c>
      <c r="E1018">
        <v>332</v>
      </c>
      <c r="F1018" t="s">
        <v>1231</v>
      </c>
    </row>
    <row r="1019" spans="1:6" x14ac:dyDescent="0.55000000000000004">
      <c r="A1019" s="6">
        <v>8.8564151863028941E+18</v>
      </c>
      <c r="B1019">
        <v>2</v>
      </c>
      <c r="C1019">
        <v>1</v>
      </c>
      <c r="D1019">
        <v>2</v>
      </c>
      <c r="E1019">
        <v>212</v>
      </c>
      <c r="F1019" t="s">
        <v>1234</v>
      </c>
    </row>
    <row r="1020" spans="1:6" x14ac:dyDescent="0.55000000000000004">
      <c r="A1020" s="6">
        <v>8.8636156987287337E+18</v>
      </c>
      <c r="B1020">
        <v>5</v>
      </c>
      <c r="C1020">
        <v>2</v>
      </c>
      <c r="D1020">
        <v>3</v>
      </c>
      <c r="E1020">
        <v>523</v>
      </c>
      <c r="F1020" t="s">
        <v>1229</v>
      </c>
    </row>
    <row r="1021" spans="1:6" x14ac:dyDescent="0.55000000000000004">
      <c r="A1021" s="6">
        <v>8.864182973289599E+18</v>
      </c>
      <c r="B1021">
        <v>4</v>
      </c>
      <c r="C1021">
        <v>1</v>
      </c>
      <c r="D1021">
        <v>1</v>
      </c>
      <c r="E1021">
        <v>411</v>
      </c>
      <c r="F1021" t="s">
        <v>1233</v>
      </c>
    </row>
    <row r="1022" spans="1:6" x14ac:dyDescent="0.55000000000000004">
      <c r="A1022" s="6">
        <v>8.8657964298209526E+18</v>
      </c>
      <c r="B1022">
        <v>3</v>
      </c>
      <c r="C1022">
        <v>1</v>
      </c>
      <c r="D1022">
        <v>1</v>
      </c>
      <c r="E1022">
        <v>311</v>
      </c>
      <c r="F1022" t="s">
        <v>1233</v>
      </c>
    </row>
    <row r="1023" spans="1:6" x14ac:dyDescent="0.55000000000000004">
      <c r="A1023" s="6">
        <v>8.8673048398511145E+18</v>
      </c>
      <c r="B1023">
        <v>5</v>
      </c>
      <c r="C1023">
        <v>1</v>
      </c>
      <c r="D1023">
        <v>1</v>
      </c>
      <c r="E1023">
        <v>511</v>
      </c>
      <c r="F1023" t="s">
        <v>1228</v>
      </c>
    </row>
    <row r="1024" spans="1:6" x14ac:dyDescent="0.55000000000000004">
      <c r="A1024" s="6">
        <v>8.8687396167415603E+18</v>
      </c>
      <c r="B1024">
        <v>3</v>
      </c>
      <c r="C1024">
        <v>1</v>
      </c>
      <c r="D1024">
        <v>3</v>
      </c>
      <c r="E1024">
        <v>313</v>
      </c>
      <c r="F1024" t="s">
        <v>1233</v>
      </c>
    </row>
    <row r="1025" spans="1:6" x14ac:dyDescent="0.55000000000000004">
      <c r="A1025" s="6">
        <v>8.8705274734315756E+18</v>
      </c>
      <c r="B1025">
        <v>5</v>
      </c>
      <c r="C1025">
        <v>3</v>
      </c>
      <c r="D1025">
        <v>3</v>
      </c>
      <c r="E1025">
        <v>533</v>
      </c>
      <c r="F1025" t="s">
        <v>1230</v>
      </c>
    </row>
    <row r="1026" spans="1:6" x14ac:dyDescent="0.55000000000000004">
      <c r="A1026" s="6">
        <v>8.8710352568516239E+18</v>
      </c>
      <c r="B1026">
        <v>5</v>
      </c>
      <c r="C1026">
        <v>1</v>
      </c>
      <c r="D1026">
        <v>3</v>
      </c>
      <c r="E1026">
        <v>513</v>
      </c>
      <c r="F1026" t="s">
        <v>1228</v>
      </c>
    </row>
    <row r="1027" spans="1:6" x14ac:dyDescent="0.55000000000000004">
      <c r="A1027" s="6">
        <v>8.8744046359264768E+18</v>
      </c>
      <c r="B1027">
        <v>3</v>
      </c>
      <c r="C1027">
        <v>1</v>
      </c>
      <c r="D1027">
        <v>1</v>
      </c>
      <c r="E1027">
        <v>311</v>
      </c>
      <c r="F1027" t="s">
        <v>1233</v>
      </c>
    </row>
    <row r="1028" spans="1:6" x14ac:dyDescent="0.55000000000000004">
      <c r="A1028" s="6">
        <v>8.8800362200444713E+18</v>
      </c>
      <c r="B1028">
        <v>5</v>
      </c>
      <c r="C1028">
        <v>1</v>
      </c>
      <c r="D1028">
        <v>2</v>
      </c>
      <c r="E1028">
        <v>512</v>
      </c>
      <c r="F1028" t="s">
        <v>1228</v>
      </c>
    </row>
    <row r="1029" spans="1:6" x14ac:dyDescent="0.55000000000000004">
      <c r="A1029" s="6">
        <v>8.8812564427983503E+18</v>
      </c>
      <c r="B1029">
        <v>2</v>
      </c>
      <c r="C1029">
        <v>1</v>
      </c>
      <c r="D1029">
        <v>1</v>
      </c>
      <c r="E1029">
        <v>211</v>
      </c>
      <c r="F1029" t="s">
        <v>1234</v>
      </c>
    </row>
    <row r="1030" spans="1:6" x14ac:dyDescent="0.55000000000000004">
      <c r="A1030" s="6">
        <v>8.8946240980239555E+18</v>
      </c>
      <c r="B1030">
        <v>5</v>
      </c>
      <c r="C1030">
        <v>1</v>
      </c>
      <c r="D1030">
        <v>1</v>
      </c>
      <c r="E1030">
        <v>511</v>
      </c>
      <c r="F1030" t="s">
        <v>1228</v>
      </c>
    </row>
    <row r="1031" spans="1:6" x14ac:dyDescent="0.55000000000000004">
      <c r="A1031" s="6">
        <v>8.9006622298564833E+18</v>
      </c>
      <c r="B1031">
        <v>5</v>
      </c>
      <c r="C1031">
        <v>2</v>
      </c>
      <c r="D1031">
        <v>2</v>
      </c>
      <c r="E1031">
        <v>522</v>
      </c>
      <c r="F1031" t="s">
        <v>1229</v>
      </c>
    </row>
    <row r="1032" spans="1:6" x14ac:dyDescent="0.55000000000000004">
      <c r="A1032" s="6">
        <v>8.9186426008950723E+18</v>
      </c>
      <c r="B1032">
        <v>3</v>
      </c>
      <c r="C1032">
        <v>1</v>
      </c>
      <c r="D1032">
        <v>3</v>
      </c>
      <c r="E1032">
        <v>313</v>
      </c>
      <c r="F1032" t="s">
        <v>1233</v>
      </c>
    </row>
    <row r="1033" spans="1:6" x14ac:dyDescent="0.55000000000000004">
      <c r="A1033" s="6">
        <v>8.9215529394304563E+18</v>
      </c>
      <c r="B1033">
        <v>2</v>
      </c>
      <c r="C1033">
        <v>1</v>
      </c>
      <c r="D1033">
        <v>1</v>
      </c>
      <c r="E1033">
        <v>211</v>
      </c>
      <c r="F1033" t="s">
        <v>1234</v>
      </c>
    </row>
    <row r="1034" spans="1:6" x14ac:dyDescent="0.55000000000000004">
      <c r="A1034" s="6">
        <v>8.9311490609348352E+18</v>
      </c>
      <c r="B1034">
        <v>5</v>
      </c>
      <c r="C1034">
        <v>1</v>
      </c>
      <c r="D1034">
        <v>1</v>
      </c>
      <c r="E1034">
        <v>511</v>
      </c>
      <c r="F1034" t="s">
        <v>1228</v>
      </c>
    </row>
    <row r="1035" spans="1:6" x14ac:dyDescent="0.55000000000000004">
      <c r="A1035" s="6">
        <v>8.934561437004929E+18</v>
      </c>
      <c r="B1035">
        <v>5</v>
      </c>
      <c r="C1035">
        <v>3</v>
      </c>
      <c r="D1035">
        <v>3</v>
      </c>
      <c r="E1035">
        <v>533</v>
      </c>
      <c r="F1035" t="s">
        <v>1230</v>
      </c>
    </row>
    <row r="1036" spans="1:6" x14ac:dyDescent="0.55000000000000004">
      <c r="A1036" s="6">
        <v>8.9447154892374354E+18</v>
      </c>
      <c r="B1036">
        <v>3</v>
      </c>
      <c r="C1036">
        <v>1</v>
      </c>
      <c r="D1036">
        <v>3</v>
      </c>
      <c r="E1036">
        <v>313</v>
      </c>
      <c r="F1036" t="s">
        <v>1233</v>
      </c>
    </row>
    <row r="1037" spans="1:6" x14ac:dyDescent="0.55000000000000004">
      <c r="A1037" s="6">
        <v>8.9467332712201267E+18</v>
      </c>
      <c r="B1037">
        <v>4</v>
      </c>
      <c r="C1037">
        <v>2</v>
      </c>
      <c r="D1037">
        <v>3</v>
      </c>
      <c r="E1037">
        <v>423</v>
      </c>
      <c r="F1037" t="s">
        <v>1229</v>
      </c>
    </row>
    <row r="1038" spans="1:6" x14ac:dyDescent="0.55000000000000004">
      <c r="A1038" s="6">
        <v>8.9485107261010115E+18</v>
      </c>
      <c r="B1038">
        <v>5</v>
      </c>
      <c r="C1038">
        <v>1</v>
      </c>
      <c r="D1038">
        <v>1</v>
      </c>
      <c r="E1038">
        <v>511</v>
      </c>
      <c r="F1038" t="s">
        <v>1228</v>
      </c>
    </row>
    <row r="1039" spans="1:6" x14ac:dyDescent="0.55000000000000004">
      <c r="A1039" s="6">
        <v>8.9683304329081651E+18</v>
      </c>
      <c r="B1039">
        <v>5</v>
      </c>
      <c r="C1039">
        <v>1</v>
      </c>
      <c r="D1039">
        <v>2</v>
      </c>
      <c r="E1039">
        <v>512</v>
      </c>
      <c r="F1039" t="s">
        <v>1228</v>
      </c>
    </row>
    <row r="1040" spans="1:6" x14ac:dyDescent="0.55000000000000004">
      <c r="A1040" s="6">
        <v>8.9703828931595837E+18</v>
      </c>
      <c r="B1040">
        <v>5</v>
      </c>
      <c r="C1040">
        <v>1</v>
      </c>
      <c r="D1040">
        <v>3</v>
      </c>
      <c r="E1040">
        <v>513</v>
      </c>
      <c r="F1040" t="s">
        <v>1228</v>
      </c>
    </row>
    <row r="1041" spans="1:6" x14ac:dyDescent="0.55000000000000004">
      <c r="A1041" s="6">
        <v>8.9832999901843036E+18</v>
      </c>
      <c r="B1041">
        <v>5</v>
      </c>
      <c r="C1041">
        <v>3</v>
      </c>
      <c r="D1041">
        <v>3</v>
      </c>
      <c r="E1041">
        <v>533</v>
      </c>
      <c r="F1041" t="s">
        <v>1230</v>
      </c>
    </row>
    <row r="1042" spans="1:6" x14ac:dyDescent="0.55000000000000004">
      <c r="A1042" s="6">
        <v>9.0023427849385574E+18</v>
      </c>
      <c r="B1042">
        <v>1</v>
      </c>
      <c r="C1042">
        <v>1</v>
      </c>
      <c r="D1042">
        <v>2</v>
      </c>
      <c r="E1042">
        <v>112</v>
      </c>
      <c r="F1042" t="s">
        <v>1234</v>
      </c>
    </row>
    <row r="1043" spans="1:6" x14ac:dyDescent="0.55000000000000004">
      <c r="A1043" s="6">
        <v>9.0073211666938911E+18</v>
      </c>
      <c r="B1043">
        <v>5</v>
      </c>
      <c r="C1043">
        <v>2</v>
      </c>
      <c r="D1043">
        <v>1</v>
      </c>
      <c r="E1043">
        <v>521</v>
      </c>
      <c r="F1043" t="s">
        <v>1229</v>
      </c>
    </row>
    <row r="1044" spans="1:6" x14ac:dyDescent="0.55000000000000004">
      <c r="A1044" s="6">
        <v>9.0093056768248351E+18</v>
      </c>
      <c r="B1044">
        <v>4</v>
      </c>
      <c r="C1044">
        <v>3</v>
      </c>
      <c r="D1044">
        <v>3</v>
      </c>
      <c r="E1044">
        <v>433</v>
      </c>
      <c r="F1044" t="s">
        <v>1230</v>
      </c>
    </row>
    <row r="1045" spans="1:6" x14ac:dyDescent="0.55000000000000004">
      <c r="A1045" s="6">
        <v>9.0114498001082378E+18</v>
      </c>
      <c r="B1045">
        <v>5</v>
      </c>
      <c r="C1045">
        <v>2</v>
      </c>
      <c r="D1045">
        <v>2</v>
      </c>
      <c r="E1045">
        <v>522</v>
      </c>
      <c r="F1045" t="s">
        <v>1229</v>
      </c>
    </row>
    <row r="1046" spans="1:6" x14ac:dyDescent="0.55000000000000004">
      <c r="A1046" s="6">
        <v>9.0129078086439793E+18</v>
      </c>
      <c r="B1046">
        <v>5</v>
      </c>
      <c r="C1046">
        <v>1</v>
      </c>
      <c r="D1046">
        <v>2</v>
      </c>
      <c r="E1046">
        <v>512</v>
      </c>
      <c r="F1046" t="s">
        <v>1228</v>
      </c>
    </row>
    <row r="1047" spans="1:6" x14ac:dyDescent="0.55000000000000004">
      <c r="A1047" s="6">
        <v>9.0156401628928829E+18</v>
      </c>
      <c r="B1047">
        <v>3</v>
      </c>
      <c r="C1047">
        <v>1</v>
      </c>
      <c r="D1047">
        <v>1</v>
      </c>
      <c r="E1047">
        <v>311</v>
      </c>
      <c r="F1047" t="s">
        <v>1233</v>
      </c>
    </row>
    <row r="1048" spans="1:6" x14ac:dyDescent="0.55000000000000004">
      <c r="A1048" s="6">
        <v>9.0181856789402378E+18</v>
      </c>
      <c r="B1048">
        <v>4</v>
      </c>
      <c r="C1048">
        <v>1</v>
      </c>
      <c r="D1048">
        <v>2</v>
      </c>
      <c r="E1048">
        <v>412</v>
      </c>
      <c r="F1048" t="s">
        <v>1233</v>
      </c>
    </row>
    <row r="1049" spans="1:6" x14ac:dyDescent="0.55000000000000004">
      <c r="A1049" s="6">
        <v>9.0432311214428508E+18</v>
      </c>
      <c r="B1049">
        <v>3</v>
      </c>
      <c r="C1049">
        <v>1</v>
      </c>
      <c r="D1049">
        <v>2</v>
      </c>
      <c r="E1049">
        <v>312</v>
      </c>
      <c r="F1049" t="s">
        <v>1233</v>
      </c>
    </row>
    <row r="1050" spans="1:6" x14ac:dyDescent="0.55000000000000004">
      <c r="A1050" s="6">
        <v>9.0474318240599982E+18</v>
      </c>
      <c r="B1050">
        <v>5</v>
      </c>
      <c r="C1050">
        <v>2</v>
      </c>
      <c r="D1050">
        <v>3</v>
      </c>
      <c r="E1050">
        <v>523</v>
      </c>
      <c r="F1050" t="s">
        <v>1229</v>
      </c>
    </row>
    <row r="1051" spans="1:6" x14ac:dyDescent="0.55000000000000004">
      <c r="A1051" s="6">
        <v>9.052495294912939E+18</v>
      </c>
      <c r="B1051">
        <v>3</v>
      </c>
      <c r="C1051">
        <v>1</v>
      </c>
      <c r="D1051">
        <v>1</v>
      </c>
      <c r="E1051">
        <v>311</v>
      </c>
      <c r="F1051" t="s">
        <v>1233</v>
      </c>
    </row>
    <row r="1052" spans="1:6" x14ac:dyDescent="0.55000000000000004">
      <c r="A1052" s="6">
        <v>9.0657906959959194E+18</v>
      </c>
      <c r="B1052">
        <v>3</v>
      </c>
      <c r="C1052">
        <v>1</v>
      </c>
      <c r="D1052">
        <v>1</v>
      </c>
      <c r="E1052">
        <v>311</v>
      </c>
      <c r="F1052" t="s">
        <v>1233</v>
      </c>
    </row>
    <row r="1053" spans="1:6" x14ac:dyDescent="0.55000000000000004">
      <c r="A1053" s="6">
        <v>9.0800793897535898E+18</v>
      </c>
      <c r="B1053">
        <v>3</v>
      </c>
      <c r="C1053">
        <v>2</v>
      </c>
      <c r="D1053">
        <v>1</v>
      </c>
      <c r="E1053">
        <v>321</v>
      </c>
      <c r="F1053" t="s">
        <v>1233</v>
      </c>
    </row>
    <row r="1054" spans="1:6" x14ac:dyDescent="0.55000000000000004">
      <c r="A1054" s="6">
        <v>9.0899097415313111E+18</v>
      </c>
      <c r="B1054">
        <v>4</v>
      </c>
      <c r="C1054">
        <v>1</v>
      </c>
      <c r="D1054">
        <v>2</v>
      </c>
      <c r="E1054">
        <v>412</v>
      </c>
      <c r="F1054" t="s">
        <v>1233</v>
      </c>
    </row>
    <row r="1055" spans="1:6" x14ac:dyDescent="0.55000000000000004">
      <c r="A1055" s="6">
        <v>9.0986447618061926E+18</v>
      </c>
      <c r="B1055">
        <v>5</v>
      </c>
      <c r="C1055">
        <v>3</v>
      </c>
      <c r="D1055">
        <v>3</v>
      </c>
      <c r="E1055">
        <v>533</v>
      </c>
      <c r="F1055" t="s">
        <v>1230</v>
      </c>
    </row>
    <row r="1056" spans="1:6" x14ac:dyDescent="0.55000000000000004">
      <c r="A1056" s="6">
        <v>9.101764833279017E+18</v>
      </c>
      <c r="B1056">
        <v>2</v>
      </c>
      <c r="C1056">
        <v>1</v>
      </c>
      <c r="D1056">
        <v>1</v>
      </c>
      <c r="E1056">
        <v>211</v>
      </c>
      <c r="F1056" t="s">
        <v>1234</v>
      </c>
    </row>
    <row r="1057" spans="1:6" x14ac:dyDescent="0.55000000000000004">
      <c r="A1057" s="6">
        <v>9.1084493047322593E+18</v>
      </c>
      <c r="B1057">
        <v>2</v>
      </c>
      <c r="C1057">
        <v>1</v>
      </c>
      <c r="D1057">
        <v>2</v>
      </c>
      <c r="E1057">
        <v>212</v>
      </c>
      <c r="F1057" t="s">
        <v>1234</v>
      </c>
    </row>
    <row r="1058" spans="1:6" x14ac:dyDescent="0.55000000000000004">
      <c r="A1058" s="6">
        <v>9.1212184918702653E+18</v>
      </c>
      <c r="B1058">
        <v>5</v>
      </c>
      <c r="C1058">
        <v>2</v>
      </c>
      <c r="D1058">
        <v>3</v>
      </c>
      <c r="E1058">
        <v>523</v>
      </c>
      <c r="F1058" t="s">
        <v>1229</v>
      </c>
    </row>
    <row r="1059" spans="1:6" x14ac:dyDescent="0.55000000000000004">
      <c r="A1059" s="6">
        <v>9.1256882912497848E+18</v>
      </c>
      <c r="B1059">
        <v>4</v>
      </c>
      <c r="C1059">
        <v>2</v>
      </c>
      <c r="D1059">
        <v>3</v>
      </c>
      <c r="E1059">
        <v>423</v>
      </c>
      <c r="F1059" t="s">
        <v>1229</v>
      </c>
    </row>
    <row r="1060" spans="1:6" x14ac:dyDescent="0.55000000000000004">
      <c r="A1060" s="6">
        <v>9.1291267439478784E+18</v>
      </c>
      <c r="B1060">
        <v>5</v>
      </c>
      <c r="C1060">
        <v>1</v>
      </c>
      <c r="D1060">
        <v>1</v>
      </c>
      <c r="E1060">
        <v>511</v>
      </c>
      <c r="F1060" t="s">
        <v>1228</v>
      </c>
    </row>
    <row r="1061" spans="1:6" x14ac:dyDescent="0.55000000000000004">
      <c r="A1061" s="6">
        <v>9.1327467820469637E+18</v>
      </c>
      <c r="B1061">
        <v>3</v>
      </c>
      <c r="C1061">
        <v>1</v>
      </c>
      <c r="D1061">
        <v>3</v>
      </c>
      <c r="E1061">
        <v>313</v>
      </c>
      <c r="F1061" t="s">
        <v>1233</v>
      </c>
    </row>
    <row r="1062" spans="1:6" x14ac:dyDescent="0.55000000000000004">
      <c r="A1062" s="6">
        <v>9.1402792590415073E+18</v>
      </c>
      <c r="B1062">
        <v>2</v>
      </c>
      <c r="C1062">
        <v>1</v>
      </c>
      <c r="D1062">
        <v>1</v>
      </c>
      <c r="E1062">
        <v>211</v>
      </c>
      <c r="F1062" t="s">
        <v>1234</v>
      </c>
    </row>
    <row r="1063" spans="1:6" x14ac:dyDescent="0.55000000000000004">
      <c r="A1063" s="6">
        <v>9.1642390959083305E+18</v>
      </c>
      <c r="B1063">
        <v>4</v>
      </c>
      <c r="C1063">
        <v>1</v>
      </c>
      <c r="D1063">
        <v>3</v>
      </c>
      <c r="E1063">
        <v>413</v>
      </c>
      <c r="F1063" t="s">
        <v>1233</v>
      </c>
    </row>
    <row r="1064" spans="1:6" x14ac:dyDescent="0.55000000000000004">
      <c r="A1064" s="6">
        <v>9.1649542126402294E+18</v>
      </c>
      <c r="B1064">
        <v>5</v>
      </c>
      <c r="C1064">
        <v>2</v>
      </c>
      <c r="D1064">
        <v>1</v>
      </c>
      <c r="E1064">
        <v>521</v>
      </c>
      <c r="F1064" t="s">
        <v>1229</v>
      </c>
    </row>
    <row r="1065" spans="1:6" x14ac:dyDescent="0.55000000000000004">
      <c r="A1065" s="6">
        <v>9.166708935569963E+18</v>
      </c>
      <c r="B1065">
        <v>5</v>
      </c>
      <c r="C1065">
        <v>2</v>
      </c>
      <c r="D1065">
        <v>3</v>
      </c>
      <c r="E1065">
        <v>523</v>
      </c>
      <c r="F1065" t="s">
        <v>1229</v>
      </c>
    </row>
    <row r="1066" spans="1:6" x14ac:dyDescent="0.55000000000000004">
      <c r="A1066" s="6">
        <v>9.1869005501774121E+18</v>
      </c>
      <c r="B1066">
        <v>1</v>
      </c>
      <c r="C1066">
        <v>1</v>
      </c>
      <c r="D1066">
        <v>1</v>
      </c>
      <c r="E1066">
        <v>111</v>
      </c>
      <c r="F1066" t="s">
        <v>1234</v>
      </c>
    </row>
    <row r="1067" spans="1:6" x14ac:dyDescent="0.55000000000000004">
      <c r="A1067" s="6">
        <v>9.1932094490426348E+18</v>
      </c>
      <c r="B1067">
        <v>1</v>
      </c>
      <c r="C1067">
        <v>1</v>
      </c>
      <c r="D1067">
        <v>3</v>
      </c>
      <c r="E1067">
        <v>113</v>
      </c>
      <c r="F1067" t="s">
        <v>1234</v>
      </c>
    </row>
    <row r="1068" spans="1:6" x14ac:dyDescent="0.55000000000000004">
      <c r="A1068" s="6">
        <v>9.2021705122622024E+18</v>
      </c>
      <c r="B1068">
        <v>3</v>
      </c>
      <c r="C1068">
        <v>1</v>
      </c>
      <c r="D1068">
        <v>2</v>
      </c>
      <c r="E1068">
        <v>312</v>
      </c>
      <c r="F1068" t="s">
        <v>1233</v>
      </c>
    </row>
    <row r="1069" spans="1:6" x14ac:dyDescent="0.55000000000000004">
      <c r="A1069" s="6">
        <v>9.2042145550697564E+18</v>
      </c>
      <c r="B1069">
        <v>4</v>
      </c>
      <c r="C1069">
        <v>1</v>
      </c>
      <c r="D1069">
        <v>2</v>
      </c>
      <c r="E1069">
        <v>412</v>
      </c>
      <c r="F1069" t="s">
        <v>1233</v>
      </c>
    </row>
    <row r="1070" spans="1:6" x14ac:dyDescent="0.55000000000000004">
      <c r="A1070" s="6">
        <v>9.2043461364784036E+18</v>
      </c>
      <c r="B1070">
        <v>5</v>
      </c>
      <c r="C1070">
        <v>1</v>
      </c>
      <c r="D1070">
        <v>3</v>
      </c>
      <c r="E1070">
        <v>513</v>
      </c>
      <c r="F1070" t="s">
        <v>1228</v>
      </c>
    </row>
    <row r="1071" spans="1:6" x14ac:dyDescent="0.55000000000000004">
      <c r="A1071" s="6">
        <v>9.2092839124872847E+18</v>
      </c>
      <c r="B1071">
        <v>5</v>
      </c>
      <c r="C1071">
        <v>2</v>
      </c>
      <c r="D1071">
        <v>3</v>
      </c>
      <c r="E1071">
        <v>523</v>
      </c>
      <c r="F1071" t="s">
        <v>1229</v>
      </c>
    </row>
    <row r="1072" spans="1:6" x14ac:dyDescent="0.55000000000000004">
      <c r="A1072" s="6">
        <v>9.2147412065153024E+18</v>
      </c>
      <c r="B1072">
        <v>5</v>
      </c>
      <c r="C1072">
        <v>1</v>
      </c>
      <c r="D1072">
        <v>1</v>
      </c>
      <c r="E1072">
        <v>511</v>
      </c>
      <c r="F1072" t="s">
        <v>1228</v>
      </c>
    </row>
    <row r="1073" spans="1:6" x14ac:dyDescent="0.55000000000000004">
      <c r="A1073" s="6">
        <v>9.2220926223088968E+18</v>
      </c>
      <c r="B1073">
        <v>5</v>
      </c>
      <c r="C1073">
        <v>2</v>
      </c>
      <c r="D1073">
        <v>3</v>
      </c>
      <c r="E1073">
        <v>523</v>
      </c>
      <c r="F1073" t="s">
        <v>1229</v>
      </c>
    </row>
    <row r="1074" spans="1:6" x14ac:dyDescent="0.55000000000000004">
      <c r="A1074" s="6">
        <v>9.2781126943122145E+18</v>
      </c>
      <c r="B1074">
        <v>2</v>
      </c>
      <c r="C1074">
        <v>1</v>
      </c>
      <c r="D1074">
        <v>1</v>
      </c>
      <c r="E1074">
        <v>211</v>
      </c>
      <c r="F1074" t="s">
        <v>1234</v>
      </c>
    </row>
    <row r="1075" spans="1:6" x14ac:dyDescent="0.55000000000000004">
      <c r="A1075" s="6">
        <v>9.2786993871629066E+18</v>
      </c>
      <c r="B1075">
        <v>2</v>
      </c>
      <c r="C1075">
        <v>1</v>
      </c>
      <c r="D1075">
        <v>1</v>
      </c>
      <c r="E1075">
        <v>211</v>
      </c>
      <c r="F1075" t="s">
        <v>1234</v>
      </c>
    </row>
    <row r="1076" spans="1:6" x14ac:dyDescent="0.55000000000000004">
      <c r="A1076" s="6">
        <v>9.283264815651498E+18</v>
      </c>
      <c r="B1076">
        <v>5</v>
      </c>
      <c r="C1076">
        <v>2</v>
      </c>
      <c r="D1076">
        <v>3</v>
      </c>
      <c r="E1076">
        <v>523</v>
      </c>
      <c r="F1076" t="s">
        <v>1229</v>
      </c>
    </row>
    <row r="1077" spans="1:6" x14ac:dyDescent="0.55000000000000004">
      <c r="A1077" s="6">
        <v>9.2837641945690317E+18</v>
      </c>
      <c r="B1077">
        <v>2</v>
      </c>
      <c r="C1077">
        <v>1</v>
      </c>
      <c r="D1077">
        <v>2</v>
      </c>
      <c r="E1077">
        <v>212</v>
      </c>
      <c r="F1077" t="s">
        <v>1234</v>
      </c>
    </row>
    <row r="1078" spans="1:6" x14ac:dyDescent="0.55000000000000004">
      <c r="A1078" s="6">
        <v>9.2940510925032448E+18</v>
      </c>
      <c r="B1078">
        <v>5</v>
      </c>
      <c r="C1078">
        <v>3</v>
      </c>
      <c r="D1078">
        <v>2</v>
      </c>
      <c r="E1078">
        <v>532</v>
      </c>
      <c r="F1078" t="s">
        <v>1230</v>
      </c>
    </row>
    <row r="1079" spans="1:6" x14ac:dyDescent="0.55000000000000004">
      <c r="A1079" s="6">
        <v>9.2989653906341827E+18</v>
      </c>
      <c r="B1079">
        <v>2</v>
      </c>
      <c r="C1079">
        <v>1</v>
      </c>
      <c r="D1079">
        <v>2</v>
      </c>
      <c r="E1079">
        <v>212</v>
      </c>
      <c r="F1079" t="s">
        <v>1234</v>
      </c>
    </row>
    <row r="1080" spans="1:6" x14ac:dyDescent="0.55000000000000004">
      <c r="A1080" s="6">
        <v>9.3011369724624343E+18</v>
      </c>
      <c r="B1080">
        <v>5</v>
      </c>
      <c r="C1080">
        <v>2</v>
      </c>
      <c r="D1080">
        <v>2</v>
      </c>
      <c r="E1080">
        <v>522</v>
      </c>
      <c r="F1080" t="s">
        <v>1229</v>
      </c>
    </row>
    <row r="1081" spans="1:6" x14ac:dyDescent="0.55000000000000004">
      <c r="A1081" s="6">
        <v>9.3042969550292296E+18</v>
      </c>
      <c r="B1081">
        <v>4</v>
      </c>
      <c r="C1081">
        <v>1</v>
      </c>
      <c r="D1081">
        <v>3</v>
      </c>
      <c r="E1081">
        <v>413</v>
      </c>
      <c r="F1081" t="s">
        <v>1233</v>
      </c>
    </row>
    <row r="1082" spans="1:6" x14ac:dyDescent="0.55000000000000004">
      <c r="A1082" s="6">
        <v>9.3114124448562811E+18</v>
      </c>
      <c r="B1082">
        <v>5</v>
      </c>
      <c r="C1082">
        <v>2</v>
      </c>
      <c r="D1082">
        <v>2</v>
      </c>
      <c r="E1082">
        <v>522</v>
      </c>
      <c r="F1082" t="s">
        <v>1229</v>
      </c>
    </row>
    <row r="1083" spans="1:6" x14ac:dyDescent="0.55000000000000004">
      <c r="A1083" s="6">
        <v>9.3126309696455844E+18</v>
      </c>
      <c r="B1083">
        <v>4</v>
      </c>
      <c r="C1083">
        <v>1</v>
      </c>
      <c r="D1083">
        <v>3</v>
      </c>
      <c r="E1083">
        <v>413</v>
      </c>
      <c r="F1083" t="s">
        <v>1233</v>
      </c>
    </row>
    <row r="1084" spans="1:6" x14ac:dyDescent="0.55000000000000004">
      <c r="A1084" s="6">
        <v>9.3141173803419034E+18</v>
      </c>
      <c r="B1084">
        <v>5</v>
      </c>
      <c r="C1084">
        <v>1</v>
      </c>
      <c r="D1084">
        <v>1</v>
      </c>
      <c r="E1084">
        <v>511</v>
      </c>
      <c r="F1084" t="s">
        <v>1228</v>
      </c>
    </row>
    <row r="1085" spans="1:6" x14ac:dyDescent="0.55000000000000004">
      <c r="A1085" s="6">
        <v>9.3420725521030205E+18</v>
      </c>
      <c r="B1085">
        <v>3</v>
      </c>
      <c r="C1085">
        <v>1</v>
      </c>
      <c r="D1085">
        <v>3</v>
      </c>
      <c r="E1085">
        <v>313</v>
      </c>
      <c r="F1085" t="s">
        <v>1233</v>
      </c>
    </row>
    <row r="1086" spans="1:6" x14ac:dyDescent="0.55000000000000004">
      <c r="A1086" s="6">
        <v>9.3519854972733747E+18</v>
      </c>
      <c r="B1086">
        <v>1</v>
      </c>
      <c r="C1086">
        <v>1</v>
      </c>
      <c r="D1086">
        <v>1</v>
      </c>
      <c r="E1086">
        <v>111</v>
      </c>
      <c r="F1086" t="s">
        <v>1234</v>
      </c>
    </row>
    <row r="1087" spans="1:6" x14ac:dyDescent="0.55000000000000004">
      <c r="A1087" s="6">
        <v>9.3618116621725962E+18</v>
      </c>
      <c r="B1087">
        <v>4</v>
      </c>
      <c r="C1087">
        <v>1</v>
      </c>
      <c r="D1087">
        <v>1</v>
      </c>
      <c r="E1087">
        <v>411</v>
      </c>
      <c r="F1087" t="s">
        <v>1233</v>
      </c>
    </row>
    <row r="1088" spans="1:6" x14ac:dyDescent="0.55000000000000004">
      <c r="A1088" s="6">
        <v>9.3674319387431567E+18</v>
      </c>
      <c r="B1088">
        <v>4</v>
      </c>
      <c r="C1088">
        <v>1</v>
      </c>
      <c r="D1088">
        <v>1</v>
      </c>
      <c r="E1088">
        <v>411</v>
      </c>
      <c r="F1088" t="s">
        <v>1233</v>
      </c>
    </row>
    <row r="1089" spans="1:6" x14ac:dyDescent="0.55000000000000004">
      <c r="A1089" s="6">
        <v>9.3721715798642401E+18</v>
      </c>
      <c r="B1089">
        <v>3</v>
      </c>
      <c r="C1089">
        <v>1</v>
      </c>
      <c r="D1089">
        <v>1</v>
      </c>
      <c r="E1089">
        <v>311</v>
      </c>
      <c r="F1089" t="s">
        <v>1233</v>
      </c>
    </row>
    <row r="1090" spans="1:6" x14ac:dyDescent="0.55000000000000004">
      <c r="A1090" s="6">
        <v>9.3759268339452088E+18</v>
      </c>
      <c r="B1090">
        <v>4</v>
      </c>
      <c r="C1090">
        <v>2</v>
      </c>
      <c r="D1090">
        <v>2</v>
      </c>
      <c r="E1090">
        <v>422</v>
      </c>
      <c r="F1090" t="s">
        <v>1229</v>
      </c>
    </row>
    <row r="1091" spans="1:6" x14ac:dyDescent="0.55000000000000004">
      <c r="A1091" s="6">
        <v>9.3935191066238013E+18</v>
      </c>
      <c r="B1091">
        <v>3</v>
      </c>
      <c r="C1091">
        <v>1</v>
      </c>
      <c r="D1091">
        <v>3</v>
      </c>
      <c r="E1091">
        <v>313</v>
      </c>
      <c r="F1091" t="s">
        <v>1233</v>
      </c>
    </row>
    <row r="1092" spans="1:6" x14ac:dyDescent="0.55000000000000004">
      <c r="A1092" s="6">
        <v>9.4199328702490051E+18</v>
      </c>
      <c r="B1092">
        <v>4</v>
      </c>
      <c r="C1092">
        <v>1</v>
      </c>
      <c r="D1092">
        <v>1</v>
      </c>
      <c r="E1092">
        <v>411</v>
      </c>
      <c r="F1092" t="s">
        <v>1233</v>
      </c>
    </row>
    <row r="1093" spans="1:6" x14ac:dyDescent="0.55000000000000004">
      <c r="A1093" s="6">
        <v>9.4208041421171077E+18</v>
      </c>
      <c r="B1093">
        <v>5</v>
      </c>
      <c r="C1093">
        <v>1</v>
      </c>
      <c r="D1093">
        <v>3</v>
      </c>
      <c r="E1093">
        <v>513</v>
      </c>
      <c r="F1093" t="s">
        <v>1228</v>
      </c>
    </row>
    <row r="1094" spans="1:6" x14ac:dyDescent="0.55000000000000004">
      <c r="A1094" s="6">
        <v>9.4244478564576563E+18</v>
      </c>
      <c r="B1094">
        <v>5</v>
      </c>
      <c r="C1094">
        <v>1</v>
      </c>
      <c r="D1094">
        <v>1</v>
      </c>
      <c r="E1094">
        <v>511</v>
      </c>
      <c r="F1094" t="s">
        <v>1228</v>
      </c>
    </row>
    <row r="1095" spans="1:6" x14ac:dyDescent="0.55000000000000004">
      <c r="A1095" s="6">
        <v>9.4373128268996157E+18</v>
      </c>
      <c r="B1095">
        <v>5</v>
      </c>
      <c r="C1095">
        <v>1</v>
      </c>
      <c r="D1095">
        <v>2</v>
      </c>
      <c r="E1095">
        <v>512</v>
      </c>
      <c r="F1095" t="s">
        <v>1228</v>
      </c>
    </row>
    <row r="1096" spans="1:6" x14ac:dyDescent="0.55000000000000004">
      <c r="A1096" s="6">
        <v>9.4455062286359388E+18</v>
      </c>
      <c r="B1096">
        <v>4</v>
      </c>
      <c r="C1096">
        <v>1</v>
      </c>
      <c r="D1096">
        <v>2</v>
      </c>
      <c r="E1096">
        <v>412</v>
      </c>
      <c r="F1096" t="s">
        <v>1233</v>
      </c>
    </row>
    <row r="1097" spans="1:6" x14ac:dyDescent="0.55000000000000004">
      <c r="A1097" s="6">
        <v>9.4492502071620915E+18</v>
      </c>
      <c r="B1097">
        <v>4</v>
      </c>
      <c r="C1097">
        <v>1</v>
      </c>
      <c r="D1097">
        <v>1</v>
      </c>
      <c r="E1097">
        <v>411</v>
      </c>
      <c r="F1097" t="s">
        <v>1233</v>
      </c>
    </row>
    <row r="1098" spans="1:6" x14ac:dyDescent="0.55000000000000004">
      <c r="A1098" s="6">
        <v>9.4514269476234404E+18</v>
      </c>
      <c r="B1098">
        <v>5</v>
      </c>
      <c r="C1098">
        <v>3</v>
      </c>
      <c r="D1098">
        <v>3</v>
      </c>
      <c r="E1098">
        <v>533</v>
      </c>
      <c r="F1098" t="s">
        <v>1230</v>
      </c>
    </row>
    <row r="1099" spans="1:6" x14ac:dyDescent="0.55000000000000004">
      <c r="A1099" s="6">
        <v>9.4530084499309056E+18</v>
      </c>
      <c r="B1099">
        <v>3</v>
      </c>
      <c r="C1099">
        <v>1</v>
      </c>
      <c r="D1099">
        <v>2</v>
      </c>
      <c r="E1099">
        <v>312</v>
      </c>
      <c r="F1099" t="s">
        <v>1233</v>
      </c>
    </row>
    <row r="1100" spans="1:6" x14ac:dyDescent="0.55000000000000004">
      <c r="A1100" s="6">
        <v>9.4643369197105684E+18</v>
      </c>
      <c r="B1100">
        <v>3</v>
      </c>
      <c r="C1100">
        <v>1</v>
      </c>
      <c r="D1100">
        <v>1</v>
      </c>
      <c r="E1100">
        <v>311</v>
      </c>
      <c r="F1100" t="s">
        <v>1233</v>
      </c>
    </row>
    <row r="1101" spans="1:6" x14ac:dyDescent="0.55000000000000004">
      <c r="A1101" s="6">
        <v>9.4676140967001108E+18</v>
      </c>
      <c r="B1101">
        <v>5</v>
      </c>
      <c r="C1101">
        <v>2</v>
      </c>
      <c r="D1101">
        <v>3</v>
      </c>
      <c r="E1101">
        <v>523</v>
      </c>
      <c r="F1101" t="s">
        <v>1229</v>
      </c>
    </row>
    <row r="1102" spans="1:6" x14ac:dyDescent="0.55000000000000004">
      <c r="A1102" s="6">
        <v>9.4799035867052339E+18</v>
      </c>
      <c r="B1102">
        <v>2</v>
      </c>
      <c r="C1102">
        <v>1</v>
      </c>
      <c r="D1102">
        <v>1</v>
      </c>
      <c r="E1102">
        <v>211</v>
      </c>
      <c r="F1102" t="s">
        <v>1234</v>
      </c>
    </row>
    <row r="1103" spans="1:6" x14ac:dyDescent="0.55000000000000004">
      <c r="A1103" s="6">
        <v>9.4805907407423304E+18</v>
      </c>
      <c r="B1103">
        <v>5</v>
      </c>
      <c r="C1103">
        <v>3</v>
      </c>
      <c r="D1103">
        <v>3</v>
      </c>
      <c r="E1103">
        <v>533</v>
      </c>
      <c r="F1103" t="s">
        <v>1230</v>
      </c>
    </row>
    <row r="1104" spans="1:6" x14ac:dyDescent="0.55000000000000004">
      <c r="A1104" s="6">
        <v>9.485476403040895E+18</v>
      </c>
      <c r="B1104">
        <v>5</v>
      </c>
      <c r="C1104">
        <v>1</v>
      </c>
      <c r="D1104">
        <v>3</v>
      </c>
      <c r="E1104">
        <v>513</v>
      </c>
      <c r="F1104" t="s">
        <v>1228</v>
      </c>
    </row>
    <row r="1105" spans="1:6" x14ac:dyDescent="0.55000000000000004">
      <c r="A1105" s="6">
        <v>9.530727924031914E+18</v>
      </c>
      <c r="B1105">
        <v>4</v>
      </c>
      <c r="C1105">
        <v>1</v>
      </c>
      <c r="D1105">
        <v>1</v>
      </c>
      <c r="E1105">
        <v>411</v>
      </c>
      <c r="F1105" t="s">
        <v>1233</v>
      </c>
    </row>
    <row r="1106" spans="1:6" x14ac:dyDescent="0.55000000000000004">
      <c r="A1106" s="6">
        <v>9.5406745447199293E+18</v>
      </c>
      <c r="B1106">
        <v>4</v>
      </c>
      <c r="C1106">
        <v>2</v>
      </c>
      <c r="D1106">
        <v>3</v>
      </c>
      <c r="E1106">
        <v>423</v>
      </c>
      <c r="F1106" t="s">
        <v>1229</v>
      </c>
    </row>
    <row r="1107" spans="1:6" x14ac:dyDescent="0.55000000000000004">
      <c r="A1107" s="6">
        <v>9.5486237307164324E+18</v>
      </c>
      <c r="B1107">
        <v>5</v>
      </c>
      <c r="C1107">
        <v>1</v>
      </c>
      <c r="D1107">
        <v>2</v>
      </c>
      <c r="E1107">
        <v>512</v>
      </c>
      <c r="F1107" t="s">
        <v>1228</v>
      </c>
    </row>
    <row r="1108" spans="1:6" x14ac:dyDescent="0.55000000000000004">
      <c r="A1108" s="6">
        <v>9.5516477578069279E+18</v>
      </c>
      <c r="B1108">
        <v>2</v>
      </c>
      <c r="C1108">
        <v>1</v>
      </c>
      <c r="D1108">
        <v>3</v>
      </c>
      <c r="E1108">
        <v>213</v>
      </c>
      <c r="F1108" t="s">
        <v>1234</v>
      </c>
    </row>
    <row r="1109" spans="1:6" x14ac:dyDescent="0.55000000000000004">
      <c r="A1109" s="6">
        <v>9.5591234173917E+18</v>
      </c>
      <c r="B1109">
        <v>2</v>
      </c>
      <c r="C1109">
        <v>1</v>
      </c>
      <c r="D1109">
        <v>1</v>
      </c>
      <c r="E1109">
        <v>211</v>
      </c>
      <c r="F1109" t="s">
        <v>1234</v>
      </c>
    </row>
    <row r="1110" spans="1:6" x14ac:dyDescent="0.55000000000000004">
      <c r="A1110" s="6">
        <v>9.5659590855992033E+18</v>
      </c>
      <c r="B1110">
        <v>5</v>
      </c>
      <c r="C1110">
        <v>1</v>
      </c>
      <c r="D1110">
        <v>1</v>
      </c>
      <c r="E1110">
        <v>511</v>
      </c>
      <c r="F1110" t="s">
        <v>1228</v>
      </c>
    </row>
    <row r="1111" spans="1:6" x14ac:dyDescent="0.55000000000000004">
      <c r="A1111" s="6">
        <v>9.5853742423765955E+18</v>
      </c>
      <c r="B1111">
        <v>3</v>
      </c>
      <c r="C1111">
        <v>1</v>
      </c>
      <c r="D1111">
        <v>1</v>
      </c>
      <c r="E1111">
        <v>311</v>
      </c>
      <c r="F1111" t="s">
        <v>1233</v>
      </c>
    </row>
    <row r="1112" spans="1:6" x14ac:dyDescent="0.55000000000000004">
      <c r="A1112" s="6">
        <v>9.5933404343184896E+18</v>
      </c>
      <c r="B1112">
        <v>4</v>
      </c>
      <c r="C1112">
        <v>1</v>
      </c>
      <c r="D1112">
        <v>1</v>
      </c>
      <c r="E1112">
        <v>411</v>
      </c>
      <c r="F1112" t="s">
        <v>1233</v>
      </c>
    </row>
    <row r="1113" spans="1:6" x14ac:dyDescent="0.55000000000000004">
      <c r="A1113" s="6">
        <v>9.6017999578407936E+18</v>
      </c>
      <c r="B1113">
        <v>4</v>
      </c>
      <c r="C1113">
        <v>1</v>
      </c>
      <c r="D1113">
        <v>2</v>
      </c>
      <c r="E1113">
        <v>412</v>
      </c>
      <c r="F1113" t="s">
        <v>1233</v>
      </c>
    </row>
    <row r="1114" spans="1:6" x14ac:dyDescent="0.55000000000000004">
      <c r="A1114" s="6">
        <v>9.6122222484694364E+18</v>
      </c>
      <c r="B1114">
        <v>4</v>
      </c>
      <c r="C1114">
        <v>2</v>
      </c>
      <c r="D1114">
        <v>2</v>
      </c>
      <c r="E1114">
        <v>422</v>
      </c>
      <c r="F1114" t="s">
        <v>1229</v>
      </c>
    </row>
    <row r="1115" spans="1:6" x14ac:dyDescent="0.55000000000000004">
      <c r="A1115" s="6">
        <v>9.6222725376012984E+18</v>
      </c>
      <c r="B1115">
        <v>5</v>
      </c>
      <c r="C1115">
        <v>1</v>
      </c>
      <c r="D1115">
        <v>3</v>
      </c>
      <c r="E1115">
        <v>513</v>
      </c>
      <c r="F1115" t="s">
        <v>1228</v>
      </c>
    </row>
    <row r="1116" spans="1:6" x14ac:dyDescent="0.55000000000000004">
      <c r="A1116" s="6">
        <v>9.6234067619688038E+18</v>
      </c>
      <c r="B1116">
        <v>5</v>
      </c>
      <c r="C1116">
        <v>2</v>
      </c>
      <c r="D1116">
        <v>2</v>
      </c>
      <c r="E1116">
        <v>522</v>
      </c>
      <c r="F1116" t="s">
        <v>1229</v>
      </c>
    </row>
    <row r="1117" spans="1:6" x14ac:dyDescent="0.55000000000000004">
      <c r="A1117" s="6">
        <v>9.6290341339779236E+18</v>
      </c>
      <c r="B1117">
        <v>3</v>
      </c>
      <c r="C1117">
        <v>1</v>
      </c>
      <c r="D1117">
        <v>3</v>
      </c>
      <c r="E1117">
        <v>313</v>
      </c>
      <c r="F1117" t="s">
        <v>1233</v>
      </c>
    </row>
    <row r="1118" spans="1:6" x14ac:dyDescent="0.55000000000000004">
      <c r="A1118" s="6">
        <v>9.6321694814680187E+18</v>
      </c>
      <c r="B1118">
        <v>4</v>
      </c>
      <c r="C1118">
        <v>1</v>
      </c>
      <c r="D1118">
        <v>1</v>
      </c>
      <c r="E1118">
        <v>411</v>
      </c>
      <c r="F1118" t="s">
        <v>1233</v>
      </c>
    </row>
    <row r="1119" spans="1:6" x14ac:dyDescent="0.55000000000000004">
      <c r="A1119" s="6">
        <v>9.6345036687614505E+18</v>
      </c>
      <c r="B1119">
        <v>3</v>
      </c>
      <c r="C1119">
        <v>1</v>
      </c>
      <c r="D1119">
        <v>2</v>
      </c>
      <c r="E1119">
        <v>312</v>
      </c>
      <c r="F1119" t="s">
        <v>1233</v>
      </c>
    </row>
    <row r="1120" spans="1:6" x14ac:dyDescent="0.55000000000000004">
      <c r="A1120" s="6">
        <v>9.6368420175897559E+18</v>
      </c>
      <c r="B1120">
        <v>5</v>
      </c>
      <c r="C1120">
        <v>1</v>
      </c>
      <c r="D1120">
        <v>1</v>
      </c>
      <c r="E1120">
        <v>511</v>
      </c>
      <c r="F1120" t="s">
        <v>1228</v>
      </c>
    </row>
    <row r="1121" spans="1:6" x14ac:dyDescent="0.55000000000000004">
      <c r="A1121" s="6">
        <v>9.6386809581655101E+18</v>
      </c>
      <c r="B1121">
        <v>4</v>
      </c>
      <c r="C1121">
        <v>1</v>
      </c>
      <c r="D1121">
        <v>2</v>
      </c>
      <c r="E1121">
        <v>412</v>
      </c>
      <c r="F1121" t="s">
        <v>1233</v>
      </c>
    </row>
    <row r="1122" spans="1:6" x14ac:dyDescent="0.55000000000000004">
      <c r="A1122" s="6">
        <v>9.6444022899638211E+18</v>
      </c>
      <c r="B1122">
        <v>4</v>
      </c>
      <c r="C1122">
        <v>1</v>
      </c>
      <c r="D1122">
        <v>1</v>
      </c>
      <c r="E1122">
        <v>411</v>
      </c>
      <c r="F1122" t="s">
        <v>1233</v>
      </c>
    </row>
    <row r="1123" spans="1:6" x14ac:dyDescent="0.55000000000000004">
      <c r="A1123" s="6">
        <v>9.6483656327770194E+18</v>
      </c>
      <c r="B1123">
        <v>5</v>
      </c>
      <c r="C1123">
        <v>2</v>
      </c>
      <c r="D1123">
        <v>2</v>
      </c>
      <c r="E1123">
        <v>522</v>
      </c>
      <c r="F1123" t="s">
        <v>1229</v>
      </c>
    </row>
    <row r="1124" spans="1:6" x14ac:dyDescent="0.55000000000000004">
      <c r="A1124" s="6">
        <v>9.6642641141780828E+18</v>
      </c>
      <c r="B1124">
        <v>3</v>
      </c>
      <c r="C1124">
        <v>1</v>
      </c>
      <c r="D1124">
        <v>3</v>
      </c>
      <c r="E1124">
        <v>313</v>
      </c>
      <c r="F1124" t="s">
        <v>1233</v>
      </c>
    </row>
    <row r="1125" spans="1:6" x14ac:dyDescent="0.55000000000000004">
      <c r="A1125" s="6">
        <v>9.6644451978526269E+18</v>
      </c>
      <c r="B1125">
        <v>5</v>
      </c>
      <c r="C1125">
        <v>2</v>
      </c>
      <c r="D1125">
        <v>3</v>
      </c>
      <c r="E1125">
        <v>523</v>
      </c>
      <c r="F1125" t="s">
        <v>1229</v>
      </c>
    </row>
    <row r="1126" spans="1:6" x14ac:dyDescent="0.55000000000000004">
      <c r="A1126" s="6">
        <v>9.6984337750557348E+18</v>
      </c>
      <c r="B1126">
        <v>4</v>
      </c>
      <c r="C1126">
        <v>1</v>
      </c>
      <c r="D1126">
        <v>3</v>
      </c>
      <c r="E1126">
        <v>413</v>
      </c>
      <c r="F1126" t="s">
        <v>1233</v>
      </c>
    </row>
    <row r="1127" spans="1:6" x14ac:dyDescent="0.55000000000000004">
      <c r="A1127" s="6">
        <v>9.7040377157444792E+18</v>
      </c>
      <c r="B1127">
        <v>4</v>
      </c>
      <c r="C1127">
        <v>1</v>
      </c>
      <c r="D1127">
        <v>2</v>
      </c>
      <c r="E1127">
        <v>412</v>
      </c>
      <c r="F1127" t="s">
        <v>1233</v>
      </c>
    </row>
    <row r="1128" spans="1:6" x14ac:dyDescent="0.55000000000000004">
      <c r="A1128" s="6">
        <v>9.7042332944123105E+18</v>
      </c>
      <c r="B1128">
        <v>5</v>
      </c>
      <c r="C1128">
        <v>3</v>
      </c>
      <c r="D1128">
        <v>3</v>
      </c>
      <c r="E1128">
        <v>533</v>
      </c>
      <c r="F1128" t="s">
        <v>1230</v>
      </c>
    </row>
    <row r="1129" spans="1:6" x14ac:dyDescent="0.55000000000000004">
      <c r="A1129" s="6">
        <v>9.7256486500598088E+18</v>
      </c>
      <c r="B1129">
        <v>5</v>
      </c>
      <c r="C1129">
        <v>1</v>
      </c>
      <c r="D1129">
        <v>2</v>
      </c>
      <c r="E1129">
        <v>512</v>
      </c>
      <c r="F1129" t="s">
        <v>1228</v>
      </c>
    </row>
    <row r="1130" spans="1:6" x14ac:dyDescent="0.55000000000000004">
      <c r="A1130" s="6">
        <v>9.7425249189334835E+18</v>
      </c>
      <c r="B1130">
        <v>4</v>
      </c>
      <c r="C1130">
        <v>2</v>
      </c>
      <c r="D1130">
        <v>3</v>
      </c>
      <c r="E1130">
        <v>423</v>
      </c>
      <c r="F1130" t="s">
        <v>1229</v>
      </c>
    </row>
    <row r="1131" spans="1:6" x14ac:dyDescent="0.55000000000000004">
      <c r="A1131" s="6">
        <v>9.7528196234259067E+18</v>
      </c>
      <c r="B1131">
        <v>4</v>
      </c>
      <c r="C1131">
        <v>1</v>
      </c>
      <c r="D1131">
        <v>1</v>
      </c>
      <c r="E1131">
        <v>411</v>
      </c>
      <c r="F1131" t="s">
        <v>1233</v>
      </c>
    </row>
    <row r="1132" spans="1:6" x14ac:dyDescent="0.55000000000000004">
      <c r="A1132" s="6">
        <v>9.7566304659651379E+18</v>
      </c>
      <c r="B1132">
        <v>4</v>
      </c>
      <c r="C1132">
        <v>1</v>
      </c>
      <c r="D1132">
        <v>1</v>
      </c>
      <c r="E1132">
        <v>411</v>
      </c>
      <c r="F1132" t="s">
        <v>1233</v>
      </c>
    </row>
    <row r="1133" spans="1:6" x14ac:dyDescent="0.55000000000000004">
      <c r="A1133" s="6">
        <v>9.771607642693548E+18</v>
      </c>
      <c r="B1133">
        <v>4</v>
      </c>
      <c r="C1133">
        <v>2</v>
      </c>
      <c r="D1133">
        <v>3</v>
      </c>
      <c r="E1133">
        <v>423</v>
      </c>
      <c r="F1133" t="s">
        <v>1229</v>
      </c>
    </row>
    <row r="1134" spans="1:6" x14ac:dyDescent="0.55000000000000004">
      <c r="A1134" s="6">
        <v>9.7780975587307356E+18</v>
      </c>
      <c r="B1134">
        <v>3</v>
      </c>
      <c r="C1134">
        <v>2</v>
      </c>
      <c r="D1134">
        <v>3</v>
      </c>
      <c r="E1134">
        <v>323</v>
      </c>
      <c r="F1134" t="s">
        <v>1233</v>
      </c>
    </row>
    <row r="1135" spans="1:6" x14ac:dyDescent="0.55000000000000004">
      <c r="A1135" s="6">
        <v>9.7783392705113784E+18</v>
      </c>
      <c r="B1135">
        <v>5</v>
      </c>
      <c r="C1135">
        <v>3</v>
      </c>
      <c r="D1135">
        <v>2</v>
      </c>
      <c r="E1135">
        <v>532</v>
      </c>
      <c r="F1135" t="s">
        <v>1230</v>
      </c>
    </row>
    <row r="1136" spans="1:6" x14ac:dyDescent="0.55000000000000004">
      <c r="A1136" s="6">
        <v>9.7965584736728637E+18</v>
      </c>
      <c r="B1136">
        <v>5</v>
      </c>
      <c r="C1136">
        <v>1</v>
      </c>
      <c r="D1136">
        <v>3</v>
      </c>
      <c r="E1136">
        <v>513</v>
      </c>
      <c r="F1136" t="s">
        <v>1228</v>
      </c>
    </row>
    <row r="1137" spans="1:6" x14ac:dyDescent="0.55000000000000004">
      <c r="A1137" s="6">
        <v>9.8017052863253606E+18</v>
      </c>
      <c r="B1137">
        <v>1</v>
      </c>
      <c r="C1137">
        <v>1</v>
      </c>
      <c r="D1137">
        <v>2</v>
      </c>
      <c r="E1137">
        <v>112</v>
      </c>
      <c r="F1137" t="s">
        <v>1234</v>
      </c>
    </row>
    <row r="1138" spans="1:6" x14ac:dyDescent="0.55000000000000004">
      <c r="A1138" s="6">
        <v>9.8054516504646656E+18</v>
      </c>
      <c r="B1138">
        <v>3</v>
      </c>
      <c r="C1138">
        <v>1</v>
      </c>
      <c r="D1138">
        <v>3</v>
      </c>
      <c r="E1138">
        <v>313</v>
      </c>
      <c r="F1138" t="s">
        <v>1233</v>
      </c>
    </row>
    <row r="1139" spans="1:6" x14ac:dyDescent="0.55000000000000004">
      <c r="A1139" s="6">
        <v>9.8164444941960991E+18</v>
      </c>
      <c r="B1139">
        <v>4</v>
      </c>
      <c r="C1139">
        <v>2</v>
      </c>
      <c r="D1139">
        <v>3</v>
      </c>
      <c r="E1139">
        <v>423</v>
      </c>
      <c r="F1139" t="s">
        <v>1229</v>
      </c>
    </row>
    <row r="1140" spans="1:6" x14ac:dyDescent="0.55000000000000004">
      <c r="A1140" s="6">
        <v>9.8187111120081879E+18</v>
      </c>
      <c r="B1140">
        <v>5</v>
      </c>
      <c r="C1140">
        <v>1</v>
      </c>
      <c r="D1140">
        <v>3</v>
      </c>
      <c r="E1140">
        <v>513</v>
      </c>
      <c r="F1140" t="s">
        <v>1228</v>
      </c>
    </row>
    <row r="1141" spans="1:6" x14ac:dyDescent="0.55000000000000004">
      <c r="A1141" s="6">
        <v>9.8205187287879721E+18</v>
      </c>
      <c r="B1141">
        <v>3</v>
      </c>
      <c r="C1141">
        <v>1</v>
      </c>
      <c r="D1141">
        <v>3</v>
      </c>
      <c r="E1141">
        <v>313</v>
      </c>
      <c r="F1141" t="s">
        <v>1233</v>
      </c>
    </row>
    <row r="1142" spans="1:6" x14ac:dyDescent="0.55000000000000004">
      <c r="A1142" s="6">
        <v>9.8583348048057221E+18</v>
      </c>
      <c r="B1142">
        <v>1</v>
      </c>
      <c r="C1142">
        <v>1</v>
      </c>
      <c r="D1142">
        <v>1</v>
      </c>
      <c r="E1142">
        <v>111</v>
      </c>
      <c r="F1142" t="s">
        <v>1234</v>
      </c>
    </row>
    <row r="1143" spans="1:6" x14ac:dyDescent="0.55000000000000004">
      <c r="A1143" s="6">
        <v>9.8594125700887286E+18</v>
      </c>
      <c r="B1143">
        <v>2</v>
      </c>
      <c r="C1143">
        <v>1</v>
      </c>
      <c r="D1143">
        <v>2</v>
      </c>
      <c r="E1143">
        <v>212</v>
      </c>
      <c r="F1143" t="s">
        <v>1234</v>
      </c>
    </row>
    <row r="1144" spans="1:6" x14ac:dyDescent="0.55000000000000004">
      <c r="A1144" s="6">
        <v>9.876101599355945E+18</v>
      </c>
      <c r="B1144">
        <v>3</v>
      </c>
      <c r="C1144">
        <v>1</v>
      </c>
      <c r="D1144">
        <v>1</v>
      </c>
      <c r="E1144">
        <v>311</v>
      </c>
      <c r="F1144" t="s">
        <v>1233</v>
      </c>
    </row>
    <row r="1145" spans="1:6" x14ac:dyDescent="0.55000000000000004">
      <c r="A1145" s="6">
        <v>9.8779459301162066E+18</v>
      </c>
      <c r="B1145">
        <v>4</v>
      </c>
      <c r="C1145">
        <v>1</v>
      </c>
      <c r="D1145">
        <v>2</v>
      </c>
      <c r="E1145">
        <v>412</v>
      </c>
      <c r="F1145" t="s">
        <v>1233</v>
      </c>
    </row>
    <row r="1146" spans="1:6" x14ac:dyDescent="0.55000000000000004">
      <c r="A1146" s="6">
        <v>9.8964021860478259E+18</v>
      </c>
      <c r="B1146">
        <v>2</v>
      </c>
      <c r="C1146">
        <v>1</v>
      </c>
      <c r="D1146">
        <v>1</v>
      </c>
      <c r="E1146">
        <v>211</v>
      </c>
      <c r="F1146" t="s">
        <v>1234</v>
      </c>
    </row>
    <row r="1147" spans="1:6" x14ac:dyDescent="0.55000000000000004">
      <c r="A1147" s="6">
        <v>9.9012415893607588E+18</v>
      </c>
      <c r="B1147">
        <v>5</v>
      </c>
      <c r="C1147">
        <v>2</v>
      </c>
      <c r="D1147">
        <v>2</v>
      </c>
      <c r="E1147">
        <v>522</v>
      </c>
      <c r="F1147" t="s">
        <v>1229</v>
      </c>
    </row>
    <row r="1148" spans="1:6" x14ac:dyDescent="0.55000000000000004">
      <c r="A1148" s="6">
        <v>9.9043953447114916E+18</v>
      </c>
      <c r="B1148">
        <v>5</v>
      </c>
      <c r="C1148">
        <v>2</v>
      </c>
      <c r="D1148">
        <v>3</v>
      </c>
      <c r="E1148">
        <v>523</v>
      </c>
      <c r="F1148" t="s">
        <v>1229</v>
      </c>
    </row>
    <row r="1149" spans="1:6" x14ac:dyDescent="0.55000000000000004">
      <c r="A1149" s="6">
        <v>9.9205548463903089E+18</v>
      </c>
      <c r="B1149">
        <v>2</v>
      </c>
      <c r="C1149">
        <v>1</v>
      </c>
      <c r="D1149">
        <v>1</v>
      </c>
      <c r="E1149">
        <v>211</v>
      </c>
      <c r="F1149" t="s">
        <v>1234</v>
      </c>
    </row>
    <row r="1150" spans="1:6" x14ac:dyDescent="0.55000000000000004">
      <c r="A1150" s="6">
        <v>9.925676577248469E+18</v>
      </c>
      <c r="B1150">
        <v>2</v>
      </c>
      <c r="C1150">
        <v>1</v>
      </c>
      <c r="D1150">
        <v>1</v>
      </c>
      <c r="E1150">
        <v>211</v>
      </c>
      <c r="F1150" t="s">
        <v>1234</v>
      </c>
    </row>
    <row r="1151" spans="1:6" x14ac:dyDescent="0.55000000000000004">
      <c r="A1151" s="6">
        <v>9.946256903831636E+18</v>
      </c>
      <c r="B1151">
        <v>4</v>
      </c>
      <c r="C1151">
        <v>1</v>
      </c>
      <c r="D1151">
        <v>1</v>
      </c>
      <c r="E1151">
        <v>411</v>
      </c>
      <c r="F1151" t="s">
        <v>1233</v>
      </c>
    </row>
    <row r="1152" spans="1:6" x14ac:dyDescent="0.55000000000000004">
      <c r="A1152" s="6">
        <v>9.9662904005672284E+18</v>
      </c>
      <c r="B1152">
        <v>4</v>
      </c>
      <c r="C1152">
        <v>1</v>
      </c>
      <c r="D1152">
        <v>3</v>
      </c>
      <c r="E1152">
        <v>413</v>
      </c>
      <c r="F1152" t="s">
        <v>1233</v>
      </c>
    </row>
    <row r="1153" spans="1:6" x14ac:dyDescent="0.55000000000000004">
      <c r="A1153" s="6">
        <v>9.968207945847255E+18</v>
      </c>
      <c r="B1153">
        <v>2</v>
      </c>
      <c r="C1153">
        <v>1</v>
      </c>
      <c r="D1153">
        <v>1</v>
      </c>
      <c r="E1153">
        <v>211</v>
      </c>
      <c r="F1153" t="s">
        <v>1234</v>
      </c>
    </row>
    <row r="1154" spans="1:6" x14ac:dyDescent="0.55000000000000004">
      <c r="A1154" s="6">
        <v>9.9765413218044355E+18</v>
      </c>
      <c r="B1154">
        <v>4</v>
      </c>
      <c r="C1154">
        <v>1</v>
      </c>
      <c r="D1154">
        <v>1</v>
      </c>
      <c r="E1154">
        <v>411</v>
      </c>
      <c r="F1154" t="s">
        <v>1233</v>
      </c>
    </row>
    <row r="1155" spans="1:6" x14ac:dyDescent="0.55000000000000004">
      <c r="A1155" s="6">
        <v>9.9885827118705459E+18</v>
      </c>
      <c r="B1155">
        <v>3</v>
      </c>
      <c r="C1155">
        <v>1</v>
      </c>
      <c r="D1155">
        <v>3</v>
      </c>
      <c r="E1155">
        <v>313</v>
      </c>
      <c r="F1155" t="s">
        <v>1233</v>
      </c>
    </row>
    <row r="1156" spans="1:6" x14ac:dyDescent="0.55000000000000004">
      <c r="A1156" s="6">
        <v>9.9893236953326203E+18</v>
      </c>
      <c r="B1156">
        <v>5</v>
      </c>
      <c r="C1156">
        <v>1</v>
      </c>
      <c r="D1156">
        <v>2</v>
      </c>
      <c r="E1156">
        <v>512</v>
      </c>
      <c r="F1156" t="s">
        <v>1228</v>
      </c>
    </row>
    <row r="1157" spans="1:6" x14ac:dyDescent="0.55000000000000004">
      <c r="A1157" s="6">
        <v>1.0004754062795839E+19</v>
      </c>
      <c r="B1157">
        <v>5</v>
      </c>
      <c r="C1157">
        <v>1</v>
      </c>
      <c r="D1157">
        <v>2</v>
      </c>
      <c r="E1157">
        <v>512</v>
      </c>
      <c r="F1157" t="s">
        <v>1228</v>
      </c>
    </row>
    <row r="1158" spans="1:6" x14ac:dyDescent="0.55000000000000004">
      <c r="A1158" s="6">
        <v>1.000893489261431E+19</v>
      </c>
      <c r="B1158">
        <v>5</v>
      </c>
      <c r="C1158">
        <v>2</v>
      </c>
      <c r="D1158">
        <v>2</v>
      </c>
      <c r="E1158">
        <v>522</v>
      </c>
      <c r="F1158" t="s">
        <v>1229</v>
      </c>
    </row>
    <row r="1159" spans="1:6" x14ac:dyDescent="0.55000000000000004">
      <c r="A1159" s="6">
        <v>1.002818524851295E+19</v>
      </c>
      <c r="B1159">
        <v>5</v>
      </c>
      <c r="C1159">
        <v>2</v>
      </c>
      <c r="D1159">
        <v>3</v>
      </c>
      <c r="E1159">
        <v>523</v>
      </c>
      <c r="F1159" t="s">
        <v>1229</v>
      </c>
    </row>
    <row r="1160" spans="1:6" x14ac:dyDescent="0.55000000000000004">
      <c r="A1160" s="6">
        <v>1.0033077588166869E+19</v>
      </c>
      <c r="B1160">
        <v>4</v>
      </c>
      <c r="C1160">
        <v>1</v>
      </c>
      <c r="D1160">
        <v>1</v>
      </c>
      <c r="E1160">
        <v>411</v>
      </c>
      <c r="F1160" t="s">
        <v>1233</v>
      </c>
    </row>
    <row r="1161" spans="1:6" x14ac:dyDescent="0.55000000000000004">
      <c r="A1161" s="6">
        <v>1.0033289922119229E+19</v>
      </c>
      <c r="B1161">
        <v>4</v>
      </c>
      <c r="C1161">
        <v>1</v>
      </c>
      <c r="D1161">
        <v>2</v>
      </c>
      <c r="E1161">
        <v>412</v>
      </c>
      <c r="F1161" t="s">
        <v>1233</v>
      </c>
    </row>
    <row r="1162" spans="1:6" x14ac:dyDescent="0.55000000000000004">
      <c r="A1162" s="6">
        <v>1.004436856264552E+19</v>
      </c>
      <c r="B1162">
        <v>5</v>
      </c>
      <c r="C1162">
        <v>3</v>
      </c>
      <c r="D1162">
        <v>3</v>
      </c>
      <c r="E1162">
        <v>533</v>
      </c>
      <c r="F1162" t="s">
        <v>1230</v>
      </c>
    </row>
    <row r="1163" spans="1:6" x14ac:dyDescent="0.55000000000000004">
      <c r="A1163" s="6">
        <v>1.006248546800275E+19</v>
      </c>
      <c r="B1163">
        <v>3</v>
      </c>
      <c r="C1163">
        <v>1</v>
      </c>
      <c r="D1163">
        <v>2</v>
      </c>
      <c r="E1163">
        <v>312</v>
      </c>
      <c r="F1163" t="s">
        <v>1233</v>
      </c>
    </row>
    <row r="1164" spans="1:6" x14ac:dyDescent="0.55000000000000004">
      <c r="A1164" s="6">
        <v>1.0069732117183441E+19</v>
      </c>
      <c r="B1164">
        <v>5</v>
      </c>
      <c r="C1164">
        <v>1</v>
      </c>
      <c r="D1164">
        <v>3</v>
      </c>
      <c r="E1164">
        <v>513</v>
      </c>
      <c r="F1164" t="s">
        <v>1228</v>
      </c>
    </row>
    <row r="1165" spans="1:6" x14ac:dyDescent="0.55000000000000004">
      <c r="A1165" s="6">
        <v>1.008134325216351E+19</v>
      </c>
      <c r="B1165">
        <v>4</v>
      </c>
      <c r="C1165">
        <v>1</v>
      </c>
      <c r="D1165">
        <v>2</v>
      </c>
      <c r="E1165">
        <v>412</v>
      </c>
      <c r="F1165" t="s">
        <v>1233</v>
      </c>
    </row>
    <row r="1166" spans="1:6" x14ac:dyDescent="0.55000000000000004">
      <c r="A1166" s="6">
        <v>1.008690972992922E+19</v>
      </c>
      <c r="B1166">
        <v>2</v>
      </c>
      <c r="C1166">
        <v>1</v>
      </c>
      <c r="D1166">
        <v>3</v>
      </c>
      <c r="E1166">
        <v>213</v>
      </c>
      <c r="F1166" t="s">
        <v>1234</v>
      </c>
    </row>
    <row r="1167" spans="1:6" x14ac:dyDescent="0.55000000000000004">
      <c r="A1167" s="6">
        <v>1.0094740595714761E+19</v>
      </c>
      <c r="B1167">
        <v>4</v>
      </c>
      <c r="C1167">
        <v>1</v>
      </c>
      <c r="D1167">
        <v>1</v>
      </c>
      <c r="E1167">
        <v>411</v>
      </c>
      <c r="F1167" t="s">
        <v>1233</v>
      </c>
    </row>
    <row r="1168" spans="1:6" x14ac:dyDescent="0.55000000000000004">
      <c r="A1168" s="6">
        <v>1.010084852275994E+19</v>
      </c>
      <c r="B1168">
        <v>5</v>
      </c>
      <c r="C1168">
        <v>3</v>
      </c>
      <c r="D1168">
        <v>3</v>
      </c>
      <c r="E1168">
        <v>533</v>
      </c>
      <c r="F1168" t="s">
        <v>1230</v>
      </c>
    </row>
    <row r="1169" spans="1:6" x14ac:dyDescent="0.55000000000000004">
      <c r="A1169" s="6">
        <v>1.0101712164839559E+19</v>
      </c>
      <c r="B1169">
        <v>4</v>
      </c>
      <c r="C1169">
        <v>1</v>
      </c>
      <c r="D1169">
        <v>1</v>
      </c>
      <c r="E1169">
        <v>411</v>
      </c>
      <c r="F1169" t="s">
        <v>1233</v>
      </c>
    </row>
    <row r="1170" spans="1:6" x14ac:dyDescent="0.55000000000000004">
      <c r="A1170" s="6">
        <v>1.010356609631957E+19</v>
      </c>
      <c r="B1170">
        <v>5</v>
      </c>
      <c r="C1170">
        <v>3</v>
      </c>
      <c r="D1170">
        <v>2</v>
      </c>
      <c r="E1170">
        <v>532</v>
      </c>
      <c r="F1170" t="s">
        <v>1230</v>
      </c>
    </row>
    <row r="1171" spans="1:6" x14ac:dyDescent="0.55000000000000004">
      <c r="A1171" s="6">
        <v>1.0106165432899029E+19</v>
      </c>
      <c r="B1171">
        <v>4</v>
      </c>
      <c r="C1171">
        <v>1</v>
      </c>
      <c r="D1171">
        <v>2</v>
      </c>
      <c r="E1171">
        <v>412</v>
      </c>
      <c r="F1171" t="s">
        <v>1233</v>
      </c>
    </row>
    <row r="1172" spans="1:6" x14ac:dyDescent="0.55000000000000004">
      <c r="A1172" s="6">
        <v>1.0124995188450449E+19</v>
      </c>
      <c r="B1172">
        <v>4</v>
      </c>
      <c r="C1172">
        <v>2</v>
      </c>
      <c r="D1172">
        <v>3</v>
      </c>
      <c r="E1172">
        <v>423</v>
      </c>
      <c r="F1172" t="s">
        <v>1229</v>
      </c>
    </row>
    <row r="1173" spans="1:6" x14ac:dyDescent="0.55000000000000004">
      <c r="A1173" s="6">
        <v>1.0142052197562481E+19</v>
      </c>
      <c r="B1173">
        <v>5</v>
      </c>
      <c r="C1173">
        <v>2</v>
      </c>
      <c r="D1173">
        <v>3</v>
      </c>
      <c r="E1173">
        <v>523</v>
      </c>
      <c r="F1173" t="s">
        <v>1229</v>
      </c>
    </row>
    <row r="1174" spans="1:6" x14ac:dyDescent="0.55000000000000004">
      <c r="A1174" s="6">
        <v>1.0144809785486309E+19</v>
      </c>
      <c r="B1174">
        <v>3</v>
      </c>
      <c r="C1174">
        <v>1</v>
      </c>
      <c r="D1174">
        <v>3</v>
      </c>
      <c r="E1174">
        <v>313</v>
      </c>
      <c r="F1174" t="s">
        <v>1233</v>
      </c>
    </row>
    <row r="1175" spans="1:6" x14ac:dyDescent="0.55000000000000004">
      <c r="A1175" s="6">
        <v>1.015165737764199E+19</v>
      </c>
      <c r="B1175">
        <v>5</v>
      </c>
      <c r="C1175">
        <v>2</v>
      </c>
      <c r="D1175">
        <v>3</v>
      </c>
      <c r="E1175">
        <v>523</v>
      </c>
      <c r="F1175" t="s">
        <v>1229</v>
      </c>
    </row>
    <row r="1176" spans="1:6" x14ac:dyDescent="0.55000000000000004">
      <c r="A1176" s="6">
        <v>1.0162945802526751E+19</v>
      </c>
      <c r="B1176">
        <v>4</v>
      </c>
      <c r="C1176">
        <v>1</v>
      </c>
      <c r="D1176">
        <v>1</v>
      </c>
      <c r="E1176">
        <v>411</v>
      </c>
      <c r="F1176" t="s">
        <v>1233</v>
      </c>
    </row>
    <row r="1177" spans="1:6" x14ac:dyDescent="0.55000000000000004">
      <c r="A1177" s="6">
        <v>1.017263899543826E+19</v>
      </c>
      <c r="B1177">
        <v>5</v>
      </c>
      <c r="C1177">
        <v>1</v>
      </c>
      <c r="D1177">
        <v>2</v>
      </c>
      <c r="E1177">
        <v>512</v>
      </c>
      <c r="F1177" t="s">
        <v>1228</v>
      </c>
    </row>
    <row r="1178" spans="1:6" x14ac:dyDescent="0.55000000000000004">
      <c r="A1178" s="6">
        <v>1.0205499400559471E+19</v>
      </c>
      <c r="B1178">
        <v>3</v>
      </c>
      <c r="C1178">
        <v>1</v>
      </c>
      <c r="D1178">
        <v>3</v>
      </c>
      <c r="E1178">
        <v>313</v>
      </c>
      <c r="F1178" t="s">
        <v>1233</v>
      </c>
    </row>
    <row r="1179" spans="1:6" x14ac:dyDescent="0.55000000000000004">
      <c r="A1179" s="6">
        <v>1.0208256641071489E+19</v>
      </c>
      <c r="B1179">
        <v>4</v>
      </c>
      <c r="C1179">
        <v>3</v>
      </c>
      <c r="D1179">
        <v>3</v>
      </c>
      <c r="E1179">
        <v>433</v>
      </c>
      <c r="F1179" t="s">
        <v>1230</v>
      </c>
    </row>
    <row r="1180" spans="1:6" x14ac:dyDescent="0.55000000000000004">
      <c r="A1180" s="6">
        <v>1.0208362165942811E+19</v>
      </c>
      <c r="B1180">
        <v>3</v>
      </c>
      <c r="C1180">
        <v>1</v>
      </c>
      <c r="D1180">
        <v>1</v>
      </c>
      <c r="E1180">
        <v>311</v>
      </c>
      <c r="F1180" t="s">
        <v>1233</v>
      </c>
    </row>
    <row r="1181" spans="1:6" x14ac:dyDescent="0.55000000000000004">
      <c r="A1181" s="6">
        <v>1.02172950625995E+19</v>
      </c>
      <c r="B1181">
        <v>5</v>
      </c>
      <c r="C1181">
        <v>1</v>
      </c>
      <c r="D1181">
        <v>2</v>
      </c>
      <c r="E1181">
        <v>512</v>
      </c>
      <c r="F1181" t="s">
        <v>1228</v>
      </c>
    </row>
    <row r="1182" spans="1:6" x14ac:dyDescent="0.55000000000000004">
      <c r="A1182" s="6">
        <v>1.0219666372856611E+19</v>
      </c>
      <c r="B1182">
        <v>4</v>
      </c>
      <c r="C1182">
        <v>1</v>
      </c>
      <c r="D1182">
        <v>1</v>
      </c>
      <c r="E1182">
        <v>411</v>
      </c>
      <c r="F1182" t="s">
        <v>1233</v>
      </c>
    </row>
    <row r="1183" spans="1:6" x14ac:dyDescent="0.55000000000000004">
      <c r="A1183" s="6">
        <v>1.023326339046786E+19</v>
      </c>
      <c r="B1183">
        <v>5</v>
      </c>
      <c r="C1183">
        <v>3</v>
      </c>
      <c r="D1183">
        <v>3</v>
      </c>
      <c r="E1183">
        <v>533</v>
      </c>
      <c r="F1183" t="s">
        <v>1230</v>
      </c>
    </row>
    <row r="1184" spans="1:6" x14ac:dyDescent="0.55000000000000004">
      <c r="A1184" s="6">
        <v>1.02390262991266E+19</v>
      </c>
      <c r="B1184">
        <v>5</v>
      </c>
      <c r="C1184">
        <v>1</v>
      </c>
      <c r="D1184">
        <v>2</v>
      </c>
      <c r="E1184">
        <v>512</v>
      </c>
      <c r="F1184" t="s">
        <v>1228</v>
      </c>
    </row>
    <row r="1185" spans="1:6" x14ac:dyDescent="0.55000000000000004">
      <c r="A1185" s="6">
        <v>1.0248370963254919E+19</v>
      </c>
      <c r="B1185">
        <v>3</v>
      </c>
      <c r="C1185">
        <v>1</v>
      </c>
      <c r="D1185">
        <v>1</v>
      </c>
      <c r="E1185">
        <v>311</v>
      </c>
      <c r="F1185" t="s">
        <v>1233</v>
      </c>
    </row>
    <row r="1186" spans="1:6" x14ac:dyDescent="0.55000000000000004">
      <c r="A1186" s="6">
        <v>1.025795227830743E+19</v>
      </c>
      <c r="B1186">
        <v>4</v>
      </c>
      <c r="C1186">
        <v>1</v>
      </c>
      <c r="D1186">
        <v>2</v>
      </c>
      <c r="E1186">
        <v>412</v>
      </c>
      <c r="F1186" t="s">
        <v>1233</v>
      </c>
    </row>
    <row r="1187" spans="1:6" x14ac:dyDescent="0.55000000000000004">
      <c r="A1187" s="6">
        <v>1.02766341055186E+19</v>
      </c>
      <c r="B1187">
        <v>4</v>
      </c>
      <c r="C1187">
        <v>1</v>
      </c>
      <c r="D1187">
        <v>1</v>
      </c>
      <c r="E1187">
        <v>411</v>
      </c>
      <c r="F1187" t="s">
        <v>1233</v>
      </c>
    </row>
    <row r="1188" spans="1:6" x14ac:dyDescent="0.55000000000000004">
      <c r="A1188" s="6">
        <v>1.0304751137086179E+19</v>
      </c>
      <c r="B1188">
        <v>5</v>
      </c>
      <c r="C1188">
        <v>2</v>
      </c>
      <c r="D1188">
        <v>3</v>
      </c>
      <c r="E1188">
        <v>523</v>
      </c>
      <c r="F1188" t="s">
        <v>1229</v>
      </c>
    </row>
    <row r="1189" spans="1:6" x14ac:dyDescent="0.55000000000000004">
      <c r="A1189" s="6">
        <v>1.0338236646254201E+19</v>
      </c>
      <c r="B1189">
        <v>2</v>
      </c>
      <c r="C1189">
        <v>1</v>
      </c>
      <c r="D1189">
        <v>1</v>
      </c>
      <c r="E1189">
        <v>211</v>
      </c>
      <c r="F1189" t="s">
        <v>1234</v>
      </c>
    </row>
    <row r="1190" spans="1:6" x14ac:dyDescent="0.55000000000000004">
      <c r="A1190" s="6">
        <v>1.0338627140176869E+19</v>
      </c>
      <c r="B1190">
        <v>5</v>
      </c>
      <c r="C1190">
        <v>1</v>
      </c>
      <c r="D1190">
        <v>2</v>
      </c>
      <c r="E1190">
        <v>512</v>
      </c>
      <c r="F1190" t="s">
        <v>1228</v>
      </c>
    </row>
    <row r="1191" spans="1:6" x14ac:dyDescent="0.55000000000000004">
      <c r="A1191" s="6">
        <v>1.034546681665433E+19</v>
      </c>
      <c r="B1191">
        <v>4</v>
      </c>
      <c r="C1191">
        <v>1</v>
      </c>
      <c r="D1191">
        <v>2</v>
      </c>
      <c r="E1191">
        <v>412</v>
      </c>
      <c r="F1191" t="s">
        <v>1233</v>
      </c>
    </row>
    <row r="1192" spans="1:6" x14ac:dyDescent="0.55000000000000004">
      <c r="A1192" s="6">
        <v>1.035327787919958E+19</v>
      </c>
      <c r="B1192">
        <v>1</v>
      </c>
      <c r="C1192">
        <v>1</v>
      </c>
      <c r="D1192">
        <v>2</v>
      </c>
      <c r="E1192">
        <v>112</v>
      </c>
      <c r="F1192" t="s">
        <v>1234</v>
      </c>
    </row>
    <row r="1193" spans="1:6" x14ac:dyDescent="0.55000000000000004">
      <c r="A1193" s="6">
        <v>1.035827534613317E+19</v>
      </c>
      <c r="B1193">
        <v>5</v>
      </c>
      <c r="C1193">
        <v>2</v>
      </c>
      <c r="D1193">
        <v>3</v>
      </c>
      <c r="E1193">
        <v>523</v>
      </c>
      <c r="F1193" t="s">
        <v>1229</v>
      </c>
    </row>
    <row r="1194" spans="1:6" x14ac:dyDescent="0.55000000000000004">
      <c r="A1194" s="6">
        <v>1.0359063996735889E+19</v>
      </c>
      <c r="B1194">
        <v>5</v>
      </c>
      <c r="C1194">
        <v>2</v>
      </c>
      <c r="D1194">
        <v>3</v>
      </c>
      <c r="E1194">
        <v>523</v>
      </c>
      <c r="F1194" t="s">
        <v>1229</v>
      </c>
    </row>
    <row r="1195" spans="1:6" x14ac:dyDescent="0.55000000000000004">
      <c r="A1195" s="6">
        <v>1.036004001663831E+19</v>
      </c>
      <c r="B1195">
        <v>5</v>
      </c>
      <c r="C1195">
        <v>1</v>
      </c>
      <c r="D1195">
        <v>3</v>
      </c>
      <c r="E1195">
        <v>513</v>
      </c>
      <c r="F1195" t="s">
        <v>1228</v>
      </c>
    </row>
    <row r="1196" spans="1:6" x14ac:dyDescent="0.55000000000000004">
      <c r="A1196" s="6">
        <v>1.0360110391397169E+19</v>
      </c>
      <c r="B1196">
        <v>4</v>
      </c>
      <c r="C1196">
        <v>1</v>
      </c>
      <c r="D1196">
        <v>2</v>
      </c>
      <c r="E1196">
        <v>412</v>
      </c>
      <c r="F1196" t="s">
        <v>1233</v>
      </c>
    </row>
    <row r="1197" spans="1:6" x14ac:dyDescent="0.55000000000000004">
      <c r="A1197" s="6">
        <v>1.0364042101909621E+19</v>
      </c>
      <c r="B1197">
        <v>2</v>
      </c>
      <c r="C1197">
        <v>1</v>
      </c>
      <c r="D1197">
        <v>2</v>
      </c>
      <c r="E1197">
        <v>212</v>
      </c>
      <c r="F1197" t="s">
        <v>1234</v>
      </c>
    </row>
    <row r="1198" spans="1:6" x14ac:dyDescent="0.55000000000000004">
      <c r="A1198" s="6">
        <v>1.0390051833668731E+19</v>
      </c>
      <c r="B1198">
        <v>3</v>
      </c>
      <c r="C1198">
        <v>1</v>
      </c>
      <c r="D1198">
        <v>3</v>
      </c>
      <c r="E1198">
        <v>313</v>
      </c>
      <c r="F1198" t="s">
        <v>1233</v>
      </c>
    </row>
    <row r="1199" spans="1:6" x14ac:dyDescent="0.55000000000000004">
      <c r="A1199" s="6">
        <v>1.039255605560328E+19</v>
      </c>
      <c r="B1199">
        <v>2</v>
      </c>
      <c r="C1199">
        <v>2</v>
      </c>
      <c r="D1199">
        <v>3</v>
      </c>
      <c r="E1199">
        <v>223</v>
      </c>
      <c r="F1199" t="s">
        <v>1234</v>
      </c>
    </row>
    <row r="1200" spans="1:6" x14ac:dyDescent="0.55000000000000004">
      <c r="A1200" s="6">
        <v>1.0394272471463299E+19</v>
      </c>
      <c r="B1200">
        <v>5</v>
      </c>
      <c r="C1200">
        <v>1</v>
      </c>
      <c r="D1200">
        <v>3</v>
      </c>
      <c r="E1200">
        <v>513</v>
      </c>
      <c r="F1200" t="s">
        <v>1228</v>
      </c>
    </row>
    <row r="1201" spans="1:6" x14ac:dyDescent="0.55000000000000004">
      <c r="A1201" s="6">
        <v>1.040412174818116E+19</v>
      </c>
      <c r="B1201">
        <v>2</v>
      </c>
      <c r="C1201">
        <v>1</v>
      </c>
      <c r="D1201">
        <v>2</v>
      </c>
      <c r="E1201">
        <v>212</v>
      </c>
      <c r="F1201" t="s">
        <v>1234</v>
      </c>
    </row>
    <row r="1202" spans="1:6" x14ac:dyDescent="0.55000000000000004">
      <c r="A1202" s="6">
        <v>1.041325585662787E+19</v>
      </c>
      <c r="B1202">
        <v>5</v>
      </c>
      <c r="C1202">
        <v>1</v>
      </c>
      <c r="D1202">
        <v>3</v>
      </c>
      <c r="E1202">
        <v>513</v>
      </c>
      <c r="F1202" t="s">
        <v>1228</v>
      </c>
    </row>
    <row r="1203" spans="1:6" x14ac:dyDescent="0.55000000000000004">
      <c r="A1203" s="6">
        <v>1.042579710060724E+19</v>
      </c>
      <c r="B1203">
        <v>5</v>
      </c>
      <c r="C1203">
        <v>1</v>
      </c>
      <c r="D1203">
        <v>3</v>
      </c>
      <c r="E1203">
        <v>513</v>
      </c>
      <c r="F1203" t="s">
        <v>1228</v>
      </c>
    </row>
    <row r="1204" spans="1:6" x14ac:dyDescent="0.55000000000000004">
      <c r="A1204" s="6">
        <v>1.0432509521820989E+19</v>
      </c>
      <c r="B1204">
        <v>2</v>
      </c>
      <c r="C1204">
        <v>1</v>
      </c>
      <c r="D1204">
        <v>2</v>
      </c>
      <c r="E1204">
        <v>212</v>
      </c>
      <c r="F1204" t="s">
        <v>1234</v>
      </c>
    </row>
    <row r="1205" spans="1:6" x14ac:dyDescent="0.55000000000000004">
      <c r="A1205" s="6">
        <v>1.0442949896467859E+19</v>
      </c>
      <c r="B1205">
        <v>4</v>
      </c>
      <c r="C1205">
        <v>2</v>
      </c>
      <c r="D1205">
        <v>2</v>
      </c>
      <c r="E1205">
        <v>422</v>
      </c>
      <c r="F1205" t="s">
        <v>1229</v>
      </c>
    </row>
    <row r="1206" spans="1:6" x14ac:dyDescent="0.55000000000000004">
      <c r="A1206" s="6">
        <v>1.0445950144183841E+19</v>
      </c>
      <c r="B1206">
        <v>2</v>
      </c>
      <c r="C1206">
        <v>1</v>
      </c>
      <c r="D1206">
        <v>1</v>
      </c>
      <c r="E1206">
        <v>211</v>
      </c>
      <c r="F1206" t="s">
        <v>1234</v>
      </c>
    </row>
    <row r="1207" spans="1:6" x14ac:dyDescent="0.55000000000000004">
      <c r="A1207" s="6">
        <v>1.045491442995763E+19</v>
      </c>
      <c r="B1207">
        <v>5</v>
      </c>
      <c r="C1207">
        <v>1</v>
      </c>
      <c r="D1207">
        <v>2</v>
      </c>
      <c r="E1207">
        <v>512</v>
      </c>
      <c r="F1207" t="s">
        <v>1228</v>
      </c>
    </row>
    <row r="1208" spans="1:6" x14ac:dyDescent="0.55000000000000004">
      <c r="A1208" s="6">
        <v>1.0456691425489639E+19</v>
      </c>
      <c r="B1208">
        <v>3</v>
      </c>
      <c r="C1208">
        <v>1</v>
      </c>
      <c r="D1208">
        <v>3</v>
      </c>
      <c r="E1208">
        <v>313</v>
      </c>
      <c r="F1208" t="s">
        <v>1233</v>
      </c>
    </row>
    <row r="1209" spans="1:6" x14ac:dyDescent="0.55000000000000004">
      <c r="A1209" s="6">
        <v>1.046090249916964E+19</v>
      </c>
      <c r="B1209">
        <v>4</v>
      </c>
      <c r="C1209">
        <v>1</v>
      </c>
      <c r="D1209">
        <v>2</v>
      </c>
      <c r="E1209">
        <v>412</v>
      </c>
      <c r="F1209" t="s">
        <v>1233</v>
      </c>
    </row>
    <row r="1210" spans="1:6" x14ac:dyDescent="0.55000000000000004">
      <c r="A1210" s="6">
        <v>1.0464603795510839E+19</v>
      </c>
      <c r="B1210">
        <v>5</v>
      </c>
      <c r="C1210">
        <v>2</v>
      </c>
      <c r="D1210">
        <v>3</v>
      </c>
      <c r="E1210">
        <v>523</v>
      </c>
      <c r="F1210" t="s">
        <v>1229</v>
      </c>
    </row>
    <row r="1211" spans="1:6" x14ac:dyDescent="0.55000000000000004">
      <c r="A1211" s="6">
        <v>1.049243531480115E+19</v>
      </c>
      <c r="B1211">
        <v>5</v>
      </c>
      <c r="C1211">
        <v>1</v>
      </c>
      <c r="D1211">
        <v>3</v>
      </c>
      <c r="E1211">
        <v>513</v>
      </c>
      <c r="F1211" t="s">
        <v>1228</v>
      </c>
    </row>
    <row r="1212" spans="1:6" x14ac:dyDescent="0.55000000000000004">
      <c r="A1212" s="6">
        <v>1.049400920101052E+19</v>
      </c>
      <c r="B1212">
        <v>4</v>
      </c>
      <c r="C1212">
        <v>1</v>
      </c>
      <c r="D1212">
        <v>2</v>
      </c>
      <c r="E1212">
        <v>412</v>
      </c>
      <c r="F1212" t="s">
        <v>1233</v>
      </c>
    </row>
    <row r="1213" spans="1:6" x14ac:dyDescent="0.55000000000000004">
      <c r="A1213" s="6">
        <v>1.050741933674392E+19</v>
      </c>
      <c r="B1213">
        <v>5</v>
      </c>
      <c r="C1213">
        <v>1</v>
      </c>
      <c r="D1213">
        <v>1</v>
      </c>
      <c r="E1213">
        <v>511</v>
      </c>
      <c r="F1213" t="s">
        <v>1228</v>
      </c>
    </row>
    <row r="1214" spans="1:6" x14ac:dyDescent="0.55000000000000004">
      <c r="A1214" s="6">
        <v>1.0512258066659389E+19</v>
      </c>
      <c r="B1214">
        <v>4</v>
      </c>
      <c r="C1214">
        <v>1</v>
      </c>
      <c r="D1214">
        <v>2</v>
      </c>
      <c r="E1214">
        <v>412</v>
      </c>
      <c r="F1214" t="s">
        <v>1233</v>
      </c>
    </row>
    <row r="1215" spans="1:6" x14ac:dyDescent="0.55000000000000004">
      <c r="A1215" s="6">
        <v>1.0527404073253321E+19</v>
      </c>
      <c r="B1215">
        <v>4</v>
      </c>
      <c r="C1215">
        <v>1</v>
      </c>
      <c r="D1215">
        <v>2</v>
      </c>
      <c r="E1215">
        <v>412</v>
      </c>
      <c r="F1215" t="s">
        <v>1233</v>
      </c>
    </row>
    <row r="1216" spans="1:6" x14ac:dyDescent="0.55000000000000004">
      <c r="A1216" s="6">
        <v>1.052882320833083E+19</v>
      </c>
      <c r="B1216">
        <v>5</v>
      </c>
      <c r="C1216">
        <v>1</v>
      </c>
      <c r="D1216">
        <v>2</v>
      </c>
      <c r="E1216">
        <v>512</v>
      </c>
      <c r="F1216" t="s">
        <v>1228</v>
      </c>
    </row>
    <row r="1217" spans="1:6" x14ac:dyDescent="0.55000000000000004">
      <c r="A1217" s="6">
        <v>1.0536985698884211E+19</v>
      </c>
      <c r="B1217">
        <v>5</v>
      </c>
      <c r="C1217">
        <v>2</v>
      </c>
      <c r="D1217">
        <v>3</v>
      </c>
      <c r="E1217">
        <v>523</v>
      </c>
      <c r="F1217" t="s">
        <v>1229</v>
      </c>
    </row>
    <row r="1218" spans="1:6" x14ac:dyDescent="0.55000000000000004">
      <c r="A1218" s="6">
        <v>1.0541013610742131E+19</v>
      </c>
      <c r="B1218">
        <v>5</v>
      </c>
      <c r="C1218">
        <v>2</v>
      </c>
      <c r="D1218">
        <v>3</v>
      </c>
      <c r="E1218">
        <v>523</v>
      </c>
      <c r="F1218" t="s">
        <v>1229</v>
      </c>
    </row>
    <row r="1219" spans="1:6" x14ac:dyDescent="0.55000000000000004">
      <c r="A1219" s="6">
        <v>1.054310189520607E+19</v>
      </c>
      <c r="B1219">
        <v>3</v>
      </c>
      <c r="C1219">
        <v>1</v>
      </c>
      <c r="D1219">
        <v>2</v>
      </c>
      <c r="E1219">
        <v>312</v>
      </c>
      <c r="F1219" t="s">
        <v>1233</v>
      </c>
    </row>
    <row r="1220" spans="1:6" x14ac:dyDescent="0.55000000000000004">
      <c r="A1220" s="6">
        <v>1.0554479503926821E+19</v>
      </c>
      <c r="B1220">
        <v>4</v>
      </c>
      <c r="C1220">
        <v>1</v>
      </c>
      <c r="D1220">
        <v>2</v>
      </c>
      <c r="E1220">
        <v>412</v>
      </c>
      <c r="F1220" t="s">
        <v>1233</v>
      </c>
    </row>
    <row r="1221" spans="1:6" x14ac:dyDescent="0.55000000000000004">
      <c r="A1221" s="6">
        <v>1.057129571162514E+19</v>
      </c>
      <c r="B1221">
        <v>2</v>
      </c>
      <c r="C1221">
        <v>1</v>
      </c>
      <c r="D1221">
        <v>2</v>
      </c>
      <c r="E1221">
        <v>212</v>
      </c>
      <c r="F1221" t="s">
        <v>1234</v>
      </c>
    </row>
    <row r="1222" spans="1:6" x14ac:dyDescent="0.55000000000000004">
      <c r="A1222" s="6">
        <v>1.0611866942011081E+19</v>
      </c>
      <c r="B1222">
        <v>5</v>
      </c>
      <c r="C1222">
        <v>2</v>
      </c>
      <c r="D1222">
        <v>2</v>
      </c>
      <c r="E1222">
        <v>522</v>
      </c>
      <c r="F1222" t="s">
        <v>1229</v>
      </c>
    </row>
    <row r="1223" spans="1:6" x14ac:dyDescent="0.55000000000000004">
      <c r="A1223" s="6">
        <v>1.0616930994602881E+19</v>
      </c>
      <c r="B1223">
        <v>3</v>
      </c>
      <c r="C1223">
        <v>1</v>
      </c>
      <c r="D1223">
        <v>2</v>
      </c>
      <c r="E1223">
        <v>312</v>
      </c>
      <c r="F1223" t="s">
        <v>1233</v>
      </c>
    </row>
    <row r="1224" spans="1:6" x14ac:dyDescent="0.55000000000000004">
      <c r="A1224" s="6">
        <v>1.0617792466776351E+19</v>
      </c>
      <c r="B1224">
        <v>5</v>
      </c>
      <c r="C1224">
        <v>1</v>
      </c>
      <c r="D1224">
        <v>2</v>
      </c>
      <c r="E1224">
        <v>512</v>
      </c>
      <c r="F1224" t="s">
        <v>1228</v>
      </c>
    </row>
    <row r="1225" spans="1:6" x14ac:dyDescent="0.55000000000000004">
      <c r="A1225" s="6">
        <v>1.0637602183882199E+19</v>
      </c>
      <c r="B1225">
        <v>5</v>
      </c>
      <c r="C1225">
        <v>1</v>
      </c>
      <c r="D1225">
        <v>1</v>
      </c>
      <c r="E1225">
        <v>511</v>
      </c>
      <c r="F1225" t="s">
        <v>1228</v>
      </c>
    </row>
    <row r="1226" spans="1:6" x14ac:dyDescent="0.55000000000000004">
      <c r="A1226" s="6">
        <v>1.064043722580318E+19</v>
      </c>
      <c r="B1226">
        <v>5</v>
      </c>
      <c r="C1226">
        <v>1</v>
      </c>
      <c r="D1226">
        <v>2</v>
      </c>
      <c r="E1226">
        <v>512</v>
      </c>
      <c r="F1226" t="s">
        <v>1228</v>
      </c>
    </row>
    <row r="1227" spans="1:6" x14ac:dyDescent="0.55000000000000004">
      <c r="A1227" s="6">
        <v>1.064432394007756E+19</v>
      </c>
      <c r="B1227">
        <v>3</v>
      </c>
      <c r="C1227">
        <v>2</v>
      </c>
      <c r="D1227">
        <v>3</v>
      </c>
      <c r="E1227">
        <v>323</v>
      </c>
      <c r="F1227" t="s">
        <v>1233</v>
      </c>
    </row>
    <row r="1228" spans="1:6" x14ac:dyDescent="0.55000000000000004">
      <c r="A1228" s="6">
        <v>1.065258126072278E+19</v>
      </c>
      <c r="B1228">
        <v>5</v>
      </c>
      <c r="C1228">
        <v>1</v>
      </c>
      <c r="D1228">
        <v>3</v>
      </c>
      <c r="E1228">
        <v>513</v>
      </c>
      <c r="F1228" t="s">
        <v>1228</v>
      </c>
    </row>
    <row r="1229" spans="1:6" x14ac:dyDescent="0.55000000000000004">
      <c r="A1229" s="6">
        <v>1.0672287716018579E+19</v>
      </c>
      <c r="B1229">
        <v>4</v>
      </c>
      <c r="C1229">
        <v>2</v>
      </c>
      <c r="D1229">
        <v>3</v>
      </c>
      <c r="E1229">
        <v>423</v>
      </c>
      <c r="F1229" t="s">
        <v>1229</v>
      </c>
    </row>
    <row r="1230" spans="1:6" x14ac:dyDescent="0.55000000000000004">
      <c r="A1230" s="6">
        <v>1.069061187023498E+19</v>
      </c>
      <c r="B1230">
        <v>5</v>
      </c>
      <c r="C1230">
        <v>1</v>
      </c>
      <c r="D1230">
        <v>1</v>
      </c>
      <c r="E1230">
        <v>511</v>
      </c>
      <c r="F1230" t="s">
        <v>1228</v>
      </c>
    </row>
    <row r="1231" spans="1:6" x14ac:dyDescent="0.55000000000000004">
      <c r="A1231" s="6">
        <v>1.069659610045831E+19</v>
      </c>
      <c r="B1231">
        <v>5</v>
      </c>
      <c r="C1231">
        <v>1</v>
      </c>
      <c r="D1231">
        <v>2</v>
      </c>
      <c r="E1231">
        <v>512</v>
      </c>
      <c r="F1231" t="s">
        <v>1228</v>
      </c>
    </row>
    <row r="1232" spans="1:6" x14ac:dyDescent="0.55000000000000004">
      <c r="A1232" s="6">
        <v>1.071092417031841E+19</v>
      </c>
      <c r="B1232">
        <v>5</v>
      </c>
      <c r="C1232">
        <v>1</v>
      </c>
      <c r="D1232">
        <v>1</v>
      </c>
      <c r="E1232">
        <v>511</v>
      </c>
      <c r="F1232" t="s">
        <v>1228</v>
      </c>
    </row>
    <row r="1233" spans="1:6" x14ac:dyDescent="0.55000000000000004">
      <c r="A1233" s="6">
        <v>1.0732763130336319E+19</v>
      </c>
      <c r="B1233">
        <v>4</v>
      </c>
      <c r="C1233">
        <v>1</v>
      </c>
      <c r="D1233">
        <v>1</v>
      </c>
      <c r="E1233">
        <v>411</v>
      </c>
      <c r="F1233" t="s">
        <v>1233</v>
      </c>
    </row>
    <row r="1234" spans="1:6" x14ac:dyDescent="0.55000000000000004">
      <c r="A1234" s="6">
        <v>1.073968906688454E+19</v>
      </c>
      <c r="B1234">
        <v>2</v>
      </c>
      <c r="C1234">
        <v>1</v>
      </c>
      <c r="D1234">
        <v>1</v>
      </c>
      <c r="E1234">
        <v>211</v>
      </c>
      <c r="F1234" t="s">
        <v>1234</v>
      </c>
    </row>
    <row r="1235" spans="1:6" x14ac:dyDescent="0.55000000000000004">
      <c r="A1235" s="6">
        <v>1.0761137595070679E+19</v>
      </c>
      <c r="B1235">
        <v>3</v>
      </c>
      <c r="C1235">
        <v>1</v>
      </c>
      <c r="D1235">
        <v>2</v>
      </c>
      <c r="E1235">
        <v>312</v>
      </c>
      <c r="F1235" t="s">
        <v>1233</v>
      </c>
    </row>
    <row r="1236" spans="1:6" x14ac:dyDescent="0.55000000000000004">
      <c r="A1236" s="6">
        <v>1.0762135343377629E+19</v>
      </c>
      <c r="B1236">
        <v>5</v>
      </c>
      <c r="C1236">
        <v>2</v>
      </c>
      <c r="D1236">
        <v>2</v>
      </c>
      <c r="E1236">
        <v>522</v>
      </c>
      <c r="F1236" t="s">
        <v>1229</v>
      </c>
    </row>
    <row r="1237" spans="1:6" x14ac:dyDescent="0.55000000000000004">
      <c r="A1237" s="6">
        <v>1.0796066666527969E+19</v>
      </c>
      <c r="B1237">
        <v>4</v>
      </c>
      <c r="C1237">
        <v>2</v>
      </c>
      <c r="D1237">
        <v>3</v>
      </c>
      <c r="E1237">
        <v>423</v>
      </c>
      <c r="F1237" t="s">
        <v>1229</v>
      </c>
    </row>
    <row r="1238" spans="1:6" x14ac:dyDescent="0.55000000000000004">
      <c r="A1238" s="6">
        <v>1.0797882498486391E+19</v>
      </c>
      <c r="B1238">
        <v>1</v>
      </c>
      <c r="C1238">
        <v>1</v>
      </c>
      <c r="D1238">
        <v>1</v>
      </c>
      <c r="E1238">
        <v>111</v>
      </c>
      <c r="F1238" t="s">
        <v>1234</v>
      </c>
    </row>
    <row r="1239" spans="1:6" x14ac:dyDescent="0.55000000000000004">
      <c r="A1239" s="6">
        <v>1.0825347330381611E+19</v>
      </c>
      <c r="B1239">
        <v>4</v>
      </c>
      <c r="C1239">
        <v>1</v>
      </c>
      <c r="D1239">
        <v>1</v>
      </c>
      <c r="E1239">
        <v>411</v>
      </c>
      <c r="F1239" t="s">
        <v>1233</v>
      </c>
    </row>
    <row r="1240" spans="1:6" x14ac:dyDescent="0.55000000000000004">
      <c r="A1240" s="6">
        <v>1.082616171172949E+19</v>
      </c>
      <c r="B1240">
        <v>3</v>
      </c>
      <c r="C1240">
        <v>2</v>
      </c>
      <c r="D1240">
        <v>2</v>
      </c>
      <c r="E1240">
        <v>322</v>
      </c>
      <c r="F1240" t="s">
        <v>1233</v>
      </c>
    </row>
    <row r="1241" spans="1:6" x14ac:dyDescent="0.55000000000000004">
      <c r="A1241" s="6">
        <v>1.086420106069846E+19</v>
      </c>
      <c r="B1241">
        <v>5</v>
      </c>
      <c r="C1241">
        <v>1</v>
      </c>
      <c r="D1241">
        <v>3</v>
      </c>
      <c r="E1241">
        <v>513</v>
      </c>
      <c r="F1241" t="s">
        <v>1228</v>
      </c>
    </row>
    <row r="1242" spans="1:6" x14ac:dyDescent="0.55000000000000004">
      <c r="A1242" s="6">
        <v>1.0890539801545841E+19</v>
      </c>
      <c r="B1242">
        <v>3</v>
      </c>
      <c r="C1242">
        <v>1</v>
      </c>
      <c r="D1242">
        <v>1</v>
      </c>
      <c r="E1242">
        <v>311</v>
      </c>
      <c r="F1242" t="s">
        <v>1233</v>
      </c>
    </row>
    <row r="1243" spans="1:6" x14ac:dyDescent="0.55000000000000004">
      <c r="A1243" s="6">
        <v>1.08985227499706E+19</v>
      </c>
      <c r="B1243">
        <v>5</v>
      </c>
      <c r="C1243">
        <v>2</v>
      </c>
      <c r="D1243">
        <v>3</v>
      </c>
      <c r="E1243">
        <v>523</v>
      </c>
      <c r="F1243" t="s">
        <v>1229</v>
      </c>
    </row>
    <row r="1244" spans="1:6" x14ac:dyDescent="0.55000000000000004">
      <c r="A1244" s="6">
        <v>1.090260083347797E+19</v>
      </c>
      <c r="B1244">
        <v>1</v>
      </c>
      <c r="C1244">
        <v>1</v>
      </c>
      <c r="D1244">
        <v>1</v>
      </c>
      <c r="E1244">
        <v>111</v>
      </c>
      <c r="F1244" t="s">
        <v>1234</v>
      </c>
    </row>
    <row r="1245" spans="1:6" x14ac:dyDescent="0.55000000000000004">
      <c r="A1245" s="6">
        <v>1.090496647383765E+19</v>
      </c>
      <c r="B1245">
        <v>4</v>
      </c>
      <c r="C1245">
        <v>1</v>
      </c>
      <c r="D1245">
        <v>1</v>
      </c>
      <c r="E1245">
        <v>411</v>
      </c>
      <c r="F1245" t="s">
        <v>1233</v>
      </c>
    </row>
    <row r="1246" spans="1:6" x14ac:dyDescent="0.55000000000000004">
      <c r="A1246" s="6">
        <v>1.090739695224781E+19</v>
      </c>
      <c r="B1246">
        <v>5</v>
      </c>
      <c r="C1246">
        <v>2</v>
      </c>
      <c r="D1246">
        <v>2</v>
      </c>
      <c r="E1246">
        <v>522</v>
      </c>
      <c r="F1246" t="s">
        <v>1229</v>
      </c>
    </row>
    <row r="1247" spans="1:6" x14ac:dyDescent="0.55000000000000004">
      <c r="A1247" s="6">
        <v>1.0914199203292729E+19</v>
      </c>
      <c r="B1247">
        <v>2</v>
      </c>
      <c r="C1247">
        <v>1</v>
      </c>
      <c r="D1247">
        <v>3</v>
      </c>
      <c r="E1247">
        <v>213</v>
      </c>
      <c r="F1247" t="s">
        <v>1234</v>
      </c>
    </row>
    <row r="1248" spans="1:6" x14ac:dyDescent="0.55000000000000004">
      <c r="A1248" s="6">
        <v>1.0915671750120159E+19</v>
      </c>
      <c r="B1248">
        <v>5</v>
      </c>
      <c r="C1248">
        <v>1</v>
      </c>
      <c r="D1248">
        <v>3</v>
      </c>
      <c r="E1248">
        <v>513</v>
      </c>
      <c r="F1248" t="s">
        <v>1228</v>
      </c>
    </row>
    <row r="1249" spans="1:6" x14ac:dyDescent="0.55000000000000004">
      <c r="A1249" s="6">
        <v>1.0918317965913139E+19</v>
      </c>
      <c r="B1249">
        <v>4</v>
      </c>
      <c r="C1249">
        <v>2</v>
      </c>
      <c r="D1249">
        <v>3</v>
      </c>
      <c r="E1249">
        <v>423</v>
      </c>
      <c r="F1249" t="s">
        <v>1229</v>
      </c>
    </row>
    <row r="1250" spans="1:6" x14ac:dyDescent="0.55000000000000004">
      <c r="A1250" s="6">
        <v>1.0924272414218809E+19</v>
      </c>
      <c r="B1250">
        <v>4</v>
      </c>
      <c r="C1250">
        <v>1</v>
      </c>
      <c r="D1250">
        <v>1</v>
      </c>
      <c r="E1250">
        <v>411</v>
      </c>
      <c r="F1250" t="s">
        <v>1233</v>
      </c>
    </row>
    <row r="1251" spans="1:6" x14ac:dyDescent="0.55000000000000004">
      <c r="A1251" s="6">
        <v>1.092949294617218E+19</v>
      </c>
      <c r="B1251">
        <v>3</v>
      </c>
      <c r="C1251">
        <v>2</v>
      </c>
      <c r="D1251">
        <v>3</v>
      </c>
      <c r="E1251">
        <v>323</v>
      </c>
      <c r="F1251" t="s">
        <v>1233</v>
      </c>
    </row>
    <row r="1252" spans="1:6" x14ac:dyDescent="0.55000000000000004">
      <c r="A1252" s="6">
        <v>1.0929560473596459E+19</v>
      </c>
      <c r="B1252">
        <v>5</v>
      </c>
      <c r="C1252">
        <v>1</v>
      </c>
      <c r="D1252">
        <v>2</v>
      </c>
      <c r="E1252">
        <v>512</v>
      </c>
      <c r="F1252" t="s">
        <v>1228</v>
      </c>
    </row>
    <row r="1253" spans="1:6" x14ac:dyDescent="0.55000000000000004">
      <c r="A1253" s="6">
        <v>1.094188770247988E+19</v>
      </c>
      <c r="B1253">
        <v>2</v>
      </c>
      <c r="C1253">
        <v>1</v>
      </c>
      <c r="D1253">
        <v>2</v>
      </c>
      <c r="E1253">
        <v>212</v>
      </c>
      <c r="F1253" t="s">
        <v>1234</v>
      </c>
    </row>
    <row r="1254" spans="1:6" x14ac:dyDescent="0.55000000000000004">
      <c r="A1254" s="6">
        <v>1.0950746766661911E+19</v>
      </c>
      <c r="B1254">
        <v>4</v>
      </c>
      <c r="C1254">
        <v>1</v>
      </c>
      <c r="D1254">
        <v>3</v>
      </c>
      <c r="E1254">
        <v>413</v>
      </c>
      <c r="F1254" t="s">
        <v>1233</v>
      </c>
    </row>
    <row r="1255" spans="1:6" x14ac:dyDescent="0.55000000000000004">
      <c r="A1255" s="6">
        <v>1.095561435546692E+19</v>
      </c>
      <c r="B1255">
        <v>2</v>
      </c>
      <c r="C1255">
        <v>1</v>
      </c>
      <c r="D1255">
        <v>2</v>
      </c>
      <c r="E1255">
        <v>212</v>
      </c>
      <c r="F1255" t="s">
        <v>1234</v>
      </c>
    </row>
    <row r="1256" spans="1:6" x14ac:dyDescent="0.55000000000000004">
      <c r="A1256" s="6">
        <v>1.0956343846870319E+19</v>
      </c>
      <c r="B1256">
        <v>3</v>
      </c>
      <c r="C1256">
        <v>1</v>
      </c>
      <c r="D1256">
        <v>2</v>
      </c>
      <c r="E1256">
        <v>312</v>
      </c>
      <c r="F1256" t="s">
        <v>1233</v>
      </c>
    </row>
    <row r="1257" spans="1:6" x14ac:dyDescent="0.55000000000000004">
      <c r="A1257" s="6">
        <v>1.0966372242911189E+19</v>
      </c>
      <c r="B1257">
        <v>4</v>
      </c>
      <c r="C1257">
        <v>1</v>
      </c>
      <c r="D1257">
        <v>1</v>
      </c>
      <c r="E1257">
        <v>411</v>
      </c>
      <c r="F1257" t="s">
        <v>1233</v>
      </c>
    </row>
    <row r="1258" spans="1:6" x14ac:dyDescent="0.55000000000000004">
      <c r="A1258" s="6">
        <v>1.096725877363165E+19</v>
      </c>
      <c r="B1258">
        <v>3</v>
      </c>
      <c r="C1258">
        <v>1</v>
      </c>
      <c r="D1258">
        <v>1</v>
      </c>
      <c r="E1258">
        <v>311</v>
      </c>
      <c r="F1258" t="s">
        <v>1233</v>
      </c>
    </row>
    <row r="1259" spans="1:6" x14ac:dyDescent="0.55000000000000004">
      <c r="A1259" s="6">
        <v>1.0981158295790479E+19</v>
      </c>
      <c r="B1259">
        <v>4</v>
      </c>
      <c r="C1259">
        <v>1</v>
      </c>
      <c r="D1259">
        <v>1</v>
      </c>
      <c r="E1259">
        <v>411</v>
      </c>
      <c r="F1259" t="s">
        <v>1233</v>
      </c>
    </row>
    <row r="1260" spans="1:6" x14ac:dyDescent="0.55000000000000004">
      <c r="A1260" s="6">
        <v>1.0985004871977071E+19</v>
      </c>
      <c r="B1260">
        <v>5</v>
      </c>
      <c r="C1260">
        <v>1</v>
      </c>
      <c r="D1260">
        <v>1</v>
      </c>
      <c r="E1260">
        <v>511</v>
      </c>
      <c r="F1260" t="s">
        <v>1228</v>
      </c>
    </row>
    <row r="1261" spans="1:6" x14ac:dyDescent="0.55000000000000004">
      <c r="A1261" s="6">
        <v>1.0986192490940271E+19</v>
      </c>
      <c r="B1261">
        <v>5</v>
      </c>
      <c r="C1261">
        <v>1</v>
      </c>
      <c r="D1261">
        <v>1</v>
      </c>
      <c r="E1261">
        <v>511</v>
      </c>
      <c r="F1261" t="s">
        <v>1228</v>
      </c>
    </row>
    <row r="1262" spans="1:6" x14ac:dyDescent="0.55000000000000004">
      <c r="A1262" s="6">
        <v>1.098847880524816E+19</v>
      </c>
      <c r="B1262">
        <v>3</v>
      </c>
      <c r="C1262">
        <v>1</v>
      </c>
      <c r="D1262">
        <v>3</v>
      </c>
      <c r="E1262">
        <v>313</v>
      </c>
      <c r="F1262" t="s">
        <v>1233</v>
      </c>
    </row>
    <row r="1263" spans="1:6" x14ac:dyDescent="0.55000000000000004">
      <c r="A1263" s="6">
        <v>1.099566546605065E+19</v>
      </c>
      <c r="B1263">
        <v>2</v>
      </c>
      <c r="C1263">
        <v>1</v>
      </c>
      <c r="D1263">
        <v>1</v>
      </c>
      <c r="E1263">
        <v>211</v>
      </c>
      <c r="F1263" t="s">
        <v>1234</v>
      </c>
    </row>
    <row r="1264" spans="1:6" x14ac:dyDescent="0.55000000000000004">
      <c r="A1264" s="6">
        <v>1.099903876814099E+19</v>
      </c>
      <c r="B1264">
        <v>5</v>
      </c>
      <c r="C1264">
        <v>1</v>
      </c>
      <c r="D1264">
        <v>3</v>
      </c>
      <c r="E1264">
        <v>513</v>
      </c>
      <c r="F1264" t="s">
        <v>1228</v>
      </c>
    </row>
    <row r="1265" spans="1:6" x14ac:dyDescent="0.55000000000000004">
      <c r="A1265" s="6">
        <v>1.1029201639594459E+19</v>
      </c>
      <c r="B1265">
        <v>4</v>
      </c>
      <c r="C1265">
        <v>1</v>
      </c>
      <c r="D1265">
        <v>2</v>
      </c>
      <c r="E1265">
        <v>412</v>
      </c>
      <c r="F1265" t="s">
        <v>1233</v>
      </c>
    </row>
    <row r="1266" spans="1:6" x14ac:dyDescent="0.55000000000000004">
      <c r="A1266" s="6">
        <v>1.1031905768337531E+19</v>
      </c>
      <c r="B1266">
        <v>5</v>
      </c>
      <c r="C1266">
        <v>2</v>
      </c>
      <c r="D1266">
        <v>3</v>
      </c>
      <c r="E1266">
        <v>523</v>
      </c>
      <c r="F1266" t="s">
        <v>1229</v>
      </c>
    </row>
    <row r="1267" spans="1:6" x14ac:dyDescent="0.55000000000000004">
      <c r="A1267" s="6">
        <v>1.104004682932333E+19</v>
      </c>
      <c r="B1267">
        <v>5</v>
      </c>
      <c r="C1267">
        <v>1</v>
      </c>
      <c r="D1267">
        <v>2</v>
      </c>
      <c r="E1267">
        <v>512</v>
      </c>
      <c r="F1267" t="s">
        <v>1228</v>
      </c>
    </row>
    <row r="1268" spans="1:6" x14ac:dyDescent="0.55000000000000004">
      <c r="A1268" s="6">
        <v>1.1055199992902341E+19</v>
      </c>
      <c r="B1268">
        <v>3</v>
      </c>
      <c r="C1268">
        <v>2</v>
      </c>
      <c r="D1268">
        <v>3</v>
      </c>
      <c r="E1268">
        <v>323</v>
      </c>
      <c r="F1268" t="s">
        <v>1233</v>
      </c>
    </row>
    <row r="1269" spans="1:6" x14ac:dyDescent="0.55000000000000004">
      <c r="A1269" s="6">
        <v>1.1067767840657379E+19</v>
      </c>
      <c r="B1269">
        <v>3</v>
      </c>
      <c r="C1269">
        <v>2</v>
      </c>
      <c r="D1269">
        <v>1</v>
      </c>
      <c r="E1269">
        <v>321</v>
      </c>
      <c r="F1269" t="s">
        <v>1233</v>
      </c>
    </row>
    <row r="1270" spans="1:6" x14ac:dyDescent="0.55000000000000004">
      <c r="A1270" s="6">
        <v>1.107480986434713E+19</v>
      </c>
      <c r="B1270">
        <v>3</v>
      </c>
      <c r="C1270">
        <v>2</v>
      </c>
      <c r="D1270">
        <v>2</v>
      </c>
      <c r="E1270">
        <v>322</v>
      </c>
      <c r="F1270" t="s">
        <v>1233</v>
      </c>
    </row>
    <row r="1271" spans="1:6" x14ac:dyDescent="0.55000000000000004">
      <c r="A1271" s="6">
        <v>1.107980342040841E+19</v>
      </c>
      <c r="B1271">
        <v>4</v>
      </c>
      <c r="C1271">
        <v>1</v>
      </c>
      <c r="D1271">
        <v>3</v>
      </c>
      <c r="E1271">
        <v>413</v>
      </c>
      <c r="F1271" t="s">
        <v>1233</v>
      </c>
    </row>
    <row r="1272" spans="1:6" x14ac:dyDescent="0.55000000000000004">
      <c r="A1272" s="6">
        <v>1.1080176800444951E+19</v>
      </c>
      <c r="B1272">
        <v>2</v>
      </c>
      <c r="C1272">
        <v>1</v>
      </c>
      <c r="D1272">
        <v>2</v>
      </c>
      <c r="E1272">
        <v>212</v>
      </c>
      <c r="F1272" t="s">
        <v>1234</v>
      </c>
    </row>
    <row r="1273" spans="1:6" x14ac:dyDescent="0.55000000000000004">
      <c r="A1273" s="6">
        <v>1.1084907403611501E+19</v>
      </c>
      <c r="B1273">
        <v>5</v>
      </c>
      <c r="C1273">
        <v>3</v>
      </c>
      <c r="D1273">
        <v>3</v>
      </c>
      <c r="E1273">
        <v>533</v>
      </c>
      <c r="F1273" t="s">
        <v>1230</v>
      </c>
    </row>
    <row r="1274" spans="1:6" x14ac:dyDescent="0.55000000000000004">
      <c r="A1274" s="6">
        <v>1.110002113022685E+19</v>
      </c>
      <c r="B1274">
        <v>4</v>
      </c>
      <c r="C1274">
        <v>1</v>
      </c>
      <c r="D1274">
        <v>2</v>
      </c>
      <c r="E1274">
        <v>412</v>
      </c>
      <c r="F1274" t="s">
        <v>1233</v>
      </c>
    </row>
    <row r="1275" spans="1:6" x14ac:dyDescent="0.55000000000000004">
      <c r="A1275" s="6">
        <v>1.1126621026109131E+19</v>
      </c>
      <c r="B1275">
        <v>4</v>
      </c>
      <c r="C1275">
        <v>3</v>
      </c>
      <c r="D1275">
        <v>3</v>
      </c>
      <c r="E1275">
        <v>433</v>
      </c>
      <c r="F1275" t="s">
        <v>1230</v>
      </c>
    </row>
    <row r="1276" spans="1:6" x14ac:dyDescent="0.55000000000000004">
      <c r="A1276" s="6">
        <v>1.1132565473107669E+19</v>
      </c>
      <c r="B1276">
        <v>5</v>
      </c>
      <c r="C1276">
        <v>1</v>
      </c>
      <c r="D1276">
        <v>3</v>
      </c>
      <c r="E1276">
        <v>513</v>
      </c>
      <c r="F1276" t="s">
        <v>1228</v>
      </c>
    </row>
    <row r="1277" spans="1:6" x14ac:dyDescent="0.55000000000000004">
      <c r="A1277" s="6">
        <v>1.114228487803357E+19</v>
      </c>
      <c r="B1277">
        <v>5</v>
      </c>
      <c r="C1277">
        <v>1</v>
      </c>
      <c r="D1277">
        <v>3</v>
      </c>
      <c r="E1277">
        <v>513</v>
      </c>
      <c r="F1277" t="s">
        <v>1228</v>
      </c>
    </row>
    <row r="1278" spans="1:6" x14ac:dyDescent="0.55000000000000004">
      <c r="A1278" s="6">
        <v>1.115799380323557E+19</v>
      </c>
      <c r="B1278">
        <v>4</v>
      </c>
      <c r="C1278">
        <v>2</v>
      </c>
      <c r="D1278">
        <v>3</v>
      </c>
      <c r="E1278">
        <v>423</v>
      </c>
      <c r="F1278" t="s">
        <v>1229</v>
      </c>
    </row>
    <row r="1279" spans="1:6" x14ac:dyDescent="0.55000000000000004">
      <c r="A1279" s="6">
        <v>1.1170997202852631E+19</v>
      </c>
      <c r="B1279">
        <v>2</v>
      </c>
      <c r="C1279">
        <v>1</v>
      </c>
      <c r="D1279">
        <v>2</v>
      </c>
      <c r="E1279">
        <v>212</v>
      </c>
      <c r="F1279" t="s">
        <v>1234</v>
      </c>
    </row>
    <row r="1280" spans="1:6" x14ac:dyDescent="0.55000000000000004">
      <c r="A1280" s="6">
        <v>1.117688049237956E+19</v>
      </c>
      <c r="B1280">
        <v>3</v>
      </c>
      <c r="C1280">
        <v>1</v>
      </c>
      <c r="D1280">
        <v>3</v>
      </c>
      <c r="E1280">
        <v>313</v>
      </c>
      <c r="F1280" t="s">
        <v>1233</v>
      </c>
    </row>
    <row r="1281" spans="1:6" x14ac:dyDescent="0.55000000000000004">
      <c r="A1281" s="6">
        <v>1.1178009049025339E+19</v>
      </c>
      <c r="B1281">
        <v>3</v>
      </c>
      <c r="C1281">
        <v>1</v>
      </c>
      <c r="D1281">
        <v>1</v>
      </c>
      <c r="E1281">
        <v>311</v>
      </c>
      <c r="F1281" t="s">
        <v>1233</v>
      </c>
    </row>
    <row r="1282" spans="1:6" x14ac:dyDescent="0.55000000000000004">
      <c r="A1282" s="6">
        <v>1.118007060145205E+19</v>
      </c>
      <c r="B1282">
        <v>2</v>
      </c>
      <c r="C1282">
        <v>1</v>
      </c>
      <c r="D1282">
        <v>2</v>
      </c>
      <c r="E1282">
        <v>212</v>
      </c>
      <c r="F1282" t="s">
        <v>1234</v>
      </c>
    </row>
    <row r="1283" spans="1:6" x14ac:dyDescent="0.55000000000000004">
      <c r="A1283" s="6">
        <v>1.1186317702052059E+19</v>
      </c>
      <c r="B1283">
        <v>4</v>
      </c>
      <c r="C1283">
        <v>2</v>
      </c>
      <c r="D1283">
        <v>1</v>
      </c>
      <c r="E1283">
        <v>421</v>
      </c>
      <c r="F1283" t="s">
        <v>1229</v>
      </c>
    </row>
    <row r="1284" spans="1:6" x14ac:dyDescent="0.55000000000000004">
      <c r="A1284" s="6">
        <v>1.119319007137118E+19</v>
      </c>
      <c r="B1284">
        <v>5</v>
      </c>
      <c r="C1284">
        <v>1</v>
      </c>
      <c r="D1284">
        <v>1</v>
      </c>
      <c r="E1284">
        <v>511</v>
      </c>
      <c r="F1284" t="s">
        <v>1228</v>
      </c>
    </row>
    <row r="1285" spans="1:6" x14ac:dyDescent="0.55000000000000004">
      <c r="A1285" s="6">
        <v>1.1199090371459011E+19</v>
      </c>
      <c r="B1285">
        <v>4</v>
      </c>
      <c r="C1285">
        <v>1</v>
      </c>
      <c r="D1285">
        <v>1</v>
      </c>
      <c r="E1285">
        <v>411</v>
      </c>
      <c r="F1285" t="s">
        <v>1233</v>
      </c>
    </row>
    <row r="1286" spans="1:6" x14ac:dyDescent="0.55000000000000004">
      <c r="A1286" s="6">
        <v>1.1202250609199221E+19</v>
      </c>
      <c r="B1286">
        <v>5</v>
      </c>
      <c r="C1286">
        <v>1</v>
      </c>
      <c r="D1286">
        <v>1</v>
      </c>
      <c r="E1286">
        <v>511</v>
      </c>
      <c r="F1286" t="s">
        <v>1228</v>
      </c>
    </row>
    <row r="1287" spans="1:6" x14ac:dyDescent="0.55000000000000004">
      <c r="A1287" s="6">
        <v>1.1207670893265261E+19</v>
      </c>
      <c r="B1287">
        <v>5</v>
      </c>
      <c r="C1287">
        <v>1</v>
      </c>
      <c r="D1287">
        <v>3</v>
      </c>
      <c r="E1287">
        <v>513</v>
      </c>
      <c r="F1287" t="s">
        <v>1228</v>
      </c>
    </row>
    <row r="1288" spans="1:6" x14ac:dyDescent="0.55000000000000004">
      <c r="A1288" s="6">
        <v>1.1241629119637049E+19</v>
      </c>
      <c r="B1288">
        <v>4</v>
      </c>
      <c r="C1288">
        <v>1</v>
      </c>
      <c r="D1288">
        <v>2</v>
      </c>
      <c r="E1288">
        <v>412</v>
      </c>
      <c r="F1288" t="s">
        <v>1233</v>
      </c>
    </row>
    <row r="1289" spans="1:6" x14ac:dyDescent="0.55000000000000004">
      <c r="A1289" s="6">
        <v>1.1243664569943089E+19</v>
      </c>
      <c r="B1289">
        <v>3</v>
      </c>
      <c r="C1289">
        <v>1</v>
      </c>
      <c r="D1289">
        <v>3</v>
      </c>
      <c r="E1289">
        <v>313</v>
      </c>
      <c r="F1289" t="s">
        <v>1233</v>
      </c>
    </row>
    <row r="1290" spans="1:6" x14ac:dyDescent="0.55000000000000004">
      <c r="A1290" s="6">
        <v>1.126781882181503E+19</v>
      </c>
      <c r="B1290">
        <v>2</v>
      </c>
      <c r="C1290">
        <v>1</v>
      </c>
      <c r="D1290">
        <v>1</v>
      </c>
      <c r="E1290">
        <v>211</v>
      </c>
      <c r="F1290" t="s">
        <v>1234</v>
      </c>
    </row>
    <row r="1291" spans="1:6" x14ac:dyDescent="0.55000000000000004">
      <c r="A1291" s="6">
        <v>1.1267827626651091E+19</v>
      </c>
      <c r="B1291">
        <v>5</v>
      </c>
      <c r="C1291">
        <v>2</v>
      </c>
      <c r="D1291">
        <v>3</v>
      </c>
      <c r="E1291">
        <v>523</v>
      </c>
      <c r="F1291" t="s">
        <v>1229</v>
      </c>
    </row>
    <row r="1292" spans="1:6" x14ac:dyDescent="0.55000000000000004">
      <c r="A1292" s="6">
        <v>1.1270285578073041E+19</v>
      </c>
      <c r="B1292">
        <v>2</v>
      </c>
      <c r="C1292">
        <v>1</v>
      </c>
      <c r="D1292">
        <v>2</v>
      </c>
      <c r="E1292">
        <v>212</v>
      </c>
      <c r="F1292" t="s">
        <v>1234</v>
      </c>
    </row>
    <row r="1293" spans="1:6" x14ac:dyDescent="0.55000000000000004">
      <c r="A1293" s="6">
        <v>1.1286749485820361E+19</v>
      </c>
      <c r="B1293">
        <v>5</v>
      </c>
      <c r="C1293">
        <v>2</v>
      </c>
      <c r="D1293">
        <v>3</v>
      </c>
      <c r="E1293">
        <v>523</v>
      </c>
      <c r="F1293" t="s">
        <v>1229</v>
      </c>
    </row>
    <row r="1294" spans="1:6" x14ac:dyDescent="0.55000000000000004">
      <c r="A1294" s="6">
        <v>1.128739452807603E+19</v>
      </c>
      <c r="B1294">
        <v>4</v>
      </c>
      <c r="C1294">
        <v>2</v>
      </c>
      <c r="D1294">
        <v>3</v>
      </c>
      <c r="E1294">
        <v>423</v>
      </c>
      <c r="F1294" t="s">
        <v>1229</v>
      </c>
    </row>
    <row r="1295" spans="1:6" x14ac:dyDescent="0.55000000000000004">
      <c r="A1295" s="6">
        <v>1.1294433590603149E+19</v>
      </c>
      <c r="B1295">
        <v>5</v>
      </c>
      <c r="C1295">
        <v>2</v>
      </c>
      <c r="D1295">
        <v>2</v>
      </c>
      <c r="E1295">
        <v>522</v>
      </c>
      <c r="F1295" t="s">
        <v>1229</v>
      </c>
    </row>
    <row r="1296" spans="1:6" x14ac:dyDescent="0.55000000000000004">
      <c r="A1296" s="6">
        <v>1.1303649973130521E+19</v>
      </c>
      <c r="B1296">
        <v>4</v>
      </c>
      <c r="C1296">
        <v>1</v>
      </c>
      <c r="D1296">
        <v>2</v>
      </c>
      <c r="E1296">
        <v>412</v>
      </c>
      <c r="F1296" t="s">
        <v>1233</v>
      </c>
    </row>
    <row r="1297" spans="1:6" x14ac:dyDescent="0.55000000000000004">
      <c r="A1297" s="6">
        <v>1.131142693729382E+19</v>
      </c>
      <c r="B1297">
        <v>4</v>
      </c>
      <c r="C1297">
        <v>2</v>
      </c>
      <c r="D1297">
        <v>3</v>
      </c>
      <c r="E1297">
        <v>423</v>
      </c>
      <c r="F1297" t="s">
        <v>1229</v>
      </c>
    </row>
    <row r="1298" spans="1:6" x14ac:dyDescent="0.55000000000000004">
      <c r="A1298" s="6">
        <v>1.1319362061343341E+19</v>
      </c>
      <c r="B1298">
        <v>3</v>
      </c>
      <c r="C1298">
        <v>1</v>
      </c>
      <c r="D1298">
        <v>1</v>
      </c>
      <c r="E1298">
        <v>311</v>
      </c>
      <c r="F1298" t="s">
        <v>1233</v>
      </c>
    </row>
    <row r="1299" spans="1:6" x14ac:dyDescent="0.55000000000000004">
      <c r="A1299" s="6">
        <v>1.133390963730451E+19</v>
      </c>
      <c r="B1299">
        <v>5</v>
      </c>
      <c r="C1299">
        <v>1</v>
      </c>
      <c r="D1299">
        <v>3</v>
      </c>
      <c r="E1299">
        <v>513</v>
      </c>
      <c r="F1299" t="s">
        <v>1228</v>
      </c>
    </row>
    <row r="1300" spans="1:6" x14ac:dyDescent="0.55000000000000004">
      <c r="A1300" s="6">
        <v>1.1338584012558399E+19</v>
      </c>
      <c r="B1300">
        <v>5</v>
      </c>
      <c r="C1300">
        <v>1</v>
      </c>
      <c r="D1300">
        <v>3</v>
      </c>
      <c r="E1300">
        <v>513</v>
      </c>
      <c r="F1300" t="s">
        <v>1228</v>
      </c>
    </row>
    <row r="1301" spans="1:6" x14ac:dyDescent="0.55000000000000004">
      <c r="A1301" s="6">
        <v>1.134533715575798E+19</v>
      </c>
      <c r="B1301">
        <v>2</v>
      </c>
      <c r="C1301">
        <v>1</v>
      </c>
      <c r="D1301">
        <v>1</v>
      </c>
      <c r="E1301">
        <v>211</v>
      </c>
      <c r="F1301" t="s">
        <v>1234</v>
      </c>
    </row>
    <row r="1302" spans="1:6" x14ac:dyDescent="0.55000000000000004">
      <c r="A1302" s="6">
        <v>1.134540150975931E+19</v>
      </c>
      <c r="B1302">
        <v>2</v>
      </c>
      <c r="C1302">
        <v>2</v>
      </c>
      <c r="D1302">
        <v>3</v>
      </c>
      <c r="E1302">
        <v>223</v>
      </c>
      <c r="F1302" t="s">
        <v>1234</v>
      </c>
    </row>
    <row r="1303" spans="1:6" x14ac:dyDescent="0.55000000000000004">
      <c r="A1303" s="6">
        <v>1.1358988740140071E+19</v>
      </c>
      <c r="B1303">
        <v>5</v>
      </c>
      <c r="C1303">
        <v>1</v>
      </c>
      <c r="D1303">
        <v>3</v>
      </c>
      <c r="E1303">
        <v>513</v>
      </c>
      <c r="F1303" t="s">
        <v>1228</v>
      </c>
    </row>
    <row r="1304" spans="1:6" x14ac:dyDescent="0.55000000000000004">
      <c r="A1304" s="6">
        <v>1.1360906724565379E+19</v>
      </c>
      <c r="B1304">
        <v>5</v>
      </c>
      <c r="C1304">
        <v>2</v>
      </c>
      <c r="D1304">
        <v>3</v>
      </c>
      <c r="E1304">
        <v>523</v>
      </c>
      <c r="F1304" t="s">
        <v>1229</v>
      </c>
    </row>
    <row r="1305" spans="1:6" x14ac:dyDescent="0.55000000000000004">
      <c r="A1305" s="6">
        <v>1.1372774529424939E+19</v>
      </c>
      <c r="B1305">
        <v>5</v>
      </c>
      <c r="C1305">
        <v>1</v>
      </c>
      <c r="D1305">
        <v>3</v>
      </c>
      <c r="E1305">
        <v>513</v>
      </c>
      <c r="F1305" t="s">
        <v>1228</v>
      </c>
    </row>
    <row r="1306" spans="1:6" x14ac:dyDescent="0.55000000000000004">
      <c r="A1306" s="6">
        <v>1.137483445246679E+19</v>
      </c>
      <c r="B1306">
        <v>4</v>
      </c>
      <c r="C1306">
        <v>2</v>
      </c>
      <c r="D1306">
        <v>3</v>
      </c>
      <c r="E1306">
        <v>423</v>
      </c>
      <c r="F1306" t="s">
        <v>1229</v>
      </c>
    </row>
    <row r="1307" spans="1:6" x14ac:dyDescent="0.55000000000000004">
      <c r="A1307" s="6">
        <v>1.1385402060610189E+19</v>
      </c>
      <c r="B1307">
        <v>3</v>
      </c>
      <c r="C1307">
        <v>1</v>
      </c>
      <c r="D1307">
        <v>3</v>
      </c>
      <c r="E1307">
        <v>313</v>
      </c>
      <c r="F1307" t="s">
        <v>1233</v>
      </c>
    </row>
    <row r="1308" spans="1:6" x14ac:dyDescent="0.55000000000000004">
      <c r="A1308" s="6">
        <v>1.142685925263751E+19</v>
      </c>
      <c r="B1308">
        <v>2</v>
      </c>
      <c r="C1308">
        <v>2</v>
      </c>
      <c r="D1308">
        <v>2</v>
      </c>
      <c r="E1308">
        <v>222</v>
      </c>
      <c r="F1308" t="s">
        <v>1234</v>
      </c>
    </row>
    <row r="1309" spans="1:6" x14ac:dyDescent="0.55000000000000004">
      <c r="A1309" s="6">
        <v>1.1427219249676179E+19</v>
      </c>
      <c r="B1309">
        <v>4</v>
      </c>
      <c r="C1309">
        <v>1</v>
      </c>
      <c r="D1309">
        <v>1</v>
      </c>
      <c r="E1309">
        <v>411</v>
      </c>
      <c r="F1309" t="s">
        <v>1233</v>
      </c>
    </row>
    <row r="1310" spans="1:6" x14ac:dyDescent="0.55000000000000004">
      <c r="A1310" s="6">
        <v>1.143367781385737E+19</v>
      </c>
      <c r="B1310">
        <v>5</v>
      </c>
      <c r="C1310">
        <v>1</v>
      </c>
      <c r="D1310">
        <v>3</v>
      </c>
      <c r="E1310">
        <v>513</v>
      </c>
      <c r="F1310" t="s">
        <v>1228</v>
      </c>
    </row>
    <row r="1311" spans="1:6" x14ac:dyDescent="0.55000000000000004">
      <c r="A1311" s="6">
        <v>1.145588362923189E+19</v>
      </c>
      <c r="B1311">
        <v>3</v>
      </c>
      <c r="C1311">
        <v>3</v>
      </c>
      <c r="D1311">
        <v>3</v>
      </c>
      <c r="E1311">
        <v>333</v>
      </c>
      <c r="F1311" t="s">
        <v>1231</v>
      </c>
    </row>
    <row r="1312" spans="1:6" x14ac:dyDescent="0.55000000000000004">
      <c r="A1312" s="6">
        <v>1.1459300322875841E+19</v>
      </c>
      <c r="B1312">
        <v>4</v>
      </c>
      <c r="C1312">
        <v>1</v>
      </c>
      <c r="D1312">
        <v>2</v>
      </c>
      <c r="E1312">
        <v>412</v>
      </c>
      <c r="F1312" t="s">
        <v>1233</v>
      </c>
    </row>
    <row r="1313" spans="1:6" x14ac:dyDescent="0.55000000000000004">
      <c r="A1313" s="6">
        <v>1.1460152469481581E+19</v>
      </c>
      <c r="B1313">
        <v>5</v>
      </c>
      <c r="C1313">
        <v>1</v>
      </c>
      <c r="D1313">
        <v>3</v>
      </c>
      <c r="E1313">
        <v>513</v>
      </c>
      <c r="F1313" t="s">
        <v>1228</v>
      </c>
    </row>
    <row r="1314" spans="1:6" x14ac:dyDescent="0.55000000000000004">
      <c r="A1314" s="6">
        <v>1.1466666695778251E+19</v>
      </c>
      <c r="B1314">
        <v>5</v>
      </c>
      <c r="C1314">
        <v>2</v>
      </c>
      <c r="D1314">
        <v>2</v>
      </c>
      <c r="E1314">
        <v>522</v>
      </c>
      <c r="F1314" t="s">
        <v>1229</v>
      </c>
    </row>
    <row r="1315" spans="1:6" x14ac:dyDescent="0.55000000000000004">
      <c r="A1315" s="6">
        <v>1.146959185110059E+19</v>
      </c>
      <c r="B1315">
        <v>4</v>
      </c>
      <c r="C1315">
        <v>1</v>
      </c>
      <c r="D1315">
        <v>1</v>
      </c>
      <c r="E1315">
        <v>411</v>
      </c>
      <c r="F1315" t="s">
        <v>1233</v>
      </c>
    </row>
    <row r="1316" spans="1:6" x14ac:dyDescent="0.55000000000000004">
      <c r="A1316" s="6">
        <v>1.14696528733557E+19</v>
      </c>
      <c r="B1316">
        <v>4</v>
      </c>
      <c r="C1316">
        <v>1</v>
      </c>
      <c r="D1316">
        <v>2</v>
      </c>
      <c r="E1316">
        <v>412</v>
      </c>
      <c r="F1316" t="s">
        <v>1233</v>
      </c>
    </row>
    <row r="1317" spans="1:6" x14ac:dyDescent="0.55000000000000004">
      <c r="A1317" s="6">
        <v>1.14714685135289E+19</v>
      </c>
      <c r="B1317">
        <v>4</v>
      </c>
      <c r="C1317">
        <v>2</v>
      </c>
      <c r="D1317">
        <v>3</v>
      </c>
      <c r="E1317">
        <v>423</v>
      </c>
      <c r="F1317" t="s">
        <v>1229</v>
      </c>
    </row>
    <row r="1318" spans="1:6" x14ac:dyDescent="0.55000000000000004">
      <c r="A1318" s="6">
        <v>1.147967475040103E+19</v>
      </c>
      <c r="B1318">
        <v>5</v>
      </c>
      <c r="C1318">
        <v>3</v>
      </c>
      <c r="D1318">
        <v>3</v>
      </c>
      <c r="E1318">
        <v>533</v>
      </c>
      <c r="F1318" t="s">
        <v>1230</v>
      </c>
    </row>
    <row r="1319" spans="1:6" x14ac:dyDescent="0.55000000000000004">
      <c r="A1319" s="6">
        <v>1.148626856843024E+19</v>
      </c>
      <c r="B1319">
        <v>2</v>
      </c>
      <c r="C1319">
        <v>1</v>
      </c>
      <c r="D1319">
        <v>1</v>
      </c>
      <c r="E1319">
        <v>211</v>
      </c>
      <c r="F1319" t="s">
        <v>1234</v>
      </c>
    </row>
    <row r="1320" spans="1:6" x14ac:dyDescent="0.55000000000000004">
      <c r="A1320" s="6">
        <v>1.1491400822540571E+19</v>
      </c>
      <c r="B1320">
        <v>5</v>
      </c>
      <c r="C1320">
        <v>2</v>
      </c>
      <c r="D1320">
        <v>3</v>
      </c>
      <c r="E1320">
        <v>523</v>
      </c>
      <c r="F1320" t="s">
        <v>1229</v>
      </c>
    </row>
    <row r="1321" spans="1:6" x14ac:dyDescent="0.55000000000000004">
      <c r="A1321" s="6">
        <v>1.1493028239600341E+19</v>
      </c>
      <c r="B1321">
        <v>5</v>
      </c>
      <c r="C1321">
        <v>2</v>
      </c>
      <c r="D1321">
        <v>3</v>
      </c>
      <c r="E1321">
        <v>523</v>
      </c>
      <c r="F1321" t="s">
        <v>1229</v>
      </c>
    </row>
    <row r="1322" spans="1:6" x14ac:dyDescent="0.55000000000000004">
      <c r="A1322" s="6">
        <v>1.149354572414932E+19</v>
      </c>
      <c r="B1322">
        <v>5</v>
      </c>
      <c r="C1322">
        <v>1</v>
      </c>
      <c r="D1322">
        <v>2</v>
      </c>
      <c r="E1322">
        <v>512</v>
      </c>
      <c r="F1322" t="s">
        <v>1228</v>
      </c>
    </row>
    <row r="1323" spans="1:6" x14ac:dyDescent="0.55000000000000004">
      <c r="A1323" s="6">
        <v>1.152119540767922E+19</v>
      </c>
      <c r="B1323">
        <v>3</v>
      </c>
      <c r="C1323">
        <v>1</v>
      </c>
      <c r="D1323">
        <v>3</v>
      </c>
      <c r="E1323">
        <v>313</v>
      </c>
      <c r="F1323" t="s">
        <v>1233</v>
      </c>
    </row>
    <row r="1324" spans="1:6" x14ac:dyDescent="0.55000000000000004">
      <c r="A1324" s="6">
        <v>1.1521822572636701E+19</v>
      </c>
      <c r="B1324">
        <v>2</v>
      </c>
      <c r="C1324">
        <v>1</v>
      </c>
      <c r="D1324">
        <v>1</v>
      </c>
      <c r="E1324">
        <v>211</v>
      </c>
      <c r="F1324" t="s">
        <v>1234</v>
      </c>
    </row>
    <row r="1325" spans="1:6" x14ac:dyDescent="0.55000000000000004">
      <c r="A1325" s="6">
        <v>1.1523051514952149E+19</v>
      </c>
      <c r="B1325">
        <v>5</v>
      </c>
      <c r="C1325">
        <v>1</v>
      </c>
      <c r="D1325">
        <v>2</v>
      </c>
      <c r="E1325">
        <v>512</v>
      </c>
      <c r="F1325" t="s">
        <v>1228</v>
      </c>
    </row>
    <row r="1326" spans="1:6" x14ac:dyDescent="0.55000000000000004">
      <c r="A1326" s="6">
        <v>1.1528292962030739E+19</v>
      </c>
      <c r="B1326">
        <v>2</v>
      </c>
      <c r="C1326">
        <v>1</v>
      </c>
      <c r="D1326">
        <v>2</v>
      </c>
      <c r="E1326">
        <v>212</v>
      </c>
      <c r="F1326" t="s">
        <v>1234</v>
      </c>
    </row>
    <row r="1327" spans="1:6" x14ac:dyDescent="0.55000000000000004">
      <c r="A1327" s="6">
        <v>1.153629071735875E+19</v>
      </c>
      <c r="B1327">
        <v>5</v>
      </c>
      <c r="C1327">
        <v>1</v>
      </c>
      <c r="D1327">
        <v>2</v>
      </c>
      <c r="E1327">
        <v>512</v>
      </c>
      <c r="F1327" t="s">
        <v>1228</v>
      </c>
    </row>
    <row r="1328" spans="1:6" x14ac:dyDescent="0.55000000000000004">
      <c r="A1328" s="6">
        <v>1.154366778486877E+19</v>
      </c>
      <c r="B1328">
        <v>3</v>
      </c>
      <c r="C1328">
        <v>2</v>
      </c>
      <c r="D1328">
        <v>2</v>
      </c>
      <c r="E1328">
        <v>322</v>
      </c>
      <c r="F1328" t="s">
        <v>1233</v>
      </c>
    </row>
    <row r="1329" spans="1:6" x14ac:dyDescent="0.55000000000000004">
      <c r="A1329" s="6">
        <v>1.1544241182249429E+19</v>
      </c>
      <c r="B1329">
        <v>4</v>
      </c>
      <c r="C1329">
        <v>1</v>
      </c>
      <c r="D1329">
        <v>1</v>
      </c>
      <c r="E1329">
        <v>411</v>
      </c>
      <c r="F1329" t="s">
        <v>1233</v>
      </c>
    </row>
    <row r="1330" spans="1:6" x14ac:dyDescent="0.55000000000000004">
      <c r="A1330" s="6">
        <v>1.154938793058756E+19</v>
      </c>
      <c r="B1330">
        <v>4</v>
      </c>
      <c r="C1330">
        <v>1</v>
      </c>
      <c r="D1330">
        <v>1</v>
      </c>
      <c r="E1330">
        <v>411</v>
      </c>
      <c r="F1330" t="s">
        <v>1233</v>
      </c>
    </row>
    <row r="1331" spans="1:6" x14ac:dyDescent="0.55000000000000004">
      <c r="A1331" s="6">
        <v>1.1550104643117511E+19</v>
      </c>
      <c r="B1331">
        <v>4</v>
      </c>
      <c r="C1331">
        <v>2</v>
      </c>
      <c r="D1331">
        <v>2</v>
      </c>
      <c r="E1331">
        <v>422</v>
      </c>
      <c r="F1331" t="s">
        <v>1229</v>
      </c>
    </row>
    <row r="1332" spans="1:6" x14ac:dyDescent="0.55000000000000004">
      <c r="A1332" s="6">
        <v>1.1557647190012129E+19</v>
      </c>
      <c r="B1332">
        <v>5</v>
      </c>
      <c r="C1332">
        <v>1</v>
      </c>
      <c r="D1332">
        <v>1</v>
      </c>
      <c r="E1332">
        <v>511</v>
      </c>
      <c r="F1332" t="s">
        <v>1228</v>
      </c>
    </row>
    <row r="1333" spans="1:6" x14ac:dyDescent="0.55000000000000004">
      <c r="A1333" s="6">
        <v>1.1568497718834631E+19</v>
      </c>
      <c r="B1333">
        <v>2</v>
      </c>
      <c r="C1333">
        <v>1</v>
      </c>
      <c r="D1333">
        <v>2</v>
      </c>
      <c r="E1333">
        <v>212</v>
      </c>
      <c r="F1333" t="s">
        <v>1234</v>
      </c>
    </row>
    <row r="1334" spans="1:6" x14ac:dyDescent="0.55000000000000004">
      <c r="A1334" s="6">
        <v>1.1574956872702231E+19</v>
      </c>
      <c r="B1334">
        <v>5</v>
      </c>
      <c r="C1334">
        <v>1</v>
      </c>
      <c r="D1334">
        <v>3</v>
      </c>
      <c r="E1334">
        <v>513</v>
      </c>
      <c r="F1334" t="s">
        <v>1228</v>
      </c>
    </row>
    <row r="1335" spans="1:6" x14ac:dyDescent="0.55000000000000004">
      <c r="A1335" s="6">
        <v>1.158674241786845E+19</v>
      </c>
      <c r="B1335">
        <v>4</v>
      </c>
      <c r="C1335">
        <v>1</v>
      </c>
      <c r="D1335">
        <v>1</v>
      </c>
      <c r="E1335">
        <v>411</v>
      </c>
      <c r="F1335" t="s">
        <v>1233</v>
      </c>
    </row>
    <row r="1336" spans="1:6" x14ac:dyDescent="0.55000000000000004">
      <c r="A1336" s="6">
        <v>1.1605953265774209E+19</v>
      </c>
      <c r="B1336">
        <v>5</v>
      </c>
      <c r="C1336">
        <v>1</v>
      </c>
      <c r="D1336">
        <v>2</v>
      </c>
      <c r="E1336">
        <v>512</v>
      </c>
      <c r="F1336" t="s">
        <v>1228</v>
      </c>
    </row>
    <row r="1337" spans="1:6" x14ac:dyDescent="0.55000000000000004">
      <c r="A1337" s="6">
        <v>1.160766389248658E+19</v>
      </c>
      <c r="B1337">
        <v>4</v>
      </c>
      <c r="C1337">
        <v>2</v>
      </c>
      <c r="D1337">
        <v>2</v>
      </c>
      <c r="E1337">
        <v>422</v>
      </c>
      <c r="F1337" t="s">
        <v>1229</v>
      </c>
    </row>
    <row r="1338" spans="1:6" x14ac:dyDescent="0.55000000000000004">
      <c r="A1338" s="6">
        <v>1.161247205855633E+19</v>
      </c>
      <c r="B1338">
        <v>5</v>
      </c>
      <c r="C1338">
        <v>1</v>
      </c>
      <c r="D1338">
        <v>1</v>
      </c>
      <c r="E1338">
        <v>511</v>
      </c>
      <c r="F1338" t="s">
        <v>1228</v>
      </c>
    </row>
    <row r="1339" spans="1:6" x14ac:dyDescent="0.55000000000000004">
      <c r="A1339" s="6">
        <v>1.16270284136449E+19</v>
      </c>
      <c r="B1339">
        <v>3</v>
      </c>
      <c r="C1339">
        <v>1</v>
      </c>
      <c r="D1339">
        <v>2</v>
      </c>
      <c r="E1339">
        <v>312</v>
      </c>
      <c r="F1339" t="s">
        <v>1233</v>
      </c>
    </row>
    <row r="1340" spans="1:6" x14ac:dyDescent="0.55000000000000004">
      <c r="A1340" s="6">
        <v>1.162860962495036E+19</v>
      </c>
      <c r="B1340">
        <v>4</v>
      </c>
      <c r="C1340">
        <v>1</v>
      </c>
      <c r="D1340">
        <v>3</v>
      </c>
      <c r="E1340">
        <v>413</v>
      </c>
      <c r="F1340" t="s">
        <v>1233</v>
      </c>
    </row>
    <row r="1341" spans="1:6" x14ac:dyDescent="0.55000000000000004">
      <c r="A1341" s="6">
        <v>1.164141837793793E+19</v>
      </c>
      <c r="B1341">
        <v>4</v>
      </c>
      <c r="C1341">
        <v>2</v>
      </c>
      <c r="D1341">
        <v>3</v>
      </c>
      <c r="E1341">
        <v>423</v>
      </c>
      <c r="F1341" t="s">
        <v>1229</v>
      </c>
    </row>
    <row r="1342" spans="1:6" x14ac:dyDescent="0.55000000000000004">
      <c r="A1342" s="6">
        <v>1.1647961490567899E+19</v>
      </c>
      <c r="B1342">
        <v>3</v>
      </c>
      <c r="C1342">
        <v>1</v>
      </c>
      <c r="D1342">
        <v>1</v>
      </c>
      <c r="E1342">
        <v>311</v>
      </c>
      <c r="F1342" t="s">
        <v>1233</v>
      </c>
    </row>
    <row r="1343" spans="1:6" x14ac:dyDescent="0.55000000000000004">
      <c r="A1343" s="6">
        <v>1.165017654819591E+19</v>
      </c>
      <c r="B1343">
        <v>3</v>
      </c>
      <c r="C1343">
        <v>1</v>
      </c>
      <c r="D1343">
        <v>1</v>
      </c>
      <c r="E1343">
        <v>311</v>
      </c>
      <c r="F1343" t="s">
        <v>1233</v>
      </c>
    </row>
    <row r="1344" spans="1:6" x14ac:dyDescent="0.55000000000000004">
      <c r="A1344" s="6">
        <v>1.1655005617193689E+19</v>
      </c>
      <c r="B1344">
        <v>5</v>
      </c>
      <c r="C1344">
        <v>1</v>
      </c>
      <c r="D1344">
        <v>3</v>
      </c>
      <c r="E1344">
        <v>513</v>
      </c>
      <c r="F1344" t="s">
        <v>1228</v>
      </c>
    </row>
    <row r="1345" spans="1:6" x14ac:dyDescent="0.55000000000000004">
      <c r="A1345" s="6">
        <v>1.16581003153309E+19</v>
      </c>
      <c r="B1345">
        <v>2</v>
      </c>
      <c r="C1345">
        <v>1</v>
      </c>
      <c r="D1345">
        <v>3</v>
      </c>
      <c r="E1345">
        <v>213</v>
      </c>
      <c r="F1345" t="s">
        <v>1234</v>
      </c>
    </row>
    <row r="1346" spans="1:6" x14ac:dyDescent="0.55000000000000004">
      <c r="A1346" s="6">
        <v>1.168101444233914E+19</v>
      </c>
      <c r="B1346">
        <v>5</v>
      </c>
      <c r="C1346">
        <v>3</v>
      </c>
      <c r="D1346">
        <v>2</v>
      </c>
      <c r="E1346">
        <v>532</v>
      </c>
      <c r="F1346" t="s">
        <v>1230</v>
      </c>
    </row>
    <row r="1347" spans="1:6" x14ac:dyDescent="0.55000000000000004">
      <c r="A1347" s="6">
        <v>1.16829863872798E+19</v>
      </c>
      <c r="B1347">
        <v>4</v>
      </c>
      <c r="C1347">
        <v>1</v>
      </c>
      <c r="D1347">
        <v>2</v>
      </c>
      <c r="E1347">
        <v>412</v>
      </c>
      <c r="F1347" t="s">
        <v>1233</v>
      </c>
    </row>
    <row r="1348" spans="1:6" x14ac:dyDescent="0.55000000000000004">
      <c r="A1348" s="6">
        <v>1.1684577053237201E+19</v>
      </c>
      <c r="B1348">
        <v>4</v>
      </c>
      <c r="C1348">
        <v>1</v>
      </c>
      <c r="D1348">
        <v>1</v>
      </c>
      <c r="E1348">
        <v>411</v>
      </c>
      <c r="F1348" t="s">
        <v>1233</v>
      </c>
    </row>
    <row r="1349" spans="1:6" x14ac:dyDescent="0.55000000000000004">
      <c r="A1349" s="6">
        <v>1.169399923837425E+19</v>
      </c>
      <c r="B1349">
        <v>4</v>
      </c>
      <c r="C1349">
        <v>2</v>
      </c>
      <c r="D1349">
        <v>3</v>
      </c>
      <c r="E1349">
        <v>423</v>
      </c>
      <c r="F1349" t="s">
        <v>1229</v>
      </c>
    </row>
    <row r="1350" spans="1:6" x14ac:dyDescent="0.55000000000000004">
      <c r="A1350" s="6">
        <v>1.169476368133078E+19</v>
      </c>
      <c r="B1350">
        <v>5</v>
      </c>
      <c r="C1350">
        <v>1</v>
      </c>
      <c r="D1350">
        <v>3</v>
      </c>
      <c r="E1350">
        <v>513</v>
      </c>
      <c r="F1350" t="s">
        <v>1228</v>
      </c>
    </row>
    <row r="1351" spans="1:6" x14ac:dyDescent="0.55000000000000004">
      <c r="A1351" s="6">
        <v>1.1702806551466799E+19</v>
      </c>
      <c r="B1351">
        <v>2</v>
      </c>
      <c r="C1351">
        <v>1</v>
      </c>
      <c r="D1351">
        <v>1</v>
      </c>
      <c r="E1351">
        <v>211</v>
      </c>
      <c r="F1351" t="s">
        <v>1234</v>
      </c>
    </row>
    <row r="1352" spans="1:6" x14ac:dyDescent="0.55000000000000004">
      <c r="A1352" s="6">
        <v>1.170635260655601E+19</v>
      </c>
      <c r="B1352">
        <v>3</v>
      </c>
      <c r="C1352">
        <v>1</v>
      </c>
      <c r="D1352">
        <v>1</v>
      </c>
      <c r="E1352">
        <v>311</v>
      </c>
      <c r="F1352" t="s">
        <v>1233</v>
      </c>
    </row>
    <row r="1353" spans="1:6" x14ac:dyDescent="0.55000000000000004">
      <c r="A1353" s="6">
        <v>1.1707371591004559E+19</v>
      </c>
      <c r="B1353">
        <v>4</v>
      </c>
      <c r="C1353">
        <v>1</v>
      </c>
      <c r="D1353">
        <v>1</v>
      </c>
      <c r="E1353">
        <v>411</v>
      </c>
      <c r="F1353" t="s">
        <v>1233</v>
      </c>
    </row>
    <row r="1354" spans="1:6" x14ac:dyDescent="0.55000000000000004">
      <c r="A1354" s="6">
        <v>1.17134894204842E+19</v>
      </c>
      <c r="B1354">
        <v>2</v>
      </c>
      <c r="C1354">
        <v>1</v>
      </c>
      <c r="D1354">
        <v>2</v>
      </c>
      <c r="E1354">
        <v>212</v>
      </c>
      <c r="F1354" t="s">
        <v>1234</v>
      </c>
    </row>
    <row r="1355" spans="1:6" x14ac:dyDescent="0.55000000000000004">
      <c r="A1355" s="6">
        <v>1.1738439999794471E+19</v>
      </c>
      <c r="B1355">
        <v>5</v>
      </c>
      <c r="C1355">
        <v>1</v>
      </c>
      <c r="D1355">
        <v>3</v>
      </c>
      <c r="E1355">
        <v>513</v>
      </c>
      <c r="F1355" t="s">
        <v>1228</v>
      </c>
    </row>
    <row r="1356" spans="1:6" x14ac:dyDescent="0.55000000000000004">
      <c r="A1356" s="6">
        <v>1.1747066878444419E+19</v>
      </c>
      <c r="B1356">
        <v>5</v>
      </c>
      <c r="C1356">
        <v>2</v>
      </c>
      <c r="D1356">
        <v>1</v>
      </c>
      <c r="E1356">
        <v>521</v>
      </c>
      <c r="F1356" t="s">
        <v>1229</v>
      </c>
    </row>
    <row r="1357" spans="1:6" x14ac:dyDescent="0.55000000000000004">
      <c r="A1357" s="6">
        <v>1.1747785999368579E+19</v>
      </c>
      <c r="B1357">
        <v>2</v>
      </c>
      <c r="C1357">
        <v>1</v>
      </c>
      <c r="D1357">
        <v>2</v>
      </c>
      <c r="E1357">
        <v>212</v>
      </c>
      <c r="F1357" t="s">
        <v>1234</v>
      </c>
    </row>
    <row r="1358" spans="1:6" x14ac:dyDescent="0.55000000000000004">
      <c r="A1358" s="6">
        <v>1.1748387589311001E+19</v>
      </c>
      <c r="B1358">
        <v>5</v>
      </c>
      <c r="C1358">
        <v>1</v>
      </c>
      <c r="D1358">
        <v>1</v>
      </c>
      <c r="E1358">
        <v>511</v>
      </c>
      <c r="F1358" t="s">
        <v>1228</v>
      </c>
    </row>
    <row r="1359" spans="1:6" x14ac:dyDescent="0.55000000000000004">
      <c r="A1359" s="6">
        <v>1.175758375020364E+19</v>
      </c>
      <c r="B1359">
        <v>3</v>
      </c>
      <c r="C1359">
        <v>1</v>
      </c>
      <c r="D1359">
        <v>1</v>
      </c>
      <c r="E1359">
        <v>311</v>
      </c>
      <c r="F1359" t="s">
        <v>1233</v>
      </c>
    </row>
    <row r="1360" spans="1:6" x14ac:dyDescent="0.55000000000000004">
      <c r="A1360" s="6">
        <v>1.178237675493468E+19</v>
      </c>
      <c r="B1360">
        <v>1</v>
      </c>
      <c r="C1360">
        <v>2</v>
      </c>
      <c r="D1360">
        <v>2</v>
      </c>
      <c r="E1360">
        <v>122</v>
      </c>
      <c r="F1360" t="s">
        <v>1234</v>
      </c>
    </row>
    <row r="1361" spans="1:6" x14ac:dyDescent="0.55000000000000004">
      <c r="A1361" s="6">
        <v>1.1785683981004911E+19</v>
      </c>
      <c r="B1361">
        <v>5</v>
      </c>
      <c r="C1361">
        <v>1</v>
      </c>
      <c r="D1361">
        <v>1</v>
      </c>
      <c r="E1361">
        <v>511</v>
      </c>
      <c r="F1361" t="s">
        <v>1228</v>
      </c>
    </row>
    <row r="1362" spans="1:6" x14ac:dyDescent="0.55000000000000004">
      <c r="A1362" s="6">
        <v>1.178645923819018E+19</v>
      </c>
      <c r="B1362">
        <v>4</v>
      </c>
      <c r="C1362">
        <v>1</v>
      </c>
      <c r="D1362">
        <v>2</v>
      </c>
      <c r="E1362">
        <v>412</v>
      </c>
      <c r="F1362" t="s">
        <v>1233</v>
      </c>
    </row>
    <row r="1363" spans="1:6" x14ac:dyDescent="0.55000000000000004">
      <c r="A1363" s="6">
        <v>1.179369254274715E+19</v>
      </c>
      <c r="B1363">
        <v>4</v>
      </c>
      <c r="C1363">
        <v>1</v>
      </c>
      <c r="D1363">
        <v>1</v>
      </c>
      <c r="E1363">
        <v>411</v>
      </c>
      <c r="F1363" t="s">
        <v>1233</v>
      </c>
    </row>
    <row r="1364" spans="1:6" x14ac:dyDescent="0.55000000000000004">
      <c r="A1364" s="6">
        <v>1.1804135673327311E+19</v>
      </c>
      <c r="B1364">
        <v>5</v>
      </c>
      <c r="C1364">
        <v>1</v>
      </c>
      <c r="D1364">
        <v>3</v>
      </c>
      <c r="E1364">
        <v>513</v>
      </c>
      <c r="F1364" t="s">
        <v>1228</v>
      </c>
    </row>
    <row r="1365" spans="1:6" x14ac:dyDescent="0.55000000000000004">
      <c r="A1365" s="6">
        <v>1.1808268645207179E+19</v>
      </c>
      <c r="B1365">
        <v>4</v>
      </c>
      <c r="C1365">
        <v>1</v>
      </c>
      <c r="D1365">
        <v>1</v>
      </c>
      <c r="E1365">
        <v>411</v>
      </c>
      <c r="F1365" t="s">
        <v>1233</v>
      </c>
    </row>
    <row r="1366" spans="1:6" x14ac:dyDescent="0.55000000000000004">
      <c r="A1366" s="6">
        <v>1.181448947375495E+19</v>
      </c>
      <c r="B1366">
        <v>1</v>
      </c>
      <c r="C1366">
        <v>1</v>
      </c>
      <c r="D1366">
        <v>3</v>
      </c>
      <c r="E1366">
        <v>113</v>
      </c>
      <c r="F1366" t="s">
        <v>1234</v>
      </c>
    </row>
    <row r="1367" spans="1:6" x14ac:dyDescent="0.55000000000000004">
      <c r="A1367" s="6">
        <v>1.1816606548421321E+19</v>
      </c>
      <c r="B1367">
        <v>2</v>
      </c>
      <c r="C1367">
        <v>1</v>
      </c>
      <c r="D1367">
        <v>2</v>
      </c>
      <c r="E1367">
        <v>212</v>
      </c>
      <c r="F1367" t="s">
        <v>1234</v>
      </c>
    </row>
    <row r="1368" spans="1:6" x14ac:dyDescent="0.55000000000000004">
      <c r="A1368" s="6">
        <v>1.183332280575514E+19</v>
      </c>
      <c r="B1368">
        <v>1</v>
      </c>
      <c r="C1368">
        <v>1</v>
      </c>
      <c r="D1368">
        <v>3</v>
      </c>
      <c r="E1368">
        <v>113</v>
      </c>
      <c r="F1368" t="s">
        <v>1234</v>
      </c>
    </row>
    <row r="1369" spans="1:6" x14ac:dyDescent="0.55000000000000004">
      <c r="A1369" s="6">
        <v>1.1864184727117269E+19</v>
      </c>
      <c r="B1369">
        <v>5</v>
      </c>
      <c r="C1369">
        <v>2</v>
      </c>
      <c r="D1369">
        <v>2</v>
      </c>
      <c r="E1369">
        <v>522</v>
      </c>
      <c r="F1369" t="s">
        <v>1229</v>
      </c>
    </row>
    <row r="1370" spans="1:6" x14ac:dyDescent="0.55000000000000004">
      <c r="A1370" s="6">
        <v>1.1866731439402271E+19</v>
      </c>
      <c r="B1370">
        <v>4</v>
      </c>
      <c r="C1370">
        <v>1</v>
      </c>
      <c r="D1370">
        <v>3</v>
      </c>
      <c r="E1370">
        <v>413</v>
      </c>
      <c r="F1370" t="s">
        <v>1233</v>
      </c>
    </row>
    <row r="1371" spans="1:6" x14ac:dyDescent="0.55000000000000004">
      <c r="A1371" s="6">
        <v>1.1868077272663519E+19</v>
      </c>
      <c r="B1371">
        <v>3</v>
      </c>
      <c r="C1371">
        <v>3</v>
      </c>
      <c r="D1371">
        <v>3</v>
      </c>
      <c r="E1371">
        <v>333</v>
      </c>
      <c r="F1371" t="s">
        <v>1231</v>
      </c>
    </row>
    <row r="1372" spans="1:6" x14ac:dyDescent="0.55000000000000004">
      <c r="A1372" s="6">
        <v>1.188150367275085E+19</v>
      </c>
      <c r="B1372">
        <v>1</v>
      </c>
      <c r="C1372">
        <v>1</v>
      </c>
      <c r="D1372">
        <v>3</v>
      </c>
      <c r="E1372">
        <v>113</v>
      </c>
      <c r="F1372" t="s">
        <v>1234</v>
      </c>
    </row>
    <row r="1373" spans="1:6" x14ac:dyDescent="0.55000000000000004">
      <c r="A1373" s="6">
        <v>1.1883551131589671E+19</v>
      </c>
      <c r="B1373">
        <v>2</v>
      </c>
      <c r="C1373">
        <v>1</v>
      </c>
      <c r="D1373">
        <v>1</v>
      </c>
      <c r="E1373">
        <v>211</v>
      </c>
      <c r="F1373" t="s">
        <v>1234</v>
      </c>
    </row>
    <row r="1374" spans="1:6" x14ac:dyDescent="0.55000000000000004">
      <c r="A1374" s="6">
        <v>1.1886913938454659E+19</v>
      </c>
      <c r="B1374">
        <v>3</v>
      </c>
      <c r="C1374">
        <v>2</v>
      </c>
      <c r="D1374">
        <v>1</v>
      </c>
      <c r="E1374">
        <v>321</v>
      </c>
      <c r="F1374" t="s">
        <v>1233</v>
      </c>
    </row>
    <row r="1375" spans="1:6" x14ac:dyDescent="0.55000000000000004">
      <c r="A1375" s="6">
        <v>1.1886972157497281E+19</v>
      </c>
      <c r="B1375">
        <v>2</v>
      </c>
      <c r="C1375">
        <v>1</v>
      </c>
      <c r="D1375">
        <v>3</v>
      </c>
      <c r="E1375">
        <v>213</v>
      </c>
      <c r="F1375" t="s">
        <v>1234</v>
      </c>
    </row>
    <row r="1376" spans="1:6" x14ac:dyDescent="0.55000000000000004">
      <c r="A1376" s="6">
        <v>1.1892397586174779E+19</v>
      </c>
      <c r="B1376">
        <v>5</v>
      </c>
      <c r="C1376">
        <v>1</v>
      </c>
      <c r="D1376">
        <v>2</v>
      </c>
      <c r="E1376">
        <v>512</v>
      </c>
      <c r="F1376" t="s">
        <v>1228</v>
      </c>
    </row>
    <row r="1377" spans="1:6" x14ac:dyDescent="0.55000000000000004">
      <c r="A1377" s="6">
        <v>1.189424107996723E+19</v>
      </c>
      <c r="B1377">
        <v>2</v>
      </c>
      <c r="C1377">
        <v>1</v>
      </c>
      <c r="D1377">
        <v>1</v>
      </c>
      <c r="E1377">
        <v>211</v>
      </c>
      <c r="F1377" t="s">
        <v>1234</v>
      </c>
    </row>
    <row r="1378" spans="1:6" x14ac:dyDescent="0.55000000000000004">
      <c r="A1378" s="6">
        <v>1.1903747901253439E+19</v>
      </c>
      <c r="B1378">
        <v>5</v>
      </c>
      <c r="C1378">
        <v>1</v>
      </c>
      <c r="D1378">
        <v>1</v>
      </c>
      <c r="E1378">
        <v>511</v>
      </c>
      <c r="F1378" t="s">
        <v>1228</v>
      </c>
    </row>
    <row r="1379" spans="1:6" x14ac:dyDescent="0.55000000000000004">
      <c r="A1379" s="6">
        <v>1.190565954692455E+19</v>
      </c>
      <c r="B1379">
        <v>5</v>
      </c>
      <c r="C1379">
        <v>1</v>
      </c>
      <c r="D1379">
        <v>3</v>
      </c>
      <c r="E1379">
        <v>513</v>
      </c>
      <c r="F1379" t="s">
        <v>1228</v>
      </c>
    </row>
    <row r="1380" spans="1:6" x14ac:dyDescent="0.55000000000000004">
      <c r="A1380" s="6">
        <v>1.190775768037523E+19</v>
      </c>
      <c r="B1380">
        <v>5</v>
      </c>
      <c r="C1380">
        <v>1</v>
      </c>
      <c r="D1380">
        <v>1</v>
      </c>
      <c r="E1380">
        <v>511</v>
      </c>
      <c r="F1380" t="s">
        <v>1228</v>
      </c>
    </row>
    <row r="1381" spans="1:6" x14ac:dyDescent="0.55000000000000004">
      <c r="A1381" s="6">
        <v>1.192291517149329E+19</v>
      </c>
      <c r="B1381">
        <v>3</v>
      </c>
      <c r="C1381">
        <v>1</v>
      </c>
      <c r="D1381">
        <v>2</v>
      </c>
      <c r="E1381">
        <v>312</v>
      </c>
      <c r="F1381" t="s">
        <v>1233</v>
      </c>
    </row>
    <row r="1382" spans="1:6" x14ac:dyDescent="0.55000000000000004">
      <c r="A1382" s="6">
        <v>1.1925262759840299E+19</v>
      </c>
      <c r="B1382">
        <v>4</v>
      </c>
      <c r="C1382">
        <v>1</v>
      </c>
      <c r="D1382">
        <v>1</v>
      </c>
      <c r="E1382">
        <v>411</v>
      </c>
      <c r="F1382" t="s">
        <v>1233</v>
      </c>
    </row>
    <row r="1383" spans="1:6" x14ac:dyDescent="0.55000000000000004">
      <c r="A1383" s="6">
        <v>1.193444999446759E+19</v>
      </c>
      <c r="B1383">
        <v>5</v>
      </c>
      <c r="C1383">
        <v>2</v>
      </c>
      <c r="D1383">
        <v>2</v>
      </c>
      <c r="E1383">
        <v>522</v>
      </c>
      <c r="F1383" t="s">
        <v>1229</v>
      </c>
    </row>
    <row r="1384" spans="1:6" x14ac:dyDescent="0.55000000000000004">
      <c r="A1384" s="6">
        <v>1.194566090307909E+19</v>
      </c>
      <c r="B1384">
        <v>3</v>
      </c>
      <c r="C1384">
        <v>1</v>
      </c>
      <c r="D1384">
        <v>2</v>
      </c>
      <c r="E1384">
        <v>312</v>
      </c>
      <c r="F1384" t="s">
        <v>1233</v>
      </c>
    </row>
    <row r="1385" spans="1:6" x14ac:dyDescent="0.55000000000000004">
      <c r="A1385" s="6">
        <v>1.1955962298200941E+19</v>
      </c>
      <c r="B1385">
        <v>4</v>
      </c>
      <c r="C1385">
        <v>1</v>
      </c>
      <c r="D1385">
        <v>2</v>
      </c>
      <c r="E1385">
        <v>412</v>
      </c>
      <c r="F1385" t="s">
        <v>1233</v>
      </c>
    </row>
    <row r="1386" spans="1:6" x14ac:dyDescent="0.55000000000000004">
      <c r="A1386" s="6">
        <v>1.195913589439642E+19</v>
      </c>
      <c r="B1386">
        <v>2</v>
      </c>
      <c r="C1386">
        <v>1</v>
      </c>
      <c r="D1386">
        <v>2</v>
      </c>
      <c r="E1386">
        <v>212</v>
      </c>
      <c r="F1386" t="s">
        <v>1234</v>
      </c>
    </row>
    <row r="1387" spans="1:6" x14ac:dyDescent="0.55000000000000004">
      <c r="A1387" s="6">
        <v>1.196519488682964E+19</v>
      </c>
      <c r="B1387">
        <v>3</v>
      </c>
      <c r="C1387">
        <v>2</v>
      </c>
      <c r="D1387">
        <v>2</v>
      </c>
      <c r="E1387">
        <v>322</v>
      </c>
      <c r="F1387" t="s">
        <v>1233</v>
      </c>
    </row>
    <row r="1388" spans="1:6" x14ac:dyDescent="0.55000000000000004">
      <c r="A1388" s="6">
        <v>1.1982221732938629E+19</v>
      </c>
      <c r="B1388">
        <v>4</v>
      </c>
      <c r="C1388">
        <v>1</v>
      </c>
      <c r="D1388">
        <v>3</v>
      </c>
      <c r="E1388">
        <v>413</v>
      </c>
      <c r="F1388" t="s">
        <v>1233</v>
      </c>
    </row>
    <row r="1389" spans="1:6" x14ac:dyDescent="0.55000000000000004">
      <c r="A1389" s="6">
        <v>1.19876887863512E+19</v>
      </c>
      <c r="B1389">
        <v>5</v>
      </c>
      <c r="C1389">
        <v>3</v>
      </c>
      <c r="D1389">
        <v>3</v>
      </c>
      <c r="E1389">
        <v>533</v>
      </c>
      <c r="F1389" t="s">
        <v>1230</v>
      </c>
    </row>
    <row r="1390" spans="1:6" x14ac:dyDescent="0.55000000000000004">
      <c r="A1390" s="6">
        <v>1.1993843456880841E+19</v>
      </c>
      <c r="B1390">
        <v>3</v>
      </c>
      <c r="C1390">
        <v>2</v>
      </c>
      <c r="D1390">
        <v>2</v>
      </c>
      <c r="E1390">
        <v>322</v>
      </c>
      <c r="F1390" t="s">
        <v>1233</v>
      </c>
    </row>
    <row r="1391" spans="1:6" x14ac:dyDescent="0.55000000000000004">
      <c r="A1391" s="6">
        <v>1.2023383622054459E+19</v>
      </c>
      <c r="B1391">
        <v>3</v>
      </c>
      <c r="C1391">
        <v>1</v>
      </c>
      <c r="D1391">
        <v>2</v>
      </c>
      <c r="E1391">
        <v>312</v>
      </c>
      <c r="F1391" t="s">
        <v>1233</v>
      </c>
    </row>
    <row r="1392" spans="1:6" x14ac:dyDescent="0.55000000000000004">
      <c r="A1392" s="6">
        <v>1.2036271954815109E+19</v>
      </c>
      <c r="B1392">
        <v>1</v>
      </c>
      <c r="C1392">
        <v>1</v>
      </c>
      <c r="D1392">
        <v>1</v>
      </c>
      <c r="E1392">
        <v>111</v>
      </c>
      <c r="F1392" t="s">
        <v>1234</v>
      </c>
    </row>
    <row r="1393" spans="1:6" x14ac:dyDescent="0.55000000000000004">
      <c r="A1393" s="6">
        <v>1.2044647442963249E+19</v>
      </c>
      <c r="B1393">
        <v>5</v>
      </c>
      <c r="C1393">
        <v>1</v>
      </c>
      <c r="D1393">
        <v>2</v>
      </c>
      <c r="E1393">
        <v>512</v>
      </c>
      <c r="F1393" t="s">
        <v>1228</v>
      </c>
    </row>
    <row r="1394" spans="1:6" x14ac:dyDescent="0.55000000000000004">
      <c r="A1394" s="6">
        <v>1.2061853660397591E+19</v>
      </c>
      <c r="B1394">
        <v>2</v>
      </c>
      <c r="C1394">
        <v>1</v>
      </c>
      <c r="D1394">
        <v>1</v>
      </c>
      <c r="E1394">
        <v>211</v>
      </c>
      <c r="F1394" t="s">
        <v>1234</v>
      </c>
    </row>
    <row r="1395" spans="1:6" x14ac:dyDescent="0.55000000000000004">
      <c r="A1395" s="6">
        <v>1.2061880677718579E+19</v>
      </c>
      <c r="B1395">
        <v>4</v>
      </c>
      <c r="C1395">
        <v>2</v>
      </c>
      <c r="D1395">
        <v>3</v>
      </c>
      <c r="E1395">
        <v>423</v>
      </c>
      <c r="F1395" t="s">
        <v>1229</v>
      </c>
    </row>
    <row r="1396" spans="1:6" x14ac:dyDescent="0.55000000000000004">
      <c r="A1396" s="6">
        <v>1.2067782144635619E+19</v>
      </c>
      <c r="B1396">
        <v>4</v>
      </c>
      <c r="C1396">
        <v>1</v>
      </c>
      <c r="D1396">
        <v>1</v>
      </c>
      <c r="E1396">
        <v>411</v>
      </c>
      <c r="F1396" t="s">
        <v>1233</v>
      </c>
    </row>
    <row r="1397" spans="1:6" x14ac:dyDescent="0.55000000000000004">
      <c r="A1397" s="6">
        <v>1.207189860297103E+19</v>
      </c>
      <c r="B1397">
        <v>5</v>
      </c>
      <c r="C1397">
        <v>1</v>
      </c>
      <c r="D1397">
        <v>2</v>
      </c>
      <c r="E1397">
        <v>512</v>
      </c>
      <c r="F1397" t="s">
        <v>1228</v>
      </c>
    </row>
    <row r="1398" spans="1:6" x14ac:dyDescent="0.55000000000000004">
      <c r="A1398" s="6">
        <v>1.207683323886489E+19</v>
      </c>
      <c r="B1398">
        <v>5</v>
      </c>
      <c r="C1398">
        <v>2</v>
      </c>
      <c r="D1398">
        <v>3</v>
      </c>
      <c r="E1398">
        <v>523</v>
      </c>
      <c r="F1398" t="s">
        <v>1229</v>
      </c>
    </row>
    <row r="1399" spans="1:6" x14ac:dyDescent="0.55000000000000004">
      <c r="A1399" s="6">
        <v>1.207908146795667E+19</v>
      </c>
      <c r="B1399">
        <v>2</v>
      </c>
      <c r="C1399">
        <v>2</v>
      </c>
      <c r="D1399">
        <v>1</v>
      </c>
      <c r="E1399">
        <v>221</v>
      </c>
      <c r="F1399" t="s">
        <v>1234</v>
      </c>
    </row>
    <row r="1400" spans="1:6" x14ac:dyDescent="0.55000000000000004">
      <c r="A1400" s="6">
        <v>1.2110034943482069E+19</v>
      </c>
      <c r="B1400">
        <v>5</v>
      </c>
      <c r="C1400">
        <v>1</v>
      </c>
      <c r="D1400">
        <v>3</v>
      </c>
      <c r="E1400">
        <v>513</v>
      </c>
      <c r="F1400" t="s">
        <v>1228</v>
      </c>
    </row>
    <row r="1401" spans="1:6" x14ac:dyDescent="0.55000000000000004">
      <c r="A1401" s="6">
        <v>1.211089913460737E+19</v>
      </c>
      <c r="B1401">
        <v>4</v>
      </c>
      <c r="C1401">
        <v>1</v>
      </c>
      <c r="D1401">
        <v>1</v>
      </c>
      <c r="E1401">
        <v>411</v>
      </c>
      <c r="F1401" t="s">
        <v>1233</v>
      </c>
    </row>
    <row r="1402" spans="1:6" x14ac:dyDescent="0.55000000000000004">
      <c r="A1402" s="6">
        <v>1.211195581225029E+19</v>
      </c>
      <c r="B1402">
        <v>4</v>
      </c>
      <c r="C1402">
        <v>3</v>
      </c>
      <c r="D1402">
        <v>3</v>
      </c>
      <c r="E1402">
        <v>433</v>
      </c>
      <c r="F1402" t="s">
        <v>1230</v>
      </c>
    </row>
    <row r="1403" spans="1:6" x14ac:dyDescent="0.55000000000000004">
      <c r="A1403" s="6">
        <v>1.2135474904153309E+19</v>
      </c>
      <c r="B1403">
        <v>5</v>
      </c>
      <c r="C1403">
        <v>2</v>
      </c>
      <c r="D1403">
        <v>3</v>
      </c>
      <c r="E1403">
        <v>523</v>
      </c>
      <c r="F1403" t="s">
        <v>1229</v>
      </c>
    </row>
    <row r="1404" spans="1:6" x14ac:dyDescent="0.55000000000000004">
      <c r="A1404" s="6">
        <v>1.21417257486778E+19</v>
      </c>
      <c r="B1404">
        <v>4</v>
      </c>
      <c r="C1404">
        <v>1</v>
      </c>
      <c r="D1404">
        <v>2</v>
      </c>
      <c r="E1404">
        <v>412</v>
      </c>
      <c r="F1404" t="s">
        <v>1233</v>
      </c>
    </row>
    <row r="1405" spans="1:6" x14ac:dyDescent="0.55000000000000004">
      <c r="A1405" s="6">
        <v>1.215655521005091E+19</v>
      </c>
      <c r="B1405">
        <v>5</v>
      </c>
      <c r="C1405">
        <v>1</v>
      </c>
      <c r="D1405">
        <v>2</v>
      </c>
      <c r="E1405">
        <v>512</v>
      </c>
      <c r="F1405" t="s">
        <v>1228</v>
      </c>
    </row>
    <row r="1406" spans="1:6" x14ac:dyDescent="0.55000000000000004">
      <c r="A1406" s="6">
        <v>1.2160854978433571E+19</v>
      </c>
      <c r="B1406">
        <v>4</v>
      </c>
      <c r="C1406">
        <v>1</v>
      </c>
      <c r="D1406">
        <v>3</v>
      </c>
      <c r="E1406">
        <v>413</v>
      </c>
      <c r="F1406" t="s">
        <v>1233</v>
      </c>
    </row>
    <row r="1407" spans="1:6" x14ac:dyDescent="0.55000000000000004">
      <c r="A1407" s="6">
        <v>1.216474359270146E+19</v>
      </c>
      <c r="B1407">
        <v>5</v>
      </c>
      <c r="C1407">
        <v>1</v>
      </c>
      <c r="D1407">
        <v>3</v>
      </c>
      <c r="E1407">
        <v>513</v>
      </c>
      <c r="F1407" t="s">
        <v>1228</v>
      </c>
    </row>
    <row r="1408" spans="1:6" x14ac:dyDescent="0.55000000000000004">
      <c r="A1408" s="6">
        <v>1.216780842409685E+19</v>
      </c>
      <c r="B1408">
        <v>2</v>
      </c>
      <c r="C1408">
        <v>1</v>
      </c>
      <c r="D1408">
        <v>1</v>
      </c>
      <c r="E1408">
        <v>211</v>
      </c>
      <c r="F1408" t="s">
        <v>1234</v>
      </c>
    </row>
    <row r="1409" spans="1:6" x14ac:dyDescent="0.55000000000000004">
      <c r="A1409" s="6">
        <v>1.218819727349224E+19</v>
      </c>
      <c r="B1409">
        <v>4</v>
      </c>
      <c r="C1409">
        <v>2</v>
      </c>
      <c r="D1409">
        <v>1</v>
      </c>
      <c r="E1409">
        <v>421</v>
      </c>
      <c r="F1409" t="s">
        <v>1229</v>
      </c>
    </row>
    <row r="1410" spans="1:6" x14ac:dyDescent="0.55000000000000004">
      <c r="A1410" s="6">
        <v>1.22051270992175E+19</v>
      </c>
      <c r="B1410">
        <v>5</v>
      </c>
      <c r="C1410">
        <v>1</v>
      </c>
      <c r="D1410">
        <v>3</v>
      </c>
      <c r="E1410">
        <v>513</v>
      </c>
      <c r="F1410" t="s">
        <v>1228</v>
      </c>
    </row>
    <row r="1411" spans="1:6" x14ac:dyDescent="0.55000000000000004">
      <c r="A1411" s="6">
        <v>1.2231084717582371E+19</v>
      </c>
      <c r="B1411">
        <v>3</v>
      </c>
      <c r="C1411">
        <v>1</v>
      </c>
      <c r="D1411">
        <v>2</v>
      </c>
      <c r="E1411">
        <v>312</v>
      </c>
      <c r="F1411" t="s">
        <v>1233</v>
      </c>
    </row>
    <row r="1412" spans="1:6" x14ac:dyDescent="0.55000000000000004">
      <c r="A1412" s="6">
        <v>1.2242322411880839E+19</v>
      </c>
      <c r="B1412">
        <v>5</v>
      </c>
      <c r="C1412">
        <v>3</v>
      </c>
      <c r="D1412">
        <v>3</v>
      </c>
      <c r="E1412">
        <v>533</v>
      </c>
      <c r="F1412" t="s">
        <v>1230</v>
      </c>
    </row>
    <row r="1413" spans="1:6" x14ac:dyDescent="0.55000000000000004">
      <c r="A1413" s="6">
        <v>1.2278171695575269E+19</v>
      </c>
      <c r="B1413">
        <v>3</v>
      </c>
      <c r="C1413">
        <v>1</v>
      </c>
      <c r="D1413">
        <v>2</v>
      </c>
      <c r="E1413">
        <v>312</v>
      </c>
      <c r="F1413" t="s">
        <v>1233</v>
      </c>
    </row>
    <row r="1414" spans="1:6" x14ac:dyDescent="0.55000000000000004">
      <c r="A1414" s="6">
        <v>1.22809657059362E+19</v>
      </c>
      <c r="B1414">
        <v>4</v>
      </c>
      <c r="C1414">
        <v>1</v>
      </c>
      <c r="D1414">
        <v>2</v>
      </c>
      <c r="E1414">
        <v>412</v>
      </c>
      <c r="F1414" t="s">
        <v>1233</v>
      </c>
    </row>
    <row r="1415" spans="1:6" x14ac:dyDescent="0.55000000000000004">
      <c r="A1415" s="6">
        <v>1.228500511889546E+19</v>
      </c>
      <c r="B1415">
        <v>1</v>
      </c>
      <c r="C1415">
        <v>1</v>
      </c>
      <c r="D1415">
        <v>1</v>
      </c>
      <c r="E1415">
        <v>111</v>
      </c>
      <c r="F1415" t="s">
        <v>1234</v>
      </c>
    </row>
    <row r="1416" spans="1:6" x14ac:dyDescent="0.55000000000000004">
      <c r="A1416" s="6">
        <v>1.229276804746035E+19</v>
      </c>
      <c r="B1416">
        <v>2</v>
      </c>
      <c r="C1416">
        <v>1</v>
      </c>
      <c r="D1416">
        <v>1</v>
      </c>
      <c r="E1416">
        <v>211</v>
      </c>
      <c r="F1416" t="s">
        <v>1234</v>
      </c>
    </row>
    <row r="1417" spans="1:6" x14ac:dyDescent="0.55000000000000004">
      <c r="A1417" s="6">
        <v>1.2294883668211849E+19</v>
      </c>
      <c r="B1417">
        <v>1</v>
      </c>
      <c r="C1417">
        <v>1</v>
      </c>
      <c r="D1417">
        <v>3</v>
      </c>
      <c r="E1417">
        <v>113</v>
      </c>
      <c r="F1417" t="s">
        <v>1234</v>
      </c>
    </row>
    <row r="1418" spans="1:6" x14ac:dyDescent="0.55000000000000004">
      <c r="A1418" s="6">
        <v>1.2302739047481971E+19</v>
      </c>
      <c r="B1418">
        <v>3</v>
      </c>
      <c r="C1418">
        <v>1</v>
      </c>
      <c r="D1418">
        <v>2</v>
      </c>
      <c r="E1418">
        <v>312</v>
      </c>
      <c r="F1418" t="s">
        <v>1233</v>
      </c>
    </row>
    <row r="1419" spans="1:6" x14ac:dyDescent="0.55000000000000004">
      <c r="A1419" s="6">
        <v>1.2325779343734329E+19</v>
      </c>
      <c r="B1419">
        <v>5</v>
      </c>
      <c r="C1419">
        <v>2</v>
      </c>
      <c r="D1419">
        <v>3</v>
      </c>
      <c r="E1419">
        <v>523</v>
      </c>
      <c r="F1419" t="s">
        <v>1229</v>
      </c>
    </row>
    <row r="1420" spans="1:6" x14ac:dyDescent="0.55000000000000004">
      <c r="A1420" s="6">
        <v>1.234620301174427E+19</v>
      </c>
      <c r="B1420">
        <v>5</v>
      </c>
      <c r="C1420">
        <v>2</v>
      </c>
      <c r="D1420">
        <v>2</v>
      </c>
      <c r="E1420">
        <v>522</v>
      </c>
      <c r="F1420" t="s">
        <v>1229</v>
      </c>
    </row>
    <row r="1421" spans="1:6" x14ac:dyDescent="0.55000000000000004">
      <c r="A1421" s="6">
        <v>1.2350054782657731E+19</v>
      </c>
      <c r="B1421">
        <v>2</v>
      </c>
      <c r="C1421">
        <v>1</v>
      </c>
      <c r="D1421">
        <v>2</v>
      </c>
      <c r="E1421">
        <v>212</v>
      </c>
      <c r="F1421" t="s">
        <v>1234</v>
      </c>
    </row>
    <row r="1422" spans="1:6" x14ac:dyDescent="0.55000000000000004">
      <c r="A1422" s="6">
        <v>1.2356092702888061E+19</v>
      </c>
      <c r="B1422">
        <v>5</v>
      </c>
      <c r="C1422">
        <v>2</v>
      </c>
      <c r="D1422">
        <v>3</v>
      </c>
      <c r="E1422">
        <v>523</v>
      </c>
      <c r="F1422" t="s">
        <v>1229</v>
      </c>
    </row>
    <row r="1423" spans="1:6" x14ac:dyDescent="0.55000000000000004">
      <c r="A1423" s="6">
        <v>1.23702259131362E+19</v>
      </c>
      <c r="B1423">
        <v>5</v>
      </c>
      <c r="C1423">
        <v>1</v>
      </c>
      <c r="D1423">
        <v>3</v>
      </c>
      <c r="E1423">
        <v>513</v>
      </c>
      <c r="F1423" t="s">
        <v>1228</v>
      </c>
    </row>
    <row r="1424" spans="1:6" x14ac:dyDescent="0.55000000000000004">
      <c r="A1424" s="6">
        <v>1.23873043178089E+19</v>
      </c>
      <c r="B1424">
        <v>4</v>
      </c>
      <c r="C1424">
        <v>1</v>
      </c>
      <c r="D1424">
        <v>1</v>
      </c>
      <c r="E1424">
        <v>411</v>
      </c>
      <c r="F1424" t="s">
        <v>1233</v>
      </c>
    </row>
    <row r="1425" spans="1:6" x14ac:dyDescent="0.55000000000000004">
      <c r="A1425" s="6">
        <v>1.2388158799828779E+19</v>
      </c>
      <c r="B1425">
        <v>3</v>
      </c>
      <c r="C1425">
        <v>1</v>
      </c>
      <c r="D1425">
        <v>1</v>
      </c>
      <c r="E1425">
        <v>311</v>
      </c>
      <c r="F1425" t="s">
        <v>1233</v>
      </c>
    </row>
    <row r="1426" spans="1:6" x14ac:dyDescent="0.55000000000000004">
      <c r="A1426" s="6">
        <v>1.238916070570668E+19</v>
      </c>
      <c r="B1426">
        <v>3</v>
      </c>
      <c r="C1426">
        <v>2</v>
      </c>
      <c r="D1426">
        <v>2</v>
      </c>
      <c r="E1426">
        <v>322</v>
      </c>
      <c r="F1426" t="s">
        <v>1233</v>
      </c>
    </row>
    <row r="1427" spans="1:6" x14ac:dyDescent="0.55000000000000004">
      <c r="A1427" s="6">
        <v>1.239974817970707E+19</v>
      </c>
      <c r="B1427">
        <v>2</v>
      </c>
      <c r="C1427">
        <v>1</v>
      </c>
      <c r="D1427">
        <v>1</v>
      </c>
      <c r="E1427">
        <v>211</v>
      </c>
      <c r="F1427" t="s">
        <v>1234</v>
      </c>
    </row>
    <row r="1428" spans="1:6" x14ac:dyDescent="0.55000000000000004">
      <c r="A1428" s="6">
        <v>1.24032174026972E+19</v>
      </c>
      <c r="B1428">
        <v>5</v>
      </c>
      <c r="C1428">
        <v>1</v>
      </c>
      <c r="D1428">
        <v>2</v>
      </c>
      <c r="E1428">
        <v>512</v>
      </c>
      <c r="F1428" t="s">
        <v>1228</v>
      </c>
    </row>
    <row r="1429" spans="1:6" x14ac:dyDescent="0.55000000000000004">
      <c r="A1429" s="6">
        <v>1.240325528226262E+19</v>
      </c>
      <c r="B1429">
        <v>3</v>
      </c>
      <c r="C1429">
        <v>1</v>
      </c>
      <c r="D1429">
        <v>2</v>
      </c>
      <c r="E1429">
        <v>312</v>
      </c>
      <c r="F1429" t="s">
        <v>1233</v>
      </c>
    </row>
    <row r="1430" spans="1:6" x14ac:dyDescent="0.55000000000000004">
      <c r="A1430" s="6">
        <v>1.2405799779277251E+19</v>
      </c>
      <c r="B1430">
        <v>3</v>
      </c>
      <c r="C1430">
        <v>2</v>
      </c>
      <c r="D1430">
        <v>3</v>
      </c>
      <c r="E1430">
        <v>323</v>
      </c>
      <c r="F1430" t="s">
        <v>1233</v>
      </c>
    </row>
    <row r="1431" spans="1:6" x14ac:dyDescent="0.55000000000000004">
      <c r="A1431" s="6">
        <v>1.2418058850637941E+19</v>
      </c>
      <c r="B1431">
        <v>5</v>
      </c>
      <c r="C1431">
        <v>3</v>
      </c>
      <c r="D1431">
        <v>3</v>
      </c>
      <c r="E1431">
        <v>533</v>
      </c>
      <c r="F1431" t="s">
        <v>1230</v>
      </c>
    </row>
    <row r="1432" spans="1:6" x14ac:dyDescent="0.55000000000000004">
      <c r="A1432" s="6">
        <v>1.2420661798939331E+19</v>
      </c>
      <c r="B1432">
        <v>2</v>
      </c>
      <c r="C1432">
        <v>1</v>
      </c>
      <c r="D1432">
        <v>1</v>
      </c>
      <c r="E1432">
        <v>211</v>
      </c>
      <c r="F1432" t="s">
        <v>1234</v>
      </c>
    </row>
    <row r="1433" spans="1:6" x14ac:dyDescent="0.55000000000000004">
      <c r="A1433" s="6">
        <v>1.2425575693366991E+19</v>
      </c>
      <c r="B1433">
        <v>3</v>
      </c>
      <c r="C1433">
        <v>1</v>
      </c>
      <c r="D1433">
        <v>1</v>
      </c>
      <c r="E1433">
        <v>311</v>
      </c>
      <c r="F1433" t="s">
        <v>1233</v>
      </c>
    </row>
    <row r="1434" spans="1:6" x14ac:dyDescent="0.55000000000000004">
      <c r="A1434" s="6">
        <v>1.243201166146015E+19</v>
      </c>
      <c r="B1434">
        <v>5</v>
      </c>
      <c r="C1434">
        <v>1</v>
      </c>
      <c r="D1434">
        <v>2</v>
      </c>
      <c r="E1434">
        <v>512</v>
      </c>
      <c r="F1434" t="s">
        <v>1228</v>
      </c>
    </row>
    <row r="1435" spans="1:6" x14ac:dyDescent="0.55000000000000004">
      <c r="A1435" s="6">
        <v>1.2438126385230721E+19</v>
      </c>
      <c r="B1435">
        <v>4</v>
      </c>
      <c r="C1435">
        <v>1</v>
      </c>
      <c r="D1435">
        <v>2</v>
      </c>
      <c r="E1435">
        <v>412</v>
      </c>
      <c r="F1435" t="s">
        <v>1233</v>
      </c>
    </row>
    <row r="1436" spans="1:6" x14ac:dyDescent="0.55000000000000004">
      <c r="A1436" s="6">
        <v>1.2443034443621161E+19</v>
      </c>
      <c r="B1436">
        <v>5</v>
      </c>
      <c r="C1436">
        <v>1</v>
      </c>
      <c r="D1436">
        <v>1</v>
      </c>
      <c r="E1436">
        <v>511</v>
      </c>
      <c r="F1436" t="s">
        <v>1228</v>
      </c>
    </row>
    <row r="1437" spans="1:6" x14ac:dyDescent="0.55000000000000004">
      <c r="A1437" s="6">
        <v>1.24462809513251E+19</v>
      </c>
      <c r="B1437">
        <v>4</v>
      </c>
      <c r="C1437">
        <v>1</v>
      </c>
      <c r="D1437">
        <v>2</v>
      </c>
      <c r="E1437">
        <v>412</v>
      </c>
      <c r="F1437" t="s">
        <v>1233</v>
      </c>
    </row>
    <row r="1438" spans="1:6" x14ac:dyDescent="0.55000000000000004">
      <c r="A1438" s="6">
        <v>1.24468035397837E+19</v>
      </c>
      <c r="B1438">
        <v>2</v>
      </c>
      <c r="C1438">
        <v>1</v>
      </c>
      <c r="D1438">
        <v>2</v>
      </c>
      <c r="E1438">
        <v>212</v>
      </c>
      <c r="F1438" t="s">
        <v>1234</v>
      </c>
    </row>
    <row r="1439" spans="1:6" x14ac:dyDescent="0.55000000000000004">
      <c r="A1439" s="6">
        <v>1.2447460537077559E+19</v>
      </c>
      <c r="B1439">
        <v>5</v>
      </c>
      <c r="C1439">
        <v>1</v>
      </c>
      <c r="D1439">
        <v>1</v>
      </c>
      <c r="E1439">
        <v>511</v>
      </c>
      <c r="F1439" t="s">
        <v>1228</v>
      </c>
    </row>
    <row r="1440" spans="1:6" x14ac:dyDescent="0.55000000000000004">
      <c r="A1440" s="6">
        <v>1.2447495074817901E+19</v>
      </c>
      <c r="B1440">
        <v>1</v>
      </c>
      <c r="C1440">
        <v>1</v>
      </c>
      <c r="D1440">
        <v>1</v>
      </c>
      <c r="E1440">
        <v>111</v>
      </c>
      <c r="F1440" t="s">
        <v>1234</v>
      </c>
    </row>
    <row r="1441" spans="1:6" x14ac:dyDescent="0.55000000000000004">
      <c r="A1441" s="6">
        <v>1.244898343219859E+19</v>
      </c>
      <c r="B1441">
        <v>3</v>
      </c>
      <c r="C1441">
        <v>1</v>
      </c>
      <c r="D1441">
        <v>2</v>
      </c>
      <c r="E1441">
        <v>312</v>
      </c>
      <c r="F1441" t="s">
        <v>1233</v>
      </c>
    </row>
    <row r="1442" spans="1:6" x14ac:dyDescent="0.55000000000000004">
      <c r="A1442" s="6">
        <v>1.2470295368778029E+19</v>
      </c>
      <c r="B1442">
        <v>2</v>
      </c>
      <c r="C1442">
        <v>1</v>
      </c>
      <c r="D1442">
        <v>1</v>
      </c>
      <c r="E1442">
        <v>211</v>
      </c>
      <c r="F1442" t="s">
        <v>1234</v>
      </c>
    </row>
    <row r="1443" spans="1:6" x14ac:dyDescent="0.55000000000000004">
      <c r="A1443" s="6">
        <v>1.247375959022874E+19</v>
      </c>
      <c r="B1443">
        <v>4</v>
      </c>
      <c r="C1443">
        <v>1</v>
      </c>
      <c r="D1443">
        <v>1</v>
      </c>
      <c r="E1443">
        <v>411</v>
      </c>
      <c r="F1443" t="s">
        <v>1233</v>
      </c>
    </row>
    <row r="1444" spans="1:6" x14ac:dyDescent="0.55000000000000004">
      <c r="A1444" s="6">
        <v>1.2480650001792049E+19</v>
      </c>
      <c r="B1444">
        <v>4</v>
      </c>
      <c r="C1444">
        <v>1</v>
      </c>
      <c r="D1444">
        <v>1</v>
      </c>
      <c r="E1444">
        <v>411</v>
      </c>
      <c r="F1444" t="s">
        <v>1233</v>
      </c>
    </row>
    <row r="1445" spans="1:6" x14ac:dyDescent="0.55000000000000004">
      <c r="A1445" s="6">
        <v>1.248812592215986E+19</v>
      </c>
      <c r="B1445">
        <v>3</v>
      </c>
      <c r="C1445">
        <v>1</v>
      </c>
      <c r="D1445">
        <v>1</v>
      </c>
      <c r="E1445">
        <v>311</v>
      </c>
      <c r="F1445" t="s">
        <v>1233</v>
      </c>
    </row>
    <row r="1446" spans="1:6" x14ac:dyDescent="0.55000000000000004">
      <c r="A1446" s="6">
        <v>1.2488241262194881E+19</v>
      </c>
      <c r="B1446">
        <v>3</v>
      </c>
      <c r="C1446">
        <v>1</v>
      </c>
      <c r="D1446">
        <v>1</v>
      </c>
      <c r="E1446">
        <v>311</v>
      </c>
      <c r="F1446" t="s">
        <v>1233</v>
      </c>
    </row>
    <row r="1447" spans="1:6" x14ac:dyDescent="0.55000000000000004">
      <c r="A1447" s="6">
        <v>1.2491910575003779E+19</v>
      </c>
      <c r="B1447">
        <v>3</v>
      </c>
      <c r="C1447">
        <v>1</v>
      </c>
      <c r="D1447">
        <v>2</v>
      </c>
      <c r="E1447">
        <v>312</v>
      </c>
      <c r="F1447" t="s">
        <v>1233</v>
      </c>
    </row>
    <row r="1448" spans="1:6" x14ac:dyDescent="0.55000000000000004">
      <c r="A1448" s="6">
        <v>1.2530939074231751E+19</v>
      </c>
      <c r="B1448">
        <v>4</v>
      </c>
      <c r="C1448">
        <v>2</v>
      </c>
      <c r="D1448">
        <v>3</v>
      </c>
      <c r="E1448">
        <v>423</v>
      </c>
      <c r="F1448" t="s">
        <v>1229</v>
      </c>
    </row>
    <row r="1449" spans="1:6" x14ac:dyDescent="0.55000000000000004">
      <c r="A1449" s="6">
        <v>1.2539100529691179E+19</v>
      </c>
      <c r="B1449">
        <v>1</v>
      </c>
      <c r="C1449">
        <v>1</v>
      </c>
      <c r="D1449">
        <v>1</v>
      </c>
      <c r="E1449">
        <v>111</v>
      </c>
      <c r="F1449" t="s">
        <v>1234</v>
      </c>
    </row>
    <row r="1450" spans="1:6" x14ac:dyDescent="0.55000000000000004">
      <c r="A1450" s="6">
        <v>1.2557420658904809E+19</v>
      </c>
      <c r="B1450">
        <v>4</v>
      </c>
      <c r="C1450">
        <v>2</v>
      </c>
      <c r="D1450">
        <v>3</v>
      </c>
      <c r="E1450">
        <v>423</v>
      </c>
      <c r="F1450" t="s">
        <v>1229</v>
      </c>
    </row>
    <row r="1451" spans="1:6" x14ac:dyDescent="0.55000000000000004">
      <c r="A1451" s="6">
        <v>1.256053743708636E+19</v>
      </c>
      <c r="B1451">
        <v>4</v>
      </c>
      <c r="C1451">
        <v>2</v>
      </c>
      <c r="D1451">
        <v>3</v>
      </c>
      <c r="E1451">
        <v>423</v>
      </c>
      <c r="F1451" t="s">
        <v>1229</v>
      </c>
    </row>
    <row r="1452" spans="1:6" x14ac:dyDescent="0.55000000000000004">
      <c r="A1452" s="6">
        <v>1.256304617985765E+19</v>
      </c>
      <c r="B1452">
        <v>3</v>
      </c>
      <c r="C1452">
        <v>2</v>
      </c>
      <c r="D1452">
        <v>2</v>
      </c>
      <c r="E1452">
        <v>322</v>
      </c>
      <c r="F1452" t="s">
        <v>1233</v>
      </c>
    </row>
    <row r="1453" spans="1:6" x14ac:dyDescent="0.55000000000000004">
      <c r="A1453" s="6">
        <v>1.2563713193918501E+19</v>
      </c>
      <c r="B1453">
        <v>4</v>
      </c>
      <c r="C1453">
        <v>3</v>
      </c>
      <c r="D1453">
        <v>1</v>
      </c>
      <c r="E1453">
        <v>431</v>
      </c>
      <c r="F1453" t="s">
        <v>1230</v>
      </c>
    </row>
    <row r="1454" spans="1:6" x14ac:dyDescent="0.55000000000000004">
      <c r="A1454" s="6">
        <v>1.2573059671095509E+19</v>
      </c>
      <c r="B1454">
        <v>5</v>
      </c>
      <c r="C1454">
        <v>1</v>
      </c>
      <c r="D1454">
        <v>2</v>
      </c>
      <c r="E1454">
        <v>512</v>
      </c>
      <c r="F1454" t="s">
        <v>1228</v>
      </c>
    </row>
    <row r="1455" spans="1:6" x14ac:dyDescent="0.55000000000000004">
      <c r="A1455" s="6">
        <v>1.2590142741476041E+19</v>
      </c>
      <c r="B1455">
        <v>4</v>
      </c>
      <c r="C1455">
        <v>1</v>
      </c>
      <c r="D1455">
        <v>1</v>
      </c>
      <c r="E1455">
        <v>411</v>
      </c>
      <c r="F1455" t="s">
        <v>1233</v>
      </c>
    </row>
    <row r="1456" spans="1:6" x14ac:dyDescent="0.55000000000000004">
      <c r="A1456" s="6">
        <v>1.25975856000808E+19</v>
      </c>
      <c r="B1456">
        <v>3</v>
      </c>
      <c r="C1456">
        <v>2</v>
      </c>
      <c r="D1456">
        <v>2</v>
      </c>
      <c r="E1456">
        <v>322</v>
      </c>
      <c r="F1456" t="s">
        <v>1233</v>
      </c>
    </row>
    <row r="1457" spans="1:6" x14ac:dyDescent="0.55000000000000004">
      <c r="A1457" s="6">
        <v>1.2598501340074549E+19</v>
      </c>
      <c r="B1457">
        <v>5</v>
      </c>
      <c r="C1457">
        <v>1</v>
      </c>
      <c r="D1457">
        <v>2</v>
      </c>
      <c r="E1457">
        <v>512</v>
      </c>
      <c r="F1457" t="s">
        <v>1228</v>
      </c>
    </row>
    <row r="1458" spans="1:6" x14ac:dyDescent="0.55000000000000004">
      <c r="A1458" s="6">
        <v>1.261100388683049E+19</v>
      </c>
      <c r="B1458">
        <v>4</v>
      </c>
      <c r="C1458">
        <v>1</v>
      </c>
      <c r="D1458">
        <v>3</v>
      </c>
      <c r="E1458">
        <v>413</v>
      </c>
      <c r="F1458" t="s">
        <v>1233</v>
      </c>
    </row>
    <row r="1459" spans="1:6" x14ac:dyDescent="0.55000000000000004">
      <c r="A1459" s="6">
        <v>1.262209318827511E+19</v>
      </c>
      <c r="B1459">
        <v>3</v>
      </c>
      <c r="C1459">
        <v>2</v>
      </c>
      <c r="D1459">
        <v>3</v>
      </c>
      <c r="E1459">
        <v>323</v>
      </c>
      <c r="F1459" t="s">
        <v>1233</v>
      </c>
    </row>
    <row r="1460" spans="1:6" x14ac:dyDescent="0.55000000000000004">
      <c r="A1460" s="6">
        <v>1.262800564840045E+19</v>
      </c>
      <c r="B1460">
        <v>4</v>
      </c>
      <c r="C1460">
        <v>2</v>
      </c>
      <c r="D1460">
        <v>2</v>
      </c>
      <c r="E1460">
        <v>422</v>
      </c>
      <c r="F1460" t="s">
        <v>1229</v>
      </c>
    </row>
    <row r="1461" spans="1:6" x14ac:dyDescent="0.55000000000000004">
      <c r="A1461" s="6">
        <v>1.262989142060767E+19</v>
      </c>
      <c r="B1461">
        <v>4</v>
      </c>
      <c r="C1461">
        <v>1</v>
      </c>
      <c r="D1461">
        <v>2</v>
      </c>
      <c r="E1461">
        <v>412</v>
      </c>
      <c r="F1461" t="s">
        <v>1233</v>
      </c>
    </row>
    <row r="1462" spans="1:6" x14ac:dyDescent="0.55000000000000004">
      <c r="A1462" s="6">
        <v>1.263360759711471E+19</v>
      </c>
      <c r="B1462">
        <v>2</v>
      </c>
      <c r="C1462">
        <v>1</v>
      </c>
      <c r="D1462">
        <v>3</v>
      </c>
      <c r="E1462">
        <v>213</v>
      </c>
      <c r="F1462" t="s">
        <v>1234</v>
      </c>
    </row>
    <row r="1463" spans="1:6" x14ac:dyDescent="0.55000000000000004">
      <c r="A1463" s="6">
        <v>1.2650068257878211E+19</v>
      </c>
      <c r="B1463">
        <v>4</v>
      </c>
      <c r="C1463">
        <v>1</v>
      </c>
      <c r="D1463">
        <v>1</v>
      </c>
      <c r="E1463">
        <v>411</v>
      </c>
      <c r="F1463" t="s">
        <v>1233</v>
      </c>
    </row>
    <row r="1464" spans="1:6" x14ac:dyDescent="0.55000000000000004">
      <c r="A1464" s="6">
        <v>1.265391923995298E+19</v>
      </c>
      <c r="B1464">
        <v>5</v>
      </c>
      <c r="C1464">
        <v>2</v>
      </c>
      <c r="D1464">
        <v>3</v>
      </c>
      <c r="E1464">
        <v>523</v>
      </c>
      <c r="F1464" t="s">
        <v>1229</v>
      </c>
    </row>
    <row r="1465" spans="1:6" x14ac:dyDescent="0.55000000000000004">
      <c r="A1465" s="6">
        <v>1.266730028235143E+19</v>
      </c>
      <c r="B1465">
        <v>3</v>
      </c>
      <c r="C1465">
        <v>1</v>
      </c>
      <c r="D1465">
        <v>2</v>
      </c>
      <c r="E1465">
        <v>312</v>
      </c>
      <c r="F1465" t="s">
        <v>1233</v>
      </c>
    </row>
    <row r="1466" spans="1:6" x14ac:dyDescent="0.55000000000000004">
      <c r="A1466" s="6">
        <v>1.267152939092461E+19</v>
      </c>
      <c r="B1466">
        <v>5</v>
      </c>
      <c r="C1466">
        <v>2</v>
      </c>
      <c r="D1466">
        <v>2</v>
      </c>
      <c r="E1466">
        <v>522</v>
      </c>
      <c r="F1466" t="s">
        <v>1229</v>
      </c>
    </row>
    <row r="1467" spans="1:6" x14ac:dyDescent="0.55000000000000004">
      <c r="A1467" s="6">
        <v>1.2672251890430099E+19</v>
      </c>
      <c r="B1467">
        <v>5</v>
      </c>
      <c r="C1467">
        <v>2</v>
      </c>
      <c r="D1467">
        <v>2</v>
      </c>
      <c r="E1467">
        <v>522</v>
      </c>
      <c r="F1467" t="s">
        <v>1229</v>
      </c>
    </row>
    <row r="1468" spans="1:6" x14ac:dyDescent="0.55000000000000004">
      <c r="A1468" s="6">
        <v>1.2685288237024381E+19</v>
      </c>
      <c r="B1468">
        <v>5</v>
      </c>
      <c r="C1468">
        <v>3</v>
      </c>
      <c r="D1468">
        <v>3</v>
      </c>
      <c r="E1468">
        <v>533</v>
      </c>
      <c r="F1468" t="s">
        <v>1230</v>
      </c>
    </row>
    <row r="1469" spans="1:6" x14ac:dyDescent="0.55000000000000004">
      <c r="A1469" s="6">
        <v>1.268867558013766E+19</v>
      </c>
      <c r="B1469">
        <v>4</v>
      </c>
      <c r="C1469">
        <v>1</v>
      </c>
      <c r="D1469">
        <v>2</v>
      </c>
      <c r="E1469">
        <v>412</v>
      </c>
      <c r="F1469" t="s">
        <v>1233</v>
      </c>
    </row>
    <row r="1470" spans="1:6" x14ac:dyDescent="0.55000000000000004">
      <c r="A1470" s="6">
        <v>1.26918699747578E+19</v>
      </c>
      <c r="B1470">
        <v>3</v>
      </c>
      <c r="C1470">
        <v>2</v>
      </c>
      <c r="D1470">
        <v>2</v>
      </c>
      <c r="E1470">
        <v>322</v>
      </c>
      <c r="F1470" t="s">
        <v>1233</v>
      </c>
    </row>
    <row r="1471" spans="1:6" x14ac:dyDescent="0.55000000000000004">
      <c r="A1471" s="6">
        <v>1.269251105105741E+19</v>
      </c>
      <c r="B1471">
        <v>2</v>
      </c>
      <c r="C1471">
        <v>1</v>
      </c>
      <c r="D1471">
        <v>2</v>
      </c>
      <c r="E1471">
        <v>212</v>
      </c>
      <c r="F1471" t="s">
        <v>1234</v>
      </c>
    </row>
    <row r="1472" spans="1:6" x14ac:dyDescent="0.55000000000000004">
      <c r="A1472" s="6">
        <v>1.269263325481158E+19</v>
      </c>
      <c r="B1472">
        <v>3</v>
      </c>
      <c r="C1472">
        <v>1</v>
      </c>
      <c r="D1472">
        <v>1</v>
      </c>
      <c r="E1472">
        <v>311</v>
      </c>
      <c r="F1472" t="s">
        <v>1233</v>
      </c>
    </row>
    <row r="1473" spans="1:6" x14ac:dyDescent="0.55000000000000004">
      <c r="A1473" s="6">
        <v>1.2695739661829241E+19</v>
      </c>
      <c r="B1473">
        <v>1</v>
      </c>
      <c r="C1473">
        <v>1</v>
      </c>
      <c r="D1473">
        <v>2</v>
      </c>
      <c r="E1473">
        <v>112</v>
      </c>
      <c r="F1473" t="s">
        <v>1234</v>
      </c>
    </row>
    <row r="1474" spans="1:6" x14ac:dyDescent="0.55000000000000004">
      <c r="A1474" s="6">
        <v>1.270326170498807E+19</v>
      </c>
      <c r="B1474">
        <v>3</v>
      </c>
      <c r="C1474">
        <v>1</v>
      </c>
      <c r="D1474">
        <v>2</v>
      </c>
      <c r="E1474">
        <v>312</v>
      </c>
      <c r="F1474" t="s">
        <v>1233</v>
      </c>
    </row>
    <row r="1475" spans="1:6" x14ac:dyDescent="0.55000000000000004">
      <c r="A1475" s="6">
        <v>1.270633193809956E+19</v>
      </c>
      <c r="B1475">
        <v>4</v>
      </c>
      <c r="C1475">
        <v>1</v>
      </c>
      <c r="D1475">
        <v>1</v>
      </c>
      <c r="E1475">
        <v>411</v>
      </c>
      <c r="F1475" t="s">
        <v>1233</v>
      </c>
    </row>
    <row r="1476" spans="1:6" x14ac:dyDescent="0.55000000000000004">
      <c r="A1476" s="6">
        <v>1.270745994120286E+19</v>
      </c>
      <c r="B1476">
        <v>3</v>
      </c>
      <c r="C1476">
        <v>1</v>
      </c>
      <c r="D1476">
        <v>3</v>
      </c>
      <c r="E1476">
        <v>313</v>
      </c>
      <c r="F1476" t="s">
        <v>1233</v>
      </c>
    </row>
    <row r="1477" spans="1:6" x14ac:dyDescent="0.55000000000000004">
      <c r="A1477" s="6">
        <v>1.2716608980920001E+19</v>
      </c>
      <c r="B1477">
        <v>3</v>
      </c>
      <c r="C1477">
        <v>1</v>
      </c>
      <c r="D1477">
        <v>1</v>
      </c>
      <c r="E1477">
        <v>311</v>
      </c>
      <c r="F1477" t="s">
        <v>1233</v>
      </c>
    </row>
    <row r="1478" spans="1:6" x14ac:dyDescent="0.55000000000000004">
      <c r="A1478" s="6">
        <v>1.272107029485295E+19</v>
      </c>
      <c r="B1478">
        <v>2</v>
      </c>
      <c r="C1478">
        <v>1</v>
      </c>
      <c r="D1478">
        <v>1</v>
      </c>
      <c r="E1478">
        <v>211</v>
      </c>
      <c r="F1478" t="s">
        <v>1234</v>
      </c>
    </row>
    <row r="1479" spans="1:6" x14ac:dyDescent="0.55000000000000004">
      <c r="A1479" s="6">
        <v>1.2726228110193639E+19</v>
      </c>
      <c r="B1479">
        <v>3</v>
      </c>
      <c r="C1479">
        <v>1</v>
      </c>
      <c r="D1479">
        <v>1</v>
      </c>
      <c r="E1479">
        <v>311</v>
      </c>
      <c r="F1479" t="s">
        <v>1233</v>
      </c>
    </row>
    <row r="1480" spans="1:6" x14ac:dyDescent="0.55000000000000004">
      <c r="A1480" s="6">
        <v>1.2730106014305079E+19</v>
      </c>
      <c r="B1480">
        <v>4</v>
      </c>
      <c r="C1480">
        <v>3</v>
      </c>
      <c r="D1480">
        <v>3</v>
      </c>
      <c r="E1480">
        <v>433</v>
      </c>
      <c r="F1480" t="s">
        <v>1230</v>
      </c>
    </row>
    <row r="1481" spans="1:6" x14ac:dyDescent="0.55000000000000004">
      <c r="A1481" s="6">
        <v>1.2736719268360391E+19</v>
      </c>
      <c r="B1481">
        <v>5</v>
      </c>
      <c r="C1481">
        <v>1</v>
      </c>
      <c r="D1481">
        <v>2</v>
      </c>
      <c r="E1481">
        <v>512</v>
      </c>
      <c r="F1481" t="s">
        <v>1228</v>
      </c>
    </row>
    <row r="1482" spans="1:6" x14ac:dyDescent="0.55000000000000004">
      <c r="A1482" s="6">
        <v>1.2738442788213809E+19</v>
      </c>
      <c r="B1482">
        <v>1</v>
      </c>
      <c r="C1482">
        <v>1</v>
      </c>
      <c r="D1482">
        <v>2</v>
      </c>
      <c r="E1482">
        <v>112</v>
      </c>
      <c r="F1482" t="s">
        <v>1234</v>
      </c>
    </row>
    <row r="1483" spans="1:6" x14ac:dyDescent="0.55000000000000004">
      <c r="A1483" s="6">
        <v>1.273884389844678E+19</v>
      </c>
      <c r="B1483">
        <v>5</v>
      </c>
      <c r="C1483">
        <v>1</v>
      </c>
      <c r="D1483">
        <v>2</v>
      </c>
      <c r="E1483">
        <v>512</v>
      </c>
      <c r="F1483" t="s">
        <v>1228</v>
      </c>
    </row>
    <row r="1484" spans="1:6" x14ac:dyDescent="0.55000000000000004">
      <c r="A1484" s="6">
        <v>1.273897921859062E+19</v>
      </c>
      <c r="B1484">
        <v>3</v>
      </c>
      <c r="C1484">
        <v>1</v>
      </c>
      <c r="D1484">
        <v>2</v>
      </c>
      <c r="E1484">
        <v>312</v>
      </c>
      <c r="F1484" t="s">
        <v>1233</v>
      </c>
    </row>
    <row r="1485" spans="1:6" x14ac:dyDescent="0.55000000000000004">
      <c r="A1485" s="6">
        <v>1.2743829300151161E+19</v>
      </c>
      <c r="B1485">
        <v>2</v>
      </c>
      <c r="C1485">
        <v>1</v>
      </c>
      <c r="D1485">
        <v>1</v>
      </c>
      <c r="E1485">
        <v>211</v>
      </c>
      <c r="F1485" t="s">
        <v>1234</v>
      </c>
    </row>
    <row r="1486" spans="1:6" x14ac:dyDescent="0.55000000000000004">
      <c r="A1486" s="6">
        <v>1.2754514533698959E+19</v>
      </c>
      <c r="B1486">
        <v>3</v>
      </c>
      <c r="C1486">
        <v>2</v>
      </c>
      <c r="D1486">
        <v>2</v>
      </c>
      <c r="E1486">
        <v>322</v>
      </c>
      <c r="F1486" t="s">
        <v>1233</v>
      </c>
    </row>
    <row r="1487" spans="1:6" x14ac:dyDescent="0.55000000000000004">
      <c r="A1487" s="6">
        <v>1.275911687745459E+19</v>
      </c>
      <c r="B1487">
        <v>5</v>
      </c>
      <c r="C1487">
        <v>1</v>
      </c>
      <c r="D1487">
        <v>1</v>
      </c>
      <c r="E1487">
        <v>511</v>
      </c>
      <c r="F1487" t="s">
        <v>1228</v>
      </c>
    </row>
    <row r="1488" spans="1:6" x14ac:dyDescent="0.55000000000000004">
      <c r="A1488" s="6">
        <v>1.276386496350713E+19</v>
      </c>
      <c r="B1488">
        <v>5</v>
      </c>
      <c r="C1488">
        <v>1</v>
      </c>
      <c r="D1488">
        <v>1</v>
      </c>
      <c r="E1488">
        <v>511</v>
      </c>
      <c r="F1488" t="s">
        <v>1228</v>
      </c>
    </row>
    <row r="1489" spans="1:6" x14ac:dyDescent="0.55000000000000004">
      <c r="A1489" s="6">
        <v>1.276599846166323E+19</v>
      </c>
      <c r="B1489">
        <v>4</v>
      </c>
      <c r="C1489">
        <v>1</v>
      </c>
      <c r="D1489">
        <v>3</v>
      </c>
      <c r="E1489">
        <v>413</v>
      </c>
      <c r="F1489" t="s">
        <v>1233</v>
      </c>
    </row>
    <row r="1490" spans="1:6" x14ac:dyDescent="0.55000000000000004">
      <c r="A1490" s="6">
        <v>1.2805386747322821E+19</v>
      </c>
      <c r="B1490">
        <v>5</v>
      </c>
      <c r="C1490">
        <v>1</v>
      </c>
      <c r="D1490">
        <v>1</v>
      </c>
      <c r="E1490">
        <v>511</v>
      </c>
      <c r="F1490" t="s">
        <v>1228</v>
      </c>
    </row>
    <row r="1491" spans="1:6" x14ac:dyDescent="0.55000000000000004">
      <c r="A1491" s="6">
        <v>1.2808864611926041E+19</v>
      </c>
      <c r="B1491">
        <v>5</v>
      </c>
      <c r="C1491">
        <v>2</v>
      </c>
      <c r="D1491">
        <v>2</v>
      </c>
      <c r="E1491">
        <v>522</v>
      </c>
      <c r="F1491" t="s">
        <v>1229</v>
      </c>
    </row>
    <row r="1492" spans="1:6" x14ac:dyDescent="0.55000000000000004">
      <c r="A1492" s="6">
        <v>1.281723145494827E+19</v>
      </c>
      <c r="B1492">
        <v>5</v>
      </c>
      <c r="C1492">
        <v>2</v>
      </c>
      <c r="D1492">
        <v>3</v>
      </c>
      <c r="E1492">
        <v>523</v>
      </c>
      <c r="F1492" t="s">
        <v>1229</v>
      </c>
    </row>
    <row r="1493" spans="1:6" x14ac:dyDescent="0.55000000000000004">
      <c r="A1493" s="6">
        <v>1.2818850421819841E+19</v>
      </c>
      <c r="B1493">
        <v>5</v>
      </c>
      <c r="C1493">
        <v>1</v>
      </c>
      <c r="D1493">
        <v>2</v>
      </c>
      <c r="E1493">
        <v>512</v>
      </c>
      <c r="F1493" t="s">
        <v>1228</v>
      </c>
    </row>
    <row r="1494" spans="1:6" x14ac:dyDescent="0.55000000000000004">
      <c r="A1494" s="6">
        <v>1.2844486894458751E+19</v>
      </c>
      <c r="B1494">
        <v>3</v>
      </c>
      <c r="C1494">
        <v>1</v>
      </c>
      <c r="D1494">
        <v>1</v>
      </c>
      <c r="E1494">
        <v>311</v>
      </c>
      <c r="F1494" t="s">
        <v>1233</v>
      </c>
    </row>
    <row r="1495" spans="1:6" x14ac:dyDescent="0.55000000000000004">
      <c r="A1495" s="6">
        <v>1.2852288836830581E+19</v>
      </c>
      <c r="B1495">
        <v>5</v>
      </c>
      <c r="C1495">
        <v>2</v>
      </c>
      <c r="D1495">
        <v>3</v>
      </c>
      <c r="E1495">
        <v>523</v>
      </c>
      <c r="F1495" t="s">
        <v>1229</v>
      </c>
    </row>
    <row r="1496" spans="1:6" x14ac:dyDescent="0.55000000000000004">
      <c r="A1496" s="6">
        <v>1.28522957187927E+19</v>
      </c>
      <c r="B1496">
        <v>5</v>
      </c>
      <c r="C1496">
        <v>1</v>
      </c>
      <c r="D1496">
        <v>2</v>
      </c>
      <c r="E1496">
        <v>512</v>
      </c>
      <c r="F1496" t="s">
        <v>1228</v>
      </c>
    </row>
    <row r="1497" spans="1:6" x14ac:dyDescent="0.55000000000000004">
      <c r="A1497" s="6">
        <v>1.28627772289622E+19</v>
      </c>
      <c r="B1497">
        <v>5</v>
      </c>
      <c r="C1497">
        <v>1</v>
      </c>
      <c r="D1497">
        <v>2</v>
      </c>
      <c r="E1497">
        <v>512</v>
      </c>
      <c r="F1497" t="s">
        <v>1228</v>
      </c>
    </row>
    <row r="1498" spans="1:6" x14ac:dyDescent="0.55000000000000004">
      <c r="A1498" s="6">
        <v>1.28650095445998E+19</v>
      </c>
      <c r="B1498">
        <v>3</v>
      </c>
      <c r="C1498">
        <v>1</v>
      </c>
      <c r="D1498">
        <v>2</v>
      </c>
      <c r="E1498">
        <v>312</v>
      </c>
      <c r="F1498" t="s">
        <v>1233</v>
      </c>
    </row>
    <row r="1499" spans="1:6" x14ac:dyDescent="0.55000000000000004">
      <c r="A1499" s="6">
        <v>1.287657497340611E+19</v>
      </c>
      <c r="B1499">
        <v>5</v>
      </c>
      <c r="C1499">
        <v>1</v>
      </c>
      <c r="D1499">
        <v>2</v>
      </c>
      <c r="E1499">
        <v>512</v>
      </c>
      <c r="F1499" t="s">
        <v>1228</v>
      </c>
    </row>
    <row r="1500" spans="1:6" x14ac:dyDescent="0.55000000000000004">
      <c r="A1500" s="6">
        <v>1.2889165404705249E+19</v>
      </c>
      <c r="B1500">
        <v>5</v>
      </c>
      <c r="C1500">
        <v>1</v>
      </c>
      <c r="D1500">
        <v>2</v>
      </c>
      <c r="E1500">
        <v>512</v>
      </c>
      <c r="F1500" t="s">
        <v>1228</v>
      </c>
    </row>
    <row r="1501" spans="1:6" x14ac:dyDescent="0.55000000000000004">
      <c r="A1501" s="6">
        <v>1.2896180721199911E+19</v>
      </c>
      <c r="B1501">
        <v>3</v>
      </c>
      <c r="C1501">
        <v>1</v>
      </c>
      <c r="D1501">
        <v>2</v>
      </c>
      <c r="E1501">
        <v>312</v>
      </c>
      <c r="F1501" t="s">
        <v>1233</v>
      </c>
    </row>
    <row r="1502" spans="1:6" x14ac:dyDescent="0.55000000000000004">
      <c r="A1502" s="6">
        <v>1.289825933655253E+19</v>
      </c>
      <c r="B1502">
        <v>5</v>
      </c>
      <c r="C1502">
        <v>1</v>
      </c>
      <c r="D1502">
        <v>2</v>
      </c>
      <c r="E1502">
        <v>512</v>
      </c>
      <c r="F1502" t="s">
        <v>1228</v>
      </c>
    </row>
    <row r="1503" spans="1:6" x14ac:dyDescent="0.55000000000000004">
      <c r="A1503" s="6">
        <v>1.289848425206467E+19</v>
      </c>
      <c r="B1503">
        <v>4</v>
      </c>
      <c r="C1503">
        <v>1</v>
      </c>
      <c r="D1503">
        <v>1</v>
      </c>
      <c r="E1503">
        <v>411</v>
      </c>
      <c r="F1503" t="s">
        <v>1233</v>
      </c>
    </row>
    <row r="1504" spans="1:6" x14ac:dyDescent="0.55000000000000004">
      <c r="A1504" s="6">
        <v>1.291041474171733E+19</v>
      </c>
      <c r="B1504">
        <v>4</v>
      </c>
      <c r="C1504">
        <v>1</v>
      </c>
      <c r="D1504">
        <v>2</v>
      </c>
      <c r="E1504">
        <v>412</v>
      </c>
      <c r="F1504" t="s">
        <v>1233</v>
      </c>
    </row>
    <row r="1505" spans="1:6" x14ac:dyDescent="0.55000000000000004">
      <c r="A1505" s="6">
        <v>1.2922861665473069E+19</v>
      </c>
      <c r="B1505">
        <v>4</v>
      </c>
      <c r="C1505">
        <v>1</v>
      </c>
      <c r="D1505">
        <v>2</v>
      </c>
      <c r="E1505">
        <v>412</v>
      </c>
      <c r="F1505" t="s">
        <v>1233</v>
      </c>
    </row>
    <row r="1506" spans="1:6" x14ac:dyDescent="0.55000000000000004">
      <c r="A1506" s="6">
        <v>1.293280590820709E+19</v>
      </c>
      <c r="B1506">
        <v>3</v>
      </c>
      <c r="C1506">
        <v>1</v>
      </c>
      <c r="D1506">
        <v>1</v>
      </c>
      <c r="E1506">
        <v>311</v>
      </c>
      <c r="F1506" t="s">
        <v>1233</v>
      </c>
    </row>
    <row r="1507" spans="1:6" x14ac:dyDescent="0.55000000000000004">
      <c r="A1507" s="6">
        <v>1.2939000922525149E+19</v>
      </c>
      <c r="B1507">
        <v>2</v>
      </c>
      <c r="C1507">
        <v>1</v>
      </c>
      <c r="D1507">
        <v>1</v>
      </c>
      <c r="E1507">
        <v>211</v>
      </c>
      <c r="F1507" t="s">
        <v>1234</v>
      </c>
    </row>
    <row r="1508" spans="1:6" x14ac:dyDescent="0.55000000000000004">
      <c r="A1508" s="6">
        <v>1.294689804642237E+19</v>
      </c>
      <c r="B1508">
        <v>5</v>
      </c>
      <c r="C1508">
        <v>1</v>
      </c>
      <c r="D1508">
        <v>2</v>
      </c>
      <c r="E1508">
        <v>512</v>
      </c>
      <c r="F1508" t="s">
        <v>1228</v>
      </c>
    </row>
    <row r="1509" spans="1:6" x14ac:dyDescent="0.55000000000000004">
      <c r="A1509" s="6">
        <v>1.294715336550305E+19</v>
      </c>
      <c r="B1509">
        <v>3</v>
      </c>
      <c r="C1509">
        <v>1</v>
      </c>
      <c r="D1509">
        <v>1</v>
      </c>
      <c r="E1509">
        <v>311</v>
      </c>
      <c r="F1509" t="s">
        <v>1233</v>
      </c>
    </row>
    <row r="1510" spans="1:6" x14ac:dyDescent="0.55000000000000004">
      <c r="A1510" s="6">
        <v>1.2948961008024771E+19</v>
      </c>
      <c r="B1510">
        <v>1</v>
      </c>
      <c r="C1510">
        <v>1</v>
      </c>
      <c r="D1510">
        <v>1</v>
      </c>
      <c r="E1510">
        <v>111</v>
      </c>
      <c r="F1510" t="s">
        <v>1234</v>
      </c>
    </row>
    <row r="1511" spans="1:6" x14ac:dyDescent="0.55000000000000004">
      <c r="A1511" s="6">
        <v>1.298848756181147E+19</v>
      </c>
      <c r="B1511">
        <v>5</v>
      </c>
      <c r="C1511">
        <v>1</v>
      </c>
      <c r="D1511">
        <v>3</v>
      </c>
      <c r="E1511">
        <v>513</v>
      </c>
      <c r="F1511" t="s">
        <v>1228</v>
      </c>
    </row>
    <row r="1512" spans="1:6" x14ac:dyDescent="0.55000000000000004">
      <c r="A1512" s="6">
        <v>1.299057148355362E+19</v>
      </c>
      <c r="B1512">
        <v>3</v>
      </c>
      <c r="C1512">
        <v>1</v>
      </c>
      <c r="D1512">
        <v>1</v>
      </c>
      <c r="E1512">
        <v>311</v>
      </c>
      <c r="F1512" t="s">
        <v>1233</v>
      </c>
    </row>
    <row r="1513" spans="1:6" x14ac:dyDescent="0.55000000000000004">
      <c r="A1513" s="6">
        <v>1.300146662164583E+19</v>
      </c>
      <c r="B1513">
        <v>3</v>
      </c>
      <c r="C1513">
        <v>2</v>
      </c>
      <c r="D1513">
        <v>2</v>
      </c>
      <c r="E1513">
        <v>322</v>
      </c>
      <c r="F1513" t="s">
        <v>1233</v>
      </c>
    </row>
    <row r="1514" spans="1:6" x14ac:dyDescent="0.55000000000000004">
      <c r="A1514" s="6">
        <v>1.3004957136399131E+19</v>
      </c>
      <c r="B1514">
        <v>3</v>
      </c>
      <c r="C1514">
        <v>1</v>
      </c>
      <c r="D1514">
        <v>2</v>
      </c>
      <c r="E1514">
        <v>312</v>
      </c>
      <c r="F1514" t="s">
        <v>1233</v>
      </c>
    </row>
    <row r="1515" spans="1:6" x14ac:dyDescent="0.55000000000000004">
      <c r="A1515" s="6">
        <v>1.3015883032061481E+19</v>
      </c>
      <c r="B1515">
        <v>3</v>
      </c>
      <c r="C1515">
        <v>1</v>
      </c>
      <c r="D1515">
        <v>1</v>
      </c>
      <c r="E1515">
        <v>311</v>
      </c>
      <c r="F1515" t="s">
        <v>1233</v>
      </c>
    </row>
    <row r="1516" spans="1:6" x14ac:dyDescent="0.55000000000000004">
      <c r="A1516" s="6">
        <v>1.301594127393486E+19</v>
      </c>
      <c r="B1516">
        <v>5</v>
      </c>
      <c r="C1516">
        <v>1</v>
      </c>
      <c r="D1516">
        <v>1</v>
      </c>
      <c r="E1516">
        <v>511</v>
      </c>
      <c r="F1516" t="s">
        <v>1228</v>
      </c>
    </row>
    <row r="1517" spans="1:6" x14ac:dyDescent="0.55000000000000004">
      <c r="A1517" s="6">
        <v>1.301611376028535E+19</v>
      </c>
      <c r="B1517">
        <v>1</v>
      </c>
      <c r="C1517">
        <v>1</v>
      </c>
      <c r="D1517">
        <v>2</v>
      </c>
      <c r="E1517">
        <v>112</v>
      </c>
      <c r="F1517" t="s">
        <v>1234</v>
      </c>
    </row>
    <row r="1518" spans="1:6" x14ac:dyDescent="0.55000000000000004">
      <c r="A1518" s="6">
        <v>1.302438137576739E+19</v>
      </c>
      <c r="B1518">
        <v>5</v>
      </c>
      <c r="C1518">
        <v>2</v>
      </c>
      <c r="D1518">
        <v>2</v>
      </c>
      <c r="E1518">
        <v>522</v>
      </c>
      <c r="F1518" t="s">
        <v>1229</v>
      </c>
    </row>
    <row r="1519" spans="1:6" x14ac:dyDescent="0.55000000000000004">
      <c r="A1519" s="6">
        <v>1.302942212458215E+19</v>
      </c>
      <c r="B1519">
        <v>2</v>
      </c>
      <c r="C1519">
        <v>1</v>
      </c>
      <c r="D1519">
        <v>3</v>
      </c>
      <c r="E1519">
        <v>213</v>
      </c>
      <c r="F1519" t="s">
        <v>1234</v>
      </c>
    </row>
    <row r="1520" spans="1:6" x14ac:dyDescent="0.55000000000000004">
      <c r="A1520" s="6">
        <v>1.3030830290680691E+19</v>
      </c>
      <c r="B1520">
        <v>1</v>
      </c>
      <c r="C1520">
        <v>1</v>
      </c>
      <c r="D1520">
        <v>1</v>
      </c>
      <c r="E1520">
        <v>111</v>
      </c>
      <c r="F1520" t="s">
        <v>1234</v>
      </c>
    </row>
    <row r="1521" spans="1:6" x14ac:dyDescent="0.55000000000000004">
      <c r="A1521" s="6">
        <v>1.3041268512318099E+19</v>
      </c>
      <c r="B1521">
        <v>3</v>
      </c>
      <c r="C1521">
        <v>2</v>
      </c>
      <c r="D1521">
        <v>3</v>
      </c>
      <c r="E1521">
        <v>323</v>
      </c>
      <c r="F1521" t="s">
        <v>1233</v>
      </c>
    </row>
    <row r="1522" spans="1:6" x14ac:dyDescent="0.55000000000000004">
      <c r="A1522" s="6">
        <v>1.3044049217928221E+19</v>
      </c>
      <c r="B1522">
        <v>4</v>
      </c>
      <c r="C1522">
        <v>1</v>
      </c>
      <c r="D1522">
        <v>1</v>
      </c>
      <c r="E1522">
        <v>411</v>
      </c>
      <c r="F1522" t="s">
        <v>1233</v>
      </c>
    </row>
    <row r="1523" spans="1:6" x14ac:dyDescent="0.55000000000000004">
      <c r="A1523" s="6">
        <v>1.305184232615619E+19</v>
      </c>
      <c r="B1523">
        <v>5</v>
      </c>
      <c r="C1523">
        <v>1</v>
      </c>
      <c r="D1523">
        <v>2</v>
      </c>
      <c r="E1523">
        <v>512</v>
      </c>
      <c r="F1523" t="s">
        <v>1228</v>
      </c>
    </row>
    <row r="1524" spans="1:6" x14ac:dyDescent="0.55000000000000004">
      <c r="A1524" s="6">
        <v>1.307591437459559E+19</v>
      </c>
      <c r="B1524">
        <v>5</v>
      </c>
      <c r="C1524">
        <v>1</v>
      </c>
      <c r="D1524">
        <v>2</v>
      </c>
      <c r="E1524">
        <v>512</v>
      </c>
      <c r="F1524" t="s">
        <v>1228</v>
      </c>
    </row>
    <row r="1525" spans="1:6" x14ac:dyDescent="0.55000000000000004">
      <c r="A1525" s="6">
        <v>1.307994815668879E+19</v>
      </c>
      <c r="B1525">
        <v>2</v>
      </c>
      <c r="C1525">
        <v>1</v>
      </c>
      <c r="D1525">
        <v>2</v>
      </c>
      <c r="E1525">
        <v>212</v>
      </c>
      <c r="F1525" t="s">
        <v>1234</v>
      </c>
    </row>
    <row r="1526" spans="1:6" x14ac:dyDescent="0.55000000000000004">
      <c r="A1526" s="6">
        <v>1.310069109594565E+19</v>
      </c>
      <c r="B1526">
        <v>5</v>
      </c>
      <c r="C1526">
        <v>1</v>
      </c>
      <c r="D1526">
        <v>1</v>
      </c>
      <c r="E1526">
        <v>511</v>
      </c>
      <c r="F1526" t="s">
        <v>1228</v>
      </c>
    </row>
    <row r="1527" spans="1:6" x14ac:dyDescent="0.55000000000000004">
      <c r="A1527" s="6">
        <v>1.31032362952053E+19</v>
      </c>
      <c r="B1527">
        <v>2</v>
      </c>
      <c r="C1527">
        <v>1</v>
      </c>
      <c r="D1527">
        <v>1</v>
      </c>
      <c r="E1527">
        <v>211</v>
      </c>
      <c r="F1527" t="s">
        <v>1234</v>
      </c>
    </row>
    <row r="1528" spans="1:6" x14ac:dyDescent="0.55000000000000004">
      <c r="A1528" s="6">
        <v>1.3108019832869581E+19</v>
      </c>
      <c r="B1528">
        <v>3</v>
      </c>
      <c r="C1528">
        <v>1</v>
      </c>
      <c r="D1528">
        <v>2</v>
      </c>
      <c r="E1528">
        <v>312</v>
      </c>
      <c r="F1528" t="s">
        <v>1233</v>
      </c>
    </row>
    <row r="1529" spans="1:6" x14ac:dyDescent="0.55000000000000004">
      <c r="A1529" s="6">
        <v>1.3114024756188649E+19</v>
      </c>
      <c r="B1529">
        <v>5</v>
      </c>
      <c r="C1529">
        <v>1</v>
      </c>
      <c r="D1529">
        <v>1</v>
      </c>
      <c r="E1529">
        <v>511</v>
      </c>
      <c r="F1529" t="s">
        <v>1228</v>
      </c>
    </row>
    <row r="1530" spans="1:6" x14ac:dyDescent="0.55000000000000004">
      <c r="A1530" s="6">
        <v>1.3123330818423609E+19</v>
      </c>
      <c r="B1530">
        <v>5</v>
      </c>
      <c r="C1530">
        <v>2</v>
      </c>
      <c r="D1530">
        <v>2</v>
      </c>
      <c r="E1530">
        <v>522</v>
      </c>
      <c r="F1530" t="s">
        <v>1229</v>
      </c>
    </row>
    <row r="1531" spans="1:6" x14ac:dyDescent="0.55000000000000004">
      <c r="A1531" s="6">
        <v>1.3124075437308191E+19</v>
      </c>
      <c r="B1531">
        <v>3</v>
      </c>
      <c r="C1531">
        <v>2</v>
      </c>
      <c r="D1531">
        <v>1</v>
      </c>
      <c r="E1531">
        <v>321</v>
      </c>
      <c r="F1531" t="s">
        <v>1233</v>
      </c>
    </row>
    <row r="1532" spans="1:6" x14ac:dyDescent="0.55000000000000004">
      <c r="A1532" s="6">
        <v>1.313444682683271E+19</v>
      </c>
      <c r="B1532">
        <v>4</v>
      </c>
      <c r="C1532">
        <v>1</v>
      </c>
      <c r="D1532">
        <v>3</v>
      </c>
      <c r="E1532">
        <v>413</v>
      </c>
      <c r="F1532" t="s">
        <v>1233</v>
      </c>
    </row>
    <row r="1533" spans="1:6" x14ac:dyDescent="0.55000000000000004">
      <c r="A1533" s="6">
        <v>1.313918294808908E+19</v>
      </c>
      <c r="B1533">
        <v>3</v>
      </c>
      <c r="C1533">
        <v>1</v>
      </c>
      <c r="D1533">
        <v>2</v>
      </c>
      <c r="E1533">
        <v>312</v>
      </c>
      <c r="F1533" t="s">
        <v>1233</v>
      </c>
    </row>
    <row r="1534" spans="1:6" x14ac:dyDescent="0.55000000000000004">
      <c r="A1534" s="6">
        <v>1.3143191489421359E+19</v>
      </c>
      <c r="B1534">
        <v>5</v>
      </c>
      <c r="C1534">
        <v>1</v>
      </c>
      <c r="D1534">
        <v>2</v>
      </c>
      <c r="E1534">
        <v>512</v>
      </c>
      <c r="F1534" t="s">
        <v>1228</v>
      </c>
    </row>
    <row r="1535" spans="1:6" x14ac:dyDescent="0.55000000000000004">
      <c r="A1535" s="6">
        <v>1.3153809842568221E+19</v>
      </c>
      <c r="B1535">
        <v>2</v>
      </c>
      <c r="C1535">
        <v>2</v>
      </c>
      <c r="D1535">
        <v>1</v>
      </c>
      <c r="E1535">
        <v>221</v>
      </c>
      <c r="F1535" t="s">
        <v>1234</v>
      </c>
    </row>
    <row r="1536" spans="1:6" x14ac:dyDescent="0.55000000000000004">
      <c r="A1536" s="6">
        <v>1.3195827660689961E+19</v>
      </c>
      <c r="B1536">
        <v>3</v>
      </c>
      <c r="C1536">
        <v>1</v>
      </c>
      <c r="D1536">
        <v>1</v>
      </c>
      <c r="E1536">
        <v>311</v>
      </c>
      <c r="F1536" t="s">
        <v>1233</v>
      </c>
    </row>
    <row r="1537" spans="1:6" x14ac:dyDescent="0.55000000000000004">
      <c r="A1537" s="6">
        <v>1.3197254341847869E+19</v>
      </c>
      <c r="B1537">
        <v>4</v>
      </c>
      <c r="C1537">
        <v>1</v>
      </c>
      <c r="D1537">
        <v>1</v>
      </c>
      <c r="E1537">
        <v>411</v>
      </c>
      <c r="F1537" t="s">
        <v>1233</v>
      </c>
    </row>
    <row r="1538" spans="1:6" x14ac:dyDescent="0.55000000000000004">
      <c r="A1538" s="6">
        <v>1.319782341275196E+19</v>
      </c>
      <c r="B1538">
        <v>5</v>
      </c>
      <c r="C1538">
        <v>2</v>
      </c>
      <c r="D1538">
        <v>2</v>
      </c>
      <c r="E1538">
        <v>522</v>
      </c>
      <c r="F1538" t="s">
        <v>1229</v>
      </c>
    </row>
    <row r="1539" spans="1:6" x14ac:dyDescent="0.55000000000000004">
      <c r="A1539" s="6">
        <v>1.3198046627891401E+19</v>
      </c>
      <c r="B1539">
        <v>4</v>
      </c>
      <c r="C1539">
        <v>1</v>
      </c>
      <c r="D1539">
        <v>2</v>
      </c>
      <c r="E1539">
        <v>412</v>
      </c>
      <c r="F1539" t="s">
        <v>1233</v>
      </c>
    </row>
    <row r="1540" spans="1:6" x14ac:dyDescent="0.55000000000000004">
      <c r="A1540" s="6">
        <v>1.3203014623844721E+19</v>
      </c>
      <c r="B1540">
        <v>5</v>
      </c>
      <c r="C1540">
        <v>1</v>
      </c>
      <c r="D1540">
        <v>1</v>
      </c>
      <c r="E1540">
        <v>511</v>
      </c>
      <c r="F1540" t="s">
        <v>1228</v>
      </c>
    </row>
    <row r="1541" spans="1:6" x14ac:dyDescent="0.55000000000000004">
      <c r="A1541" s="6">
        <v>1.321291921617748E+19</v>
      </c>
      <c r="B1541">
        <v>3</v>
      </c>
      <c r="C1541">
        <v>2</v>
      </c>
      <c r="D1541">
        <v>3</v>
      </c>
      <c r="E1541">
        <v>323</v>
      </c>
      <c r="F1541" t="s">
        <v>1233</v>
      </c>
    </row>
    <row r="1542" spans="1:6" x14ac:dyDescent="0.55000000000000004">
      <c r="A1542" s="6">
        <v>1.323533584187331E+19</v>
      </c>
      <c r="B1542">
        <v>4</v>
      </c>
      <c r="C1542">
        <v>1</v>
      </c>
      <c r="D1542">
        <v>1</v>
      </c>
      <c r="E1542">
        <v>411</v>
      </c>
      <c r="F1542" t="s">
        <v>1233</v>
      </c>
    </row>
    <row r="1543" spans="1:6" x14ac:dyDescent="0.55000000000000004">
      <c r="A1543" s="6">
        <v>1.324897053317523E+19</v>
      </c>
      <c r="B1543">
        <v>5</v>
      </c>
      <c r="C1543">
        <v>1</v>
      </c>
      <c r="D1543">
        <v>2</v>
      </c>
      <c r="E1543">
        <v>512</v>
      </c>
      <c r="F1543" t="s">
        <v>1228</v>
      </c>
    </row>
    <row r="1544" spans="1:6" x14ac:dyDescent="0.55000000000000004">
      <c r="A1544" s="6">
        <v>1.325729311291033E+19</v>
      </c>
      <c r="B1544">
        <v>5</v>
      </c>
      <c r="C1544">
        <v>1</v>
      </c>
      <c r="D1544">
        <v>2</v>
      </c>
      <c r="E1544">
        <v>512</v>
      </c>
      <c r="F1544" t="s">
        <v>1228</v>
      </c>
    </row>
    <row r="1545" spans="1:6" x14ac:dyDescent="0.55000000000000004">
      <c r="A1545" s="6">
        <v>1.326544154431404E+19</v>
      </c>
      <c r="B1545">
        <v>5</v>
      </c>
      <c r="C1545">
        <v>1</v>
      </c>
      <c r="D1545">
        <v>2</v>
      </c>
      <c r="E1545">
        <v>512</v>
      </c>
      <c r="F1545" t="s">
        <v>1228</v>
      </c>
    </row>
    <row r="1546" spans="1:6" x14ac:dyDescent="0.55000000000000004">
      <c r="A1546" s="6">
        <v>1.3281688634325961E+19</v>
      </c>
      <c r="B1546">
        <v>5</v>
      </c>
      <c r="C1546">
        <v>2</v>
      </c>
      <c r="D1546">
        <v>3</v>
      </c>
      <c r="E1546">
        <v>523</v>
      </c>
      <c r="F1546" t="s">
        <v>1229</v>
      </c>
    </row>
    <row r="1547" spans="1:6" x14ac:dyDescent="0.55000000000000004">
      <c r="A1547" s="6">
        <v>1.3286129435852599E+19</v>
      </c>
      <c r="B1547">
        <v>2</v>
      </c>
      <c r="C1547">
        <v>1</v>
      </c>
      <c r="D1547">
        <v>1</v>
      </c>
      <c r="E1547">
        <v>211</v>
      </c>
      <c r="F1547" t="s">
        <v>1234</v>
      </c>
    </row>
    <row r="1548" spans="1:6" x14ac:dyDescent="0.55000000000000004">
      <c r="A1548" s="6">
        <v>1.3315643414881509E+19</v>
      </c>
      <c r="B1548">
        <v>1</v>
      </c>
      <c r="C1548">
        <v>1</v>
      </c>
      <c r="D1548">
        <v>1</v>
      </c>
      <c r="E1548">
        <v>111</v>
      </c>
      <c r="F1548" t="s">
        <v>1234</v>
      </c>
    </row>
    <row r="1549" spans="1:6" x14ac:dyDescent="0.55000000000000004">
      <c r="A1549" s="6">
        <v>1.334069472886059E+19</v>
      </c>
      <c r="B1549">
        <v>5</v>
      </c>
      <c r="C1549">
        <v>1</v>
      </c>
      <c r="D1549">
        <v>1</v>
      </c>
      <c r="E1549">
        <v>511</v>
      </c>
      <c r="F1549" t="s">
        <v>1228</v>
      </c>
    </row>
    <row r="1550" spans="1:6" x14ac:dyDescent="0.55000000000000004">
      <c r="A1550" s="6">
        <v>1.3342965500931351E+19</v>
      </c>
      <c r="B1550">
        <v>4</v>
      </c>
      <c r="C1550">
        <v>1</v>
      </c>
      <c r="D1550">
        <v>1</v>
      </c>
      <c r="E1550">
        <v>411</v>
      </c>
      <c r="F1550" t="s">
        <v>1233</v>
      </c>
    </row>
    <row r="1551" spans="1:6" x14ac:dyDescent="0.55000000000000004">
      <c r="A1551" s="6">
        <v>1.3349420789637599E+19</v>
      </c>
      <c r="B1551">
        <v>4</v>
      </c>
      <c r="C1551">
        <v>1</v>
      </c>
      <c r="D1551">
        <v>3</v>
      </c>
      <c r="E1551">
        <v>413</v>
      </c>
      <c r="F1551" t="s">
        <v>1233</v>
      </c>
    </row>
    <row r="1552" spans="1:6" x14ac:dyDescent="0.55000000000000004">
      <c r="A1552" s="6">
        <v>1.334954948546442E+19</v>
      </c>
      <c r="B1552">
        <v>3</v>
      </c>
      <c r="C1552">
        <v>1</v>
      </c>
      <c r="D1552">
        <v>3</v>
      </c>
      <c r="E1552">
        <v>313</v>
      </c>
      <c r="F1552" t="s">
        <v>1233</v>
      </c>
    </row>
    <row r="1553" spans="1:6" x14ac:dyDescent="0.55000000000000004">
      <c r="A1553" s="6">
        <v>1.3351036816645151E+19</v>
      </c>
      <c r="B1553">
        <v>3</v>
      </c>
      <c r="C1553">
        <v>1</v>
      </c>
      <c r="D1553">
        <v>1</v>
      </c>
      <c r="E1553">
        <v>311</v>
      </c>
      <c r="F1553" t="s">
        <v>1233</v>
      </c>
    </row>
    <row r="1554" spans="1:6" x14ac:dyDescent="0.55000000000000004">
      <c r="A1554" s="6">
        <v>1.336821147565943E+19</v>
      </c>
      <c r="B1554">
        <v>4</v>
      </c>
      <c r="C1554">
        <v>1</v>
      </c>
      <c r="D1554">
        <v>2</v>
      </c>
      <c r="E1554">
        <v>412</v>
      </c>
      <c r="F1554" t="s">
        <v>1233</v>
      </c>
    </row>
    <row r="1555" spans="1:6" x14ac:dyDescent="0.55000000000000004">
      <c r="A1555" s="6">
        <v>1.3371768346152149E+19</v>
      </c>
      <c r="B1555">
        <v>4</v>
      </c>
      <c r="C1555">
        <v>1</v>
      </c>
      <c r="D1555">
        <v>3</v>
      </c>
      <c r="E1555">
        <v>413</v>
      </c>
      <c r="F1555" t="s">
        <v>1233</v>
      </c>
    </row>
    <row r="1556" spans="1:6" x14ac:dyDescent="0.55000000000000004">
      <c r="A1556" s="6">
        <v>1.33750832693039E+19</v>
      </c>
      <c r="B1556">
        <v>5</v>
      </c>
      <c r="C1556">
        <v>1</v>
      </c>
      <c r="D1556">
        <v>1</v>
      </c>
      <c r="E1556">
        <v>511</v>
      </c>
      <c r="F1556" t="s">
        <v>1228</v>
      </c>
    </row>
    <row r="1557" spans="1:6" x14ac:dyDescent="0.55000000000000004">
      <c r="A1557" s="6">
        <v>1.337976826338816E+19</v>
      </c>
      <c r="B1557">
        <v>3</v>
      </c>
      <c r="C1557">
        <v>1</v>
      </c>
      <c r="D1557">
        <v>3</v>
      </c>
      <c r="E1557">
        <v>313</v>
      </c>
      <c r="F1557" t="s">
        <v>1233</v>
      </c>
    </row>
    <row r="1558" spans="1:6" x14ac:dyDescent="0.55000000000000004">
      <c r="A1558" s="6">
        <v>1.3397401790747869E+19</v>
      </c>
      <c r="B1558">
        <v>5</v>
      </c>
      <c r="C1558">
        <v>2</v>
      </c>
      <c r="D1558">
        <v>3</v>
      </c>
      <c r="E1558">
        <v>523</v>
      </c>
      <c r="F1558" t="s">
        <v>1229</v>
      </c>
    </row>
    <row r="1559" spans="1:6" x14ac:dyDescent="0.55000000000000004">
      <c r="A1559" s="6">
        <v>1.3410837503769211E+19</v>
      </c>
      <c r="B1559">
        <v>4</v>
      </c>
      <c r="C1559">
        <v>1</v>
      </c>
      <c r="D1559">
        <v>2</v>
      </c>
      <c r="E1559">
        <v>412</v>
      </c>
      <c r="F1559" t="s">
        <v>1233</v>
      </c>
    </row>
    <row r="1560" spans="1:6" x14ac:dyDescent="0.55000000000000004">
      <c r="A1560" s="6">
        <v>1.34213405262877E+19</v>
      </c>
      <c r="B1560">
        <v>4</v>
      </c>
      <c r="C1560">
        <v>2</v>
      </c>
      <c r="D1560">
        <v>3</v>
      </c>
      <c r="E1560">
        <v>423</v>
      </c>
      <c r="F1560" t="s">
        <v>1229</v>
      </c>
    </row>
    <row r="1561" spans="1:6" x14ac:dyDescent="0.55000000000000004">
      <c r="A1561" s="6">
        <v>1.3429650595165749E+19</v>
      </c>
      <c r="B1561">
        <v>5</v>
      </c>
      <c r="C1561">
        <v>1</v>
      </c>
      <c r="D1561">
        <v>3</v>
      </c>
      <c r="E1561">
        <v>513</v>
      </c>
      <c r="F1561" t="s">
        <v>1228</v>
      </c>
    </row>
    <row r="1562" spans="1:6" x14ac:dyDescent="0.55000000000000004">
      <c r="A1562" s="6">
        <v>1.345768984757384E+19</v>
      </c>
      <c r="B1562">
        <v>5</v>
      </c>
      <c r="C1562">
        <v>1</v>
      </c>
      <c r="D1562">
        <v>1</v>
      </c>
      <c r="E1562">
        <v>511</v>
      </c>
      <c r="F1562" t="s">
        <v>1228</v>
      </c>
    </row>
    <row r="1563" spans="1:6" x14ac:dyDescent="0.55000000000000004">
      <c r="A1563" s="6">
        <v>1.345861267394763E+19</v>
      </c>
      <c r="B1563">
        <v>5</v>
      </c>
      <c r="C1563">
        <v>3</v>
      </c>
      <c r="D1563">
        <v>3</v>
      </c>
      <c r="E1563">
        <v>533</v>
      </c>
      <c r="F1563" t="s">
        <v>1230</v>
      </c>
    </row>
    <row r="1564" spans="1:6" x14ac:dyDescent="0.55000000000000004">
      <c r="A1564" s="6">
        <v>1.346306073628568E+19</v>
      </c>
      <c r="B1564">
        <v>2</v>
      </c>
      <c r="C1564">
        <v>1</v>
      </c>
      <c r="D1564">
        <v>1</v>
      </c>
      <c r="E1564">
        <v>211</v>
      </c>
      <c r="F1564" t="s">
        <v>1234</v>
      </c>
    </row>
    <row r="1565" spans="1:6" x14ac:dyDescent="0.55000000000000004">
      <c r="A1565" s="6">
        <v>1.347478526802867E+19</v>
      </c>
      <c r="B1565">
        <v>4</v>
      </c>
      <c r="C1565">
        <v>2</v>
      </c>
      <c r="D1565">
        <v>2</v>
      </c>
      <c r="E1565">
        <v>422</v>
      </c>
      <c r="F1565" t="s">
        <v>1229</v>
      </c>
    </row>
    <row r="1566" spans="1:6" x14ac:dyDescent="0.55000000000000004">
      <c r="A1566" s="6">
        <v>1.3496035708042889E+19</v>
      </c>
      <c r="B1566">
        <v>3</v>
      </c>
      <c r="C1566">
        <v>1</v>
      </c>
      <c r="D1566">
        <v>3</v>
      </c>
      <c r="E1566">
        <v>313</v>
      </c>
      <c r="F1566" t="s">
        <v>1233</v>
      </c>
    </row>
    <row r="1567" spans="1:6" x14ac:dyDescent="0.55000000000000004">
      <c r="A1567" s="6">
        <v>1.3513454545011419E+19</v>
      </c>
      <c r="B1567">
        <v>5</v>
      </c>
      <c r="C1567">
        <v>1</v>
      </c>
      <c r="D1567">
        <v>2</v>
      </c>
      <c r="E1567">
        <v>512</v>
      </c>
      <c r="F1567" t="s">
        <v>1228</v>
      </c>
    </row>
    <row r="1568" spans="1:6" x14ac:dyDescent="0.55000000000000004">
      <c r="A1568" s="6">
        <v>1.351714894414312E+19</v>
      </c>
      <c r="B1568">
        <v>5</v>
      </c>
      <c r="C1568">
        <v>1</v>
      </c>
      <c r="D1568">
        <v>2</v>
      </c>
      <c r="E1568">
        <v>512</v>
      </c>
      <c r="F1568" t="s">
        <v>1228</v>
      </c>
    </row>
    <row r="1569" spans="1:6" x14ac:dyDescent="0.55000000000000004">
      <c r="A1569" s="6">
        <v>1.351887796399998E+19</v>
      </c>
      <c r="B1569">
        <v>5</v>
      </c>
      <c r="C1569">
        <v>3</v>
      </c>
      <c r="D1569">
        <v>2</v>
      </c>
      <c r="E1569">
        <v>532</v>
      </c>
      <c r="F1569" t="s">
        <v>1230</v>
      </c>
    </row>
    <row r="1570" spans="1:6" x14ac:dyDescent="0.55000000000000004">
      <c r="A1570" s="6">
        <v>1.3521196571112731E+19</v>
      </c>
      <c r="B1570">
        <v>2</v>
      </c>
      <c r="C1570">
        <v>1</v>
      </c>
      <c r="D1570">
        <v>1</v>
      </c>
      <c r="E1570">
        <v>211</v>
      </c>
      <c r="F1570" t="s">
        <v>1234</v>
      </c>
    </row>
    <row r="1571" spans="1:6" x14ac:dyDescent="0.55000000000000004">
      <c r="A1571" s="6">
        <v>1.352293588496357E+19</v>
      </c>
      <c r="B1571">
        <v>3</v>
      </c>
      <c r="C1571">
        <v>1</v>
      </c>
      <c r="D1571">
        <v>1</v>
      </c>
      <c r="E1571">
        <v>311</v>
      </c>
      <c r="F1571" t="s">
        <v>1233</v>
      </c>
    </row>
    <row r="1572" spans="1:6" x14ac:dyDescent="0.55000000000000004">
      <c r="A1572" s="6">
        <v>1.353243066773127E+19</v>
      </c>
      <c r="B1572">
        <v>2</v>
      </c>
      <c r="C1572">
        <v>1</v>
      </c>
      <c r="D1572">
        <v>2</v>
      </c>
      <c r="E1572">
        <v>212</v>
      </c>
      <c r="F1572" t="s">
        <v>1234</v>
      </c>
    </row>
    <row r="1573" spans="1:6" x14ac:dyDescent="0.55000000000000004">
      <c r="A1573" s="6">
        <v>1.3537907601576471E+19</v>
      </c>
      <c r="B1573">
        <v>4</v>
      </c>
      <c r="C1573">
        <v>1</v>
      </c>
      <c r="D1573">
        <v>3</v>
      </c>
      <c r="E1573">
        <v>413</v>
      </c>
      <c r="F1573" t="s">
        <v>1233</v>
      </c>
    </row>
    <row r="1574" spans="1:6" x14ac:dyDescent="0.55000000000000004">
      <c r="A1574" s="6">
        <v>1.3560338767012139E+19</v>
      </c>
      <c r="B1574">
        <v>4</v>
      </c>
      <c r="C1574">
        <v>2</v>
      </c>
      <c r="D1574">
        <v>2</v>
      </c>
      <c r="E1574">
        <v>422</v>
      </c>
      <c r="F1574" t="s">
        <v>1229</v>
      </c>
    </row>
    <row r="1575" spans="1:6" x14ac:dyDescent="0.55000000000000004">
      <c r="A1575" s="6">
        <v>1.3563156145143859E+19</v>
      </c>
      <c r="B1575">
        <v>2</v>
      </c>
      <c r="C1575">
        <v>1</v>
      </c>
      <c r="D1575">
        <v>1</v>
      </c>
      <c r="E1575">
        <v>211</v>
      </c>
      <c r="F1575" t="s">
        <v>1234</v>
      </c>
    </row>
    <row r="1576" spans="1:6" x14ac:dyDescent="0.55000000000000004">
      <c r="A1576" s="6">
        <v>1.3568600865634161E+19</v>
      </c>
      <c r="B1576">
        <v>2</v>
      </c>
      <c r="C1576">
        <v>1</v>
      </c>
      <c r="D1576">
        <v>1</v>
      </c>
      <c r="E1576">
        <v>211</v>
      </c>
      <c r="F1576" t="s">
        <v>1234</v>
      </c>
    </row>
    <row r="1577" spans="1:6" x14ac:dyDescent="0.55000000000000004">
      <c r="A1577" s="6">
        <v>1.357094978375269E+19</v>
      </c>
      <c r="B1577">
        <v>5</v>
      </c>
      <c r="C1577">
        <v>2</v>
      </c>
      <c r="D1577">
        <v>3</v>
      </c>
      <c r="E1577">
        <v>523</v>
      </c>
      <c r="F1577" t="s">
        <v>1229</v>
      </c>
    </row>
    <row r="1578" spans="1:6" x14ac:dyDescent="0.55000000000000004">
      <c r="A1578" s="6">
        <v>1.3593324848231891E+19</v>
      </c>
      <c r="B1578">
        <v>3</v>
      </c>
      <c r="C1578">
        <v>1</v>
      </c>
      <c r="D1578">
        <v>1</v>
      </c>
      <c r="E1578">
        <v>311</v>
      </c>
      <c r="F1578" t="s">
        <v>1233</v>
      </c>
    </row>
    <row r="1579" spans="1:6" x14ac:dyDescent="0.55000000000000004">
      <c r="A1579" s="6">
        <v>1.3594245574007099E+19</v>
      </c>
      <c r="B1579">
        <v>4</v>
      </c>
      <c r="C1579">
        <v>2</v>
      </c>
      <c r="D1579">
        <v>2</v>
      </c>
      <c r="E1579">
        <v>422</v>
      </c>
      <c r="F1579" t="s">
        <v>1229</v>
      </c>
    </row>
    <row r="1580" spans="1:6" x14ac:dyDescent="0.55000000000000004">
      <c r="A1580" s="6">
        <v>1.360218157738563E+19</v>
      </c>
      <c r="B1580">
        <v>4</v>
      </c>
      <c r="C1580">
        <v>1</v>
      </c>
      <c r="D1580">
        <v>1</v>
      </c>
      <c r="E1580">
        <v>411</v>
      </c>
      <c r="F1580" t="s">
        <v>1233</v>
      </c>
    </row>
    <row r="1581" spans="1:6" x14ac:dyDescent="0.55000000000000004">
      <c r="A1581" s="6">
        <v>1.360719435373294E+19</v>
      </c>
      <c r="B1581">
        <v>5</v>
      </c>
      <c r="C1581">
        <v>1</v>
      </c>
      <c r="D1581">
        <v>1</v>
      </c>
      <c r="E1581">
        <v>511</v>
      </c>
      <c r="F1581" t="s">
        <v>1228</v>
      </c>
    </row>
    <row r="1582" spans="1:6" x14ac:dyDescent="0.55000000000000004">
      <c r="A1582" s="6">
        <v>1.3614030583383269E+19</v>
      </c>
      <c r="B1582">
        <v>4</v>
      </c>
      <c r="C1582">
        <v>2</v>
      </c>
      <c r="D1582">
        <v>2</v>
      </c>
      <c r="E1582">
        <v>422</v>
      </c>
      <c r="F1582" t="s">
        <v>1229</v>
      </c>
    </row>
    <row r="1583" spans="1:6" x14ac:dyDescent="0.55000000000000004">
      <c r="A1583" s="6">
        <v>1.3614360803170529E+19</v>
      </c>
      <c r="B1583">
        <v>1</v>
      </c>
      <c r="C1583">
        <v>1</v>
      </c>
      <c r="D1583">
        <v>1</v>
      </c>
      <c r="E1583">
        <v>111</v>
      </c>
      <c r="F1583" t="s">
        <v>1234</v>
      </c>
    </row>
    <row r="1584" spans="1:6" x14ac:dyDescent="0.55000000000000004">
      <c r="A1584" s="6">
        <v>1.3615365342194739E+19</v>
      </c>
      <c r="B1584">
        <v>1</v>
      </c>
      <c r="C1584">
        <v>2</v>
      </c>
      <c r="D1584">
        <v>3</v>
      </c>
      <c r="E1584">
        <v>123</v>
      </c>
      <c r="F1584" t="s">
        <v>1234</v>
      </c>
    </row>
    <row r="1585" spans="1:6" x14ac:dyDescent="0.55000000000000004">
      <c r="A1585" s="6">
        <v>1.3632475813864321E+19</v>
      </c>
      <c r="B1585">
        <v>4</v>
      </c>
      <c r="C1585">
        <v>1</v>
      </c>
      <c r="D1585">
        <v>2</v>
      </c>
      <c r="E1585">
        <v>412</v>
      </c>
      <c r="F1585" t="s">
        <v>1233</v>
      </c>
    </row>
    <row r="1586" spans="1:6" x14ac:dyDescent="0.55000000000000004">
      <c r="A1586" s="6">
        <v>1.363333817944542E+19</v>
      </c>
      <c r="B1586">
        <v>3</v>
      </c>
      <c r="C1586">
        <v>1</v>
      </c>
      <c r="D1586">
        <v>2</v>
      </c>
      <c r="E1586">
        <v>312</v>
      </c>
      <c r="F1586" t="s">
        <v>1233</v>
      </c>
    </row>
    <row r="1587" spans="1:6" x14ac:dyDescent="0.55000000000000004">
      <c r="A1587" s="6">
        <v>1.363557571381281E+19</v>
      </c>
      <c r="B1587">
        <v>5</v>
      </c>
      <c r="C1587">
        <v>2</v>
      </c>
      <c r="D1587">
        <v>3</v>
      </c>
      <c r="E1587">
        <v>523</v>
      </c>
      <c r="F1587" t="s">
        <v>1229</v>
      </c>
    </row>
    <row r="1588" spans="1:6" x14ac:dyDescent="0.55000000000000004">
      <c r="A1588" s="6">
        <v>1.365703254207455E+19</v>
      </c>
      <c r="B1588">
        <v>5</v>
      </c>
      <c r="C1588">
        <v>1</v>
      </c>
      <c r="D1588">
        <v>3</v>
      </c>
      <c r="E1588">
        <v>513</v>
      </c>
      <c r="F1588" t="s">
        <v>1228</v>
      </c>
    </row>
    <row r="1589" spans="1:6" x14ac:dyDescent="0.55000000000000004">
      <c r="A1589" s="6">
        <v>1.365967540316247E+19</v>
      </c>
      <c r="B1589">
        <v>3</v>
      </c>
      <c r="C1589">
        <v>1</v>
      </c>
      <c r="D1589">
        <v>1</v>
      </c>
      <c r="E1589">
        <v>311</v>
      </c>
      <c r="F1589" t="s">
        <v>1233</v>
      </c>
    </row>
    <row r="1590" spans="1:6" x14ac:dyDescent="0.55000000000000004">
      <c r="A1590" s="6">
        <v>1.367570441445676E+19</v>
      </c>
      <c r="B1590">
        <v>3</v>
      </c>
      <c r="C1590">
        <v>2</v>
      </c>
      <c r="D1590">
        <v>1</v>
      </c>
      <c r="E1590">
        <v>321</v>
      </c>
      <c r="F1590" t="s">
        <v>1233</v>
      </c>
    </row>
    <row r="1591" spans="1:6" x14ac:dyDescent="0.55000000000000004">
      <c r="A1591" s="6">
        <v>1.3676031092069671E+19</v>
      </c>
      <c r="B1591">
        <v>5</v>
      </c>
      <c r="C1591">
        <v>2</v>
      </c>
      <c r="D1591">
        <v>2</v>
      </c>
      <c r="E1591">
        <v>522</v>
      </c>
      <c r="F1591" t="s">
        <v>1229</v>
      </c>
    </row>
    <row r="1592" spans="1:6" x14ac:dyDescent="0.55000000000000004">
      <c r="A1592" s="6">
        <v>1.370179270940867E+19</v>
      </c>
      <c r="B1592">
        <v>5</v>
      </c>
      <c r="C1592">
        <v>1</v>
      </c>
      <c r="D1592">
        <v>1</v>
      </c>
      <c r="E1592">
        <v>511</v>
      </c>
      <c r="F1592" t="s">
        <v>1228</v>
      </c>
    </row>
    <row r="1593" spans="1:6" x14ac:dyDescent="0.55000000000000004">
      <c r="A1593" s="6">
        <v>1.3703114569611069E+19</v>
      </c>
      <c r="B1593">
        <v>5</v>
      </c>
      <c r="C1593">
        <v>3</v>
      </c>
      <c r="D1593">
        <v>3</v>
      </c>
      <c r="E1593">
        <v>533</v>
      </c>
      <c r="F1593" t="s">
        <v>1230</v>
      </c>
    </row>
    <row r="1594" spans="1:6" x14ac:dyDescent="0.55000000000000004">
      <c r="A1594" s="6">
        <v>1.3705793649912039E+19</v>
      </c>
      <c r="B1594">
        <v>1</v>
      </c>
      <c r="C1594">
        <v>1</v>
      </c>
      <c r="D1594">
        <v>1</v>
      </c>
      <c r="E1594">
        <v>111</v>
      </c>
      <c r="F1594" t="s">
        <v>1234</v>
      </c>
    </row>
    <row r="1595" spans="1:6" x14ac:dyDescent="0.55000000000000004">
      <c r="A1595" s="6">
        <v>1.3772017495546911E+19</v>
      </c>
      <c r="B1595">
        <v>2</v>
      </c>
      <c r="C1595">
        <v>1</v>
      </c>
      <c r="D1595">
        <v>1</v>
      </c>
      <c r="E1595">
        <v>211</v>
      </c>
      <c r="F1595" t="s">
        <v>1234</v>
      </c>
    </row>
    <row r="1596" spans="1:6" x14ac:dyDescent="0.55000000000000004">
      <c r="A1596" s="6">
        <v>1.37766412219519E+19</v>
      </c>
      <c r="B1596">
        <v>5</v>
      </c>
      <c r="C1596">
        <v>1</v>
      </c>
      <c r="D1596">
        <v>1</v>
      </c>
      <c r="E1596">
        <v>511</v>
      </c>
      <c r="F1596" t="s">
        <v>1228</v>
      </c>
    </row>
    <row r="1597" spans="1:6" x14ac:dyDescent="0.55000000000000004">
      <c r="A1597" s="6">
        <v>1.3779324209772151E+19</v>
      </c>
      <c r="B1597">
        <v>1</v>
      </c>
      <c r="C1597">
        <v>1</v>
      </c>
      <c r="D1597">
        <v>1</v>
      </c>
      <c r="E1597">
        <v>111</v>
      </c>
      <c r="F1597" t="s">
        <v>1234</v>
      </c>
    </row>
    <row r="1598" spans="1:6" x14ac:dyDescent="0.55000000000000004">
      <c r="A1598" s="6">
        <v>1.378013292667358E+19</v>
      </c>
      <c r="B1598">
        <v>5</v>
      </c>
      <c r="C1598">
        <v>3</v>
      </c>
      <c r="D1598">
        <v>3</v>
      </c>
      <c r="E1598">
        <v>533</v>
      </c>
      <c r="F1598" t="s">
        <v>1230</v>
      </c>
    </row>
    <row r="1599" spans="1:6" x14ac:dyDescent="0.55000000000000004">
      <c r="A1599" s="6">
        <v>1.3784682813159739E+19</v>
      </c>
      <c r="B1599">
        <v>5</v>
      </c>
      <c r="C1599">
        <v>2</v>
      </c>
      <c r="D1599">
        <v>3</v>
      </c>
      <c r="E1599">
        <v>523</v>
      </c>
      <c r="F1599" t="s">
        <v>1229</v>
      </c>
    </row>
    <row r="1600" spans="1:6" x14ac:dyDescent="0.55000000000000004">
      <c r="A1600" s="6">
        <v>1.3797021737424341E+19</v>
      </c>
      <c r="B1600">
        <v>4</v>
      </c>
      <c r="C1600">
        <v>1</v>
      </c>
      <c r="D1600">
        <v>2</v>
      </c>
      <c r="E1600">
        <v>412</v>
      </c>
      <c r="F1600" t="s">
        <v>1233</v>
      </c>
    </row>
    <row r="1601" spans="1:6" x14ac:dyDescent="0.55000000000000004">
      <c r="A1601" s="6">
        <v>1.3812641732678619E+19</v>
      </c>
      <c r="B1601">
        <v>2</v>
      </c>
      <c r="C1601">
        <v>1</v>
      </c>
      <c r="D1601">
        <v>1</v>
      </c>
      <c r="E1601">
        <v>211</v>
      </c>
      <c r="F1601" t="s">
        <v>1234</v>
      </c>
    </row>
    <row r="1602" spans="1:6" x14ac:dyDescent="0.55000000000000004">
      <c r="A1602" s="6">
        <v>1.382011487606887E+19</v>
      </c>
      <c r="B1602">
        <v>2</v>
      </c>
      <c r="C1602">
        <v>1</v>
      </c>
      <c r="D1602">
        <v>1</v>
      </c>
      <c r="E1602">
        <v>211</v>
      </c>
      <c r="F1602" t="s">
        <v>1234</v>
      </c>
    </row>
    <row r="1603" spans="1:6" x14ac:dyDescent="0.55000000000000004">
      <c r="A1603" s="6">
        <v>1.3822041623253791E+19</v>
      </c>
      <c r="B1603">
        <v>1</v>
      </c>
      <c r="C1603">
        <v>1</v>
      </c>
      <c r="D1603">
        <v>2</v>
      </c>
      <c r="E1603">
        <v>112</v>
      </c>
      <c r="F1603" t="s">
        <v>1234</v>
      </c>
    </row>
    <row r="1604" spans="1:6" x14ac:dyDescent="0.55000000000000004">
      <c r="A1604" s="6">
        <v>1.3834599210482901E+19</v>
      </c>
      <c r="B1604">
        <v>5</v>
      </c>
      <c r="C1604">
        <v>1</v>
      </c>
      <c r="D1604">
        <v>2</v>
      </c>
      <c r="E1604">
        <v>512</v>
      </c>
      <c r="F1604" t="s">
        <v>1228</v>
      </c>
    </row>
    <row r="1605" spans="1:6" x14ac:dyDescent="0.55000000000000004">
      <c r="A1605" s="6">
        <v>1.384908775511219E+19</v>
      </c>
      <c r="B1605">
        <v>5</v>
      </c>
      <c r="C1605">
        <v>1</v>
      </c>
      <c r="D1605">
        <v>2</v>
      </c>
      <c r="E1605">
        <v>512</v>
      </c>
      <c r="F1605" t="s">
        <v>1228</v>
      </c>
    </row>
    <row r="1606" spans="1:6" x14ac:dyDescent="0.55000000000000004">
      <c r="A1606" s="6">
        <v>1.3866389946631281E+19</v>
      </c>
      <c r="B1606">
        <v>4</v>
      </c>
      <c r="C1606">
        <v>1</v>
      </c>
      <c r="D1606">
        <v>3</v>
      </c>
      <c r="E1606">
        <v>413</v>
      </c>
      <c r="F1606" t="s">
        <v>1233</v>
      </c>
    </row>
    <row r="1607" spans="1:6" x14ac:dyDescent="0.55000000000000004">
      <c r="A1607" s="6">
        <v>1.386814484181495E+19</v>
      </c>
      <c r="B1607">
        <v>5</v>
      </c>
      <c r="C1607">
        <v>2</v>
      </c>
      <c r="D1607">
        <v>2</v>
      </c>
      <c r="E1607">
        <v>522</v>
      </c>
      <c r="F1607" t="s">
        <v>1229</v>
      </c>
    </row>
    <row r="1608" spans="1:6" x14ac:dyDescent="0.55000000000000004">
      <c r="A1608" s="6">
        <v>1.388435877609139E+19</v>
      </c>
      <c r="B1608">
        <v>5</v>
      </c>
      <c r="C1608">
        <v>1</v>
      </c>
      <c r="D1608">
        <v>3</v>
      </c>
      <c r="E1608">
        <v>513</v>
      </c>
      <c r="F1608" t="s">
        <v>1228</v>
      </c>
    </row>
    <row r="1609" spans="1:6" x14ac:dyDescent="0.55000000000000004">
      <c r="A1609" s="6">
        <v>1.3886858499474489E+19</v>
      </c>
      <c r="B1609">
        <v>2</v>
      </c>
      <c r="C1609">
        <v>1</v>
      </c>
      <c r="D1609">
        <v>3</v>
      </c>
      <c r="E1609">
        <v>213</v>
      </c>
      <c r="F1609" t="s">
        <v>1234</v>
      </c>
    </row>
    <row r="1610" spans="1:6" x14ac:dyDescent="0.55000000000000004">
      <c r="A1610" s="6">
        <v>1.388693896766259E+19</v>
      </c>
      <c r="B1610">
        <v>3</v>
      </c>
      <c r="C1610">
        <v>1</v>
      </c>
      <c r="D1610">
        <v>2</v>
      </c>
      <c r="E1610">
        <v>312</v>
      </c>
      <c r="F1610" t="s">
        <v>1233</v>
      </c>
    </row>
    <row r="1611" spans="1:6" x14ac:dyDescent="0.55000000000000004">
      <c r="A1611" s="6">
        <v>1.389027299754768E+19</v>
      </c>
      <c r="B1611">
        <v>5</v>
      </c>
      <c r="C1611">
        <v>2</v>
      </c>
      <c r="D1611">
        <v>3</v>
      </c>
      <c r="E1611">
        <v>523</v>
      </c>
      <c r="F1611" t="s">
        <v>1229</v>
      </c>
    </row>
    <row r="1612" spans="1:6" x14ac:dyDescent="0.55000000000000004">
      <c r="A1612" s="6">
        <v>1.3902923977509911E+19</v>
      </c>
      <c r="B1612">
        <v>1</v>
      </c>
      <c r="C1612">
        <v>1</v>
      </c>
      <c r="D1612">
        <v>1</v>
      </c>
      <c r="E1612">
        <v>111</v>
      </c>
      <c r="F1612" t="s">
        <v>1234</v>
      </c>
    </row>
    <row r="1613" spans="1:6" x14ac:dyDescent="0.55000000000000004">
      <c r="A1613" s="6">
        <v>1.3917480670769701E+19</v>
      </c>
      <c r="B1613">
        <v>2</v>
      </c>
      <c r="C1613">
        <v>1</v>
      </c>
      <c r="D1613">
        <v>2</v>
      </c>
      <c r="E1613">
        <v>212</v>
      </c>
      <c r="F1613" t="s">
        <v>1234</v>
      </c>
    </row>
    <row r="1614" spans="1:6" x14ac:dyDescent="0.55000000000000004">
      <c r="A1614" s="6">
        <v>1.391907373968365E+19</v>
      </c>
      <c r="B1614">
        <v>5</v>
      </c>
      <c r="C1614">
        <v>3</v>
      </c>
      <c r="D1614">
        <v>2</v>
      </c>
      <c r="E1614">
        <v>532</v>
      </c>
      <c r="F1614" t="s">
        <v>1230</v>
      </c>
    </row>
    <row r="1615" spans="1:6" x14ac:dyDescent="0.55000000000000004">
      <c r="A1615" s="6">
        <v>1.3923104189276819E+19</v>
      </c>
      <c r="B1615">
        <v>3</v>
      </c>
      <c r="C1615">
        <v>2</v>
      </c>
      <c r="D1615">
        <v>2</v>
      </c>
      <c r="E1615">
        <v>322</v>
      </c>
      <c r="F1615" t="s">
        <v>1233</v>
      </c>
    </row>
    <row r="1616" spans="1:6" x14ac:dyDescent="0.55000000000000004">
      <c r="A1616" s="6">
        <v>1.3933325988243599E+19</v>
      </c>
      <c r="B1616">
        <v>5</v>
      </c>
      <c r="C1616">
        <v>1</v>
      </c>
      <c r="D1616">
        <v>2</v>
      </c>
      <c r="E1616">
        <v>512</v>
      </c>
      <c r="F1616" t="s">
        <v>1228</v>
      </c>
    </row>
    <row r="1617" spans="1:6" x14ac:dyDescent="0.55000000000000004">
      <c r="A1617" s="6">
        <v>1.3959446947295001E+19</v>
      </c>
      <c r="B1617">
        <v>2</v>
      </c>
      <c r="C1617">
        <v>1</v>
      </c>
      <c r="D1617">
        <v>1</v>
      </c>
      <c r="E1617">
        <v>211</v>
      </c>
      <c r="F1617" t="s">
        <v>1234</v>
      </c>
    </row>
    <row r="1618" spans="1:6" x14ac:dyDescent="0.55000000000000004">
      <c r="A1618" s="6">
        <v>1.396796765978061E+19</v>
      </c>
      <c r="B1618">
        <v>2</v>
      </c>
      <c r="C1618">
        <v>1</v>
      </c>
      <c r="D1618">
        <v>3</v>
      </c>
      <c r="E1618">
        <v>213</v>
      </c>
      <c r="F1618" t="s">
        <v>1234</v>
      </c>
    </row>
    <row r="1619" spans="1:6" x14ac:dyDescent="0.55000000000000004">
      <c r="A1619" s="6">
        <v>1.3968261657304629E+19</v>
      </c>
      <c r="B1619">
        <v>5</v>
      </c>
      <c r="C1619">
        <v>1</v>
      </c>
      <c r="D1619">
        <v>3</v>
      </c>
      <c r="E1619">
        <v>513</v>
      </c>
      <c r="F1619" t="s">
        <v>1228</v>
      </c>
    </row>
    <row r="1620" spans="1:6" x14ac:dyDescent="0.55000000000000004">
      <c r="A1620" s="6">
        <v>1.3986200410925781E+19</v>
      </c>
      <c r="B1620">
        <v>2</v>
      </c>
      <c r="C1620">
        <v>1</v>
      </c>
      <c r="D1620">
        <v>3</v>
      </c>
      <c r="E1620">
        <v>213</v>
      </c>
      <c r="F1620" t="s">
        <v>1234</v>
      </c>
    </row>
    <row r="1621" spans="1:6" x14ac:dyDescent="0.55000000000000004">
      <c r="A1621" s="6">
        <v>1.399913811220991E+19</v>
      </c>
      <c r="B1621">
        <v>5</v>
      </c>
      <c r="C1621">
        <v>1</v>
      </c>
      <c r="D1621">
        <v>2</v>
      </c>
      <c r="E1621">
        <v>512</v>
      </c>
      <c r="F1621" t="s">
        <v>1228</v>
      </c>
    </row>
    <row r="1622" spans="1:6" x14ac:dyDescent="0.55000000000000004">
      <c r="A1622" s="6">
        <v>1.402318776737922E+19</v>
      </c>
      <c r="B1622">
        <v>2</v>
      </c>
      <c r="C1622">
        <v>1</v>
      </c>
      <c r="D1622">
        <v>3</v>
      </c>
      <c r="E1622">
        <v>213</v>
      </c>
      <c r="F1622" t="s">
        <v>1234</v>
      </c>
    </row>
    <row r="1623" spans="1:6" x14ac:dyDescent="0.55000000000000004">
      <c r="A1623" s="6">
        <v>1.4031811648580569E+19</v>
      </c>
      <c r="B1623">
        <v>5</v>
      </c>
      <c r="C1623">
        <v>2</v>
      </c>
      <c r="D1623">
        <v>1</v>
      </c>
      <c r="E1623">
        <v>521</v>
      </c>
      <c r="F1623" t="s">
        <v>1229</v>
      </c>
    </row>
    <row r="1624" spans="1:6" x14ac:dyDescent="0.55000000000000004">
      <c r="A1624" s="6">
        <v>1.403440687456196E+19</v>
      </c>
      <c r="B1624">
        <v>2</v>
      </c>
      <c r="C1624">
        <v>1</v>
      </c>
      <c r="D1624">
        <v>3</v>
      </c>
      <c r="E1624">
        <v>213</v>
      </c>
      <c r="F1624" t="s">
        <v>1234</v>
      </c>
    </row>
    <row r="1625" spans="1:6" x14ac:dyDescent="0.55000000000000004">
      <c r="A1625" s="6">
        <v>1.403560369874815E+19</v>
      </c>
      <c r="B1625">
        <v>3</v>
      </c>
      <c r="C1625">
        <v>1</v>
      </c>
      <c r="D1625">
        <v>1</v>
      </c>
      <c r="E1625">
        <v>311</v>
      </c>
      <c r="F1625" t="s">
        <v>1233</v>
      </c>
    </row>
    <row r="1626" spans="1:6" x14ac:dyDescent="0.55000000000000004">
      <c r="A1626" s="6">
        <v>1.4036091491409091E+19</v>
      </c>
      <c r="B1626">
        <v>5</v>
      </c>
      <c r="C1626">
        <v>1</v>
      </c>
      <c r="D1626">
        <v>2</v>
      </c>
      <c r="E1626">
        <v>512</v>
      </c>
      <c r="F1626" t="s">
        <v>1228</v>
      </c>
    </row>
    <row r="1627" spans="1:6" x14ac:dyDescent="0.55000000000000004">
      <c r="A1627" s="6">
        <v>1.4069268783842439E+19</v>
      </c>
      <c r="B1627">
        <v>4</v>
      </c>
      <c r="C1627">
        <v>1</v>
      </c>
      <c r="D1627">
        <v>1</v>
      </c>
      <c r="E1627">
        <v>411</v>
      </c>
      <c r="F1627" t="s">
        <v>1233</v>
      </c>
    </row>
    <row r="1628" spans="1:6" x14ac:dyDescent="0.55000000000000004">
      <c r="A1628" s="6">
        <v>1.4100483328214159E+19</v>
      </c>
      <c r="B1628">
        <v>4</v>
      </c>
      <c r="C1628">
        <v>1</v>
      </c>
      <c r="D1628">
        <v>2</v>
      </c>
      <c r="E1628">
        <v>412</v>
      </c>
      <c r="F1628" t="s">
        <v>1233</v>
      </c>
    </row>
    <row r="1629" spans="1:6" x14ac:dyDescent="0.55000000000000004">
      <c r="A1629" s="6">
        <v>1.411496331180091E+19</v>
      </c>
      <c r="B1629">
        <v>5</v>
      </c>
      <c r="C1629">
        <v>3</v>
      </c>
      <c r="D1629">
        <v>3</v>
      </c>
      <c r="E1629">
        <v>533</v>
      </c>
      <c r="F1629" t="s">
        <v>1230</v>
      </c>
    </row>
    <row r="1630" spans="1:6" x14ac:dyDescent="0.55000000000000004">
      <c r="A1630" s="6">
        <v>1.4121072702750349E+19</v>
      </c>
      <c r="B1630">
        <v>2</v>
      </c>
      <c r="C1630">
        <v>1</v>
      </c>
      <c r="D1630">
        <v>2</v>
      </c>
      <c r="E1630">
        <v>212</v>
      </c>
      <c r="F1630" t="s">
        <v>1234</v>
      </c>
    </row>
    <row r="1631" spans="1:6" x14ac:dyDescent="0.55000000000000004">
      <c r="A1631" s="6">
        <v>1.412222505842285E+19</v>
      </c>
      <c r="B1631">
        <v>5</v>
      </c>
      <c r="C1631">
        <v>1</v>
      </c>
      <c r="D1631">
        <v>1</v>
      </c>
      <c r="E1631">
        <v>511</v>
      </c>
      <c r="F1631" t="s">
        <v>1228</v>
      </c>
    </row>
    <row r="1632" spans="1:6" x14ac:dyDescent="0.55000000000000004">
      <c r="A1632" s="6">
        <v>1.4124490964674601E+19</v>
      </c>
      <c r="B1632">
        <v>4</v>
      </c>
      <c r="C1632">
        <v>2</v>
      </c>
      <c r="D1632">
        <v>3</v>
      </c>
      <c r="E1632">
        <v>423</v>
      </c>
      <c r="F1632" t="s">
        <v>1229</v>
      </c>
    </row>
    <row r="1633" spans="1:6" x14ac:dyDescent="0.55000000000000004">
      <c r="A1633" s="6">
        <v>1.4126825949175851E+19</v>
      </c>
      <c r="B1633">
        <v>5</v>
      </c>
      <c r="C1633">
        <v>3</v>
      </c>
      <c r="D1633">
        <v>2</v>
      </c>
      <c r="E1633">
        <v>532</v>
      </c>
      <c r="F1633" t="s">
        <v>1230</v>
      </c>
    </row>
    <row r="1634" spans="1:6" x14ac:dyDescent="0.55000000000000004">
      <c r="A1634" s="6">
        <v>1.415339156003328E+19</v>
      </c>
      <c r="B1634">
        <v>4</v>
      </c>
      <c r="C1634">
        <v>1</v>
      </c>
      <c r="D1634">
        <v>1</v>
      </c>
      <c r="E1634">
        <v>411</v>
      </c>
      <c r="F1634" t="s">
        <v>1233</v>
      </c>
    </row>
    <row r="1635" spans="1:6" x14ac:dyDescent="0.55000000000000004">
      <c r="A1635" s="6">
        <v>1.416306776741248E+19</v>
      </c>
      <c r="B1635">
        <v>2</v>
      </c>
      <c r="C1635">
        <v>1</v>
      </c>
      <c r="D1635">
        <v>1</v>
      </c>
      <c r="E1635">
        <v>211</v>
      </c>
      <c r="F1635" t="s">
        <v>1234</v>
      </c>
    </row>
    <row r="1636" spans="1:6" x14ac:dyDescent="0.55000000000000004">
      <c r="A1636" s="6">
        <v>1.41654505370513E+19</v>
      </c>
      <c r="B1636">
        <v>4</v>
      </c>
      <c r="C1636">
        <v>2</v>
      </c>
      <c r="D1636">
        <v>2</v>
      </c>
      <c r="E1636">
        <v>422</v>
      </c>
      <c r="F1636" t="s">
        <v>1229</v>
      </c>
    </row>
    <row r="1637" spans="1:6" x14ac:dyDescent="0.55000000000000004">
      <c r="A1637" s="6">
        <v>1.4172466943649589E+19</v>
      </c>
      <c r="B1637">
        <v>2</v>
      </c>
      <c r="C1637">
        <v>1</v>
      </c>
      <c r="D1637">
        <v>1</v>
      </c>
      <c r="E1637">
        <v>211</v>
      </c>
      <c r="F1637" t="s">
        <v>1234</v>
      </c>
    </row>
    <row r="1638" spans="1:6" x14ac:dyDescent="0.55000000000000004">
      <c r="A1638" s="6">
        <v>1.4175827160880599E+19</v>
      </c>
      <c r="B1638">
        <v>4</v>
      </c>
      <c r="C1638">
        <v>2</v>
      </c>
      <c r="D1638">
        <v>2</v>
      </c>
      <c r="E1638">
        <v>422</v>
      </c>
      <c r="F1638" t="s">
        <v>1229</v>
      </c>
    </row>
    <row r="1639" spans="1:6" x14ac:dyDescent="0.55000000000000004">
      <c r="A1639" s="6">
        <v>1.419073087257669E+19</v>
      </c>
      <c r="B1639">
        <v>5</v>
      </c>
      <c r="C1639">
        <v>1</v>
      </c>
      <c r="D1639">
        <v>1</v>
      </c>
      <c r="E1639">
        <v>511</v>
      </c>
      <c r="F1639" t="s">
        <v>1228</v>
      </c>
    </row>
    <row r="1640" spans="1:6" x14ac:dyDescent="0.55000000000000004">
      <c r="A1640" s="6">
        <v>1.4209261969873701E+19</v>
      </c>
      <c r="B1640">
        <v>2</v>
      </c>
      <c r="C1640">
        <v>1</v>
      </c>
      <c r="D1640">
        <v>2</v>
      </c>
      <c r="E1640">
        <v>212</v>
      </c>
      <c r="F1640" t="s">
        <v>1234</v>
      </c>
    </row>
    <row r="1641" spans="1:6" x14ac:dyDescent="0.55000000000000004">
      <c r="A1641" s="6">
        <v>1.421415178824958E+19</v>
      </c>
      <c r="B1641">
        <v>4</v>
      </c>
      <c r="C1641">
        <v>2</v>
      </c>
      <c r="D1641">
        <v>2</v>
      </c>
      <c r="E1641">
        <v>422</v>
      </c>
      <c r="F1641" t="s">
        <v>1229</v>
      </c>
    </row>
    <row r="1642" spans="1:6" x14ac:dyDescent="0.55000000000000004">
      <c r="A1642" s="6">
        <v>1.4216710582739651E+19</v>
      </c>
      <c r="B1642">
        <v>3</v>
      </c>
      <c r="C1642">
        <v>1</v>
      </c>
      <c r="D1642">
        <v>2</v>
      </c>
      <c r="E1642">
        <v>312</v>
      </c>
      <c r="F1642" t="s">
        <v>1233</v>
      </c>
    </row>
    <row r="1643" spans="1:6" x14ac:dyDescent="0.55000000000000004">
      <c r="A1643" s="6">
        <v>1.422979730041292E+19</v>
      </c>
      <c r="B1643">
        <v>4</v>
      </c>
      <c r="C1643">
        <v>1</v>
      </c>
      <c r="D1643">
        <v>1</v>
      </c>
      <c r="E1643">
        <v>411</v>
      </c>
      <c r="F1643" t="s">
        <v>1233</v>
      </c>
    </row>
    <row r="1644" spans="1:6" x14ac:dyDescent="0.55000000000000004">
      <c r="A1644" s="6">
        <v>1.4240848945748619E+19</v>
      </c>
      <c r="B1644">
        <v>2</v>
      </c>
      <c r="C1644">
        <v>1</v>
      </c>
      <c r="D1644">
        <v>1</v>
      </c>
      <c r="E1644">
        <v>211</v>
      </c>
      <c r="F1644" t="s">
        <v>1234</v>
      </c>
    </row>
    <row r="1645" spans="1:6" x14ac:dyDescent="0.55000000000000004">
      <c r="A1645" s="6">
        <v>1.4248678608133429E+19</v>
      </c>
      <c r="B1645">
        <v>5</v>
      </c>
      <c r="C1645">
        <v>1</v>
      </c>
      <c r="D1645">
        <v>2</v>
      </c>
      <c r="E1645">
        <v>512</v>
      </c>
      <c r="F1645" t="s">
        <v>1228</v>
      </c>
    </row>
    <row r="1646" spans="1:6" x14ac:dyDescent="0.55000000000000004">
      <c r="A1646" s="6">
        <v>1.4262226225398641E+19</v>
      </c>
      <c r="B1646">
        <v>1</v>
      </c>
      <c r="C1646">
        <v>1</v>
      </c>
      <c r="D1646">
        <v>3</v>
      </c>
      <c r="E1646">
        <v>113</v>
      </c>
      <c r="F1646" t="s">
        <v>1234</v>
      </c>
    </row>
    <row r="1647" spans="1:6" x14ac:dyDescent="0.55000000000000004">
      <c r="A1647" s="6">
        <v>1.4270329956896489E+19</v>
      </c>
      <c r="B1647">
        <v>5</v>
      </c>
      <c r="C1647">
        <v>1</v>
      </c>
      <c r="D1647">
        <v>2</v>
      </c>
      <c r="E1647">
        <v>512</v>
      </c>
      <c r="F1647" t="s">
        <v>1228</v>
      </c>
    </row>
    <row r="1648" spans="1:6" x14ac:dyDescent="0.55000000000000004">
      <c r="A1648" s="6">
        <v>1.427428106630083E+19</v>
      </c>
      <c r="B1648">
        <v>3</v>
      </c>
      <c r="C1648">
        <v>1</v>
      </c>
      <c r="D1648">
        <v>3</v>
      </c>
      <c r="E1648">
        <v>313</v>
      </c>
      <c r="F1648" t="s">
        <v>1233</v>
      </c>
    </row>
    <row r="1649" spans="1:6" x14ac:dyDescent="0.55000000000000004">
      <c r="A1649" s="6">
        <v>1.4281018237799711E+19</v>
      </c>
      <c r="B1649">
        <v>3</v>
      </c>
      <c r="C1649">
        <v>1</v>
      </c>
      <c r="D1649">
        <v>2</v>
      </c>
      <c r="E1649">
        <v>312</v>
      </c>
      <c r="F1649" t="s">
        <v>1233</v>
      </c>
    </row>
    <row r="1650" spans="1:6" x14ac:dyDescent="0.55000000000000004">
      <c r="A1650" s="6">
        <v>1.4292414189915501E+19</v>
      </c>
      <c r="B1650">
        <v>5</v>
      </c>
      <c r="C1650">
        <v>2</v>
      </c>
      <c r="D1650">
        <v>2</v>
      </c>
      <c r="E1650">
        <v>522</v>
      </c>
      <c r="F1650" t="s">
        <v>1229</v>
      </c>
    </row>
    <row r="1651" spans="1:6" x14ac:dyDescent="0.55000000000000004">
      <c r="A1651" s="6">
        <v>1.429900781615487E+19</v>
      </c>
      <c r="B1651">
        <v>1</v>
      </c>
      <c r="C1651">
        <v>1</v>
      </c>
      <c r="D1651">
        <v>1</v>
      </c>
      <c r="E1651">
        <v>111</v>
      </c>
      <c r="F1651" t="s">
        <v>1234</v>
      </c>
    </row>
    <row r="1652" spans="1:6" x14ac:dyDescent="0.55000000000000004">
      <c r="A1652" s="6">
        <v>1.430055800755106E+19</v>
      </c>
      <c r="B1652">
        <v>5</v>
      </c>
      <c r="C1652">
        <v>1</v>
      </c>
      <c r="D1652">
        <v>2</v>
      </c>
      <c r="E1652">
        <v>512</v>
      </c>
      <c r="F1652" t="s">
        <v>1228</v>
      </c>
    </row>
    <row r="1653" spans="1:6" x14ac:dyDescent="0.55000000000000004">
      <c r="A1653" s="6">
        <v>1.430480357151803E+19</v>
      </c>
      <c r="B1653">
        <v>3</v>
      </c>
      <c r="C1653">
        <v>1</v>
      </c>
      <c r="D1653">
        <v>1</v>
      </c>
      <c r="E1653">
        <v>311</v>
      </c>
      <c r="F1653" t="s">
        <v>1233</v>
      </c>
    </row>
    <row r="1654" spans="1:6" x14ac:dyDescent="0.55000000000000004">
      <c r="A1654" s="6">
        <v>1.4310111291417111E+19</v>
      </c>
      <c r="B1654">
        <v>4</v>
      </c>
      <c r="C1654">
        <v>1</v>
      </c>
      <c r="D1654">
        <v>1</v>
      </c>
      <c r="E1654">
        <v>411</v>
      </c>
      <c r="F1654" t="s">
        <v>1233</v>
      </c>
    </row>
    <row r="1655" spans="1:6" x14ac:dyDescent="0.55000000000000004">
      <c r="A1655" s="6">
        <v>1.4311714084248011E+19</v>
      </c>
      <c r="B1655">
        <v>4</v>
      </c>
      <c r="C1655">
        <v>2</v>
      </c>
      <c r="D1655">
        <v>3</v>
      </c>
      <c r="E1655">
        <v>423</v>
      </c>
      <c r="F1655" t="s">
        <v>1229</v>
      </c>
    </row>
    <row r="1656" spans="1:6" x14ac:dyDescent="0.55000000000000004">
      <c r="A1656" s="6">
        <v>1.4316968399317361E+19</v>
      </c>
      <c r="B1656">
        <v>5</v>
      </c>
      <c r="C1656">
        <v>2</v>
      </c>
      <c r="D1656">
        <v>3</v>
      </c>
      <c r="E1656">
        <v>523</v>
      </c>
      <c r="F1656" t="s">
        <v>1229</v>
      </c>
    </row>
    <row r="1657" spans="1:6" x14ac:dyDescent="0.55000000000000004">
      <c r="A1657" s="6">
        <v>1.432914045526222E+19</v>
      </c>
      <c r="B1657">
        <v>5</v>
      </c>
      <c r="C1657">
        <v>1</v>
      </c>
      <c r="D1657">
        <v>3</v>
      </c>
      <c r="E1657">
        <v>513</v>
      </c>
      <c r="F1657" t="s">
        <v>1228</v>
      </c>
    </row>
    <row r="1658" spans="1:6" x14ac:dyDescent="0.55000000000000004">
      <c r="A1658" s="6">
        <v>1.4349572201562089E+19</v>
      </c>
      <c r="B1658">
        <v>5</v>
      </c>
      <c r="C1658">
        <v>1</v>
      </c>
      <c r="D1658">
        <v>3</v>
      </c>
      <c r="E1658">
        <v>513</v>
      </c>
      <c r="F1658" t="s">
        <v>1228</v>
      </c>
    </row>
    <row r="1659" spans="1:6" x14ac:dyDescent="0.55000000000000004">
      <c r="A1659" s="6">
        <v>1.4358514523277611E+19</v>
      </c>
      <c r="B1659">
        <v>4</v>
      </c>
      <c r="C1659">
        <v>2</v>
      </c>
      <c r="D1659">
        <v>2</v>
      </c>
      <c r="E1659">
        <v>422</v>
      </c>
      <c r="F1659" t="s">
        <v>1229</v>
      </c>
    </row>
    <row r="1660" spans="1:6" x14ac:dyDescent="0.55000000000000004">
      <c r="A1660" s="6">
        <v>1.436989293562307E+19</v>
      </c>
      <c r="B1660">
        <v>4</v>
      </c>
      <c r="C1660">
        <v>1</v>
      </c>
      <c r="D1660">
        <v>1</v>
      </c>
      <c r="E1660">
        <v>411</v>
      </c>
      <c r="F1660" t="s">
        <v>1233</v>
      </c>
    </row>
    <row r="1661" spans="1:6" x14ac:dyDescent="0.55000000000000004">
      <c r="A1661" s="6">
        <v>1.4375762660099E+19</v>
      </c>
      <c r="B1661">
        <v>5</v>
      </c>
      <c r="C1661">
        <v>2</v>
      </c>
      <c r="D1661">
        <v>3</v>
      </c>
      <c r="E1661">
        <v>523</v>
      </c>
      <c r="F1661" t="s">
        <v>1229</v>
      </c>
    </row>
    <row r="1662" spans="1:6" x14ac:dyDescent="0.55000000000000004">
      <c r="A1662" s="6">
        <v>1.4379473002426651E+19</v>
      </c>
      <c r="B1662">
        <v>4</v>
      </c>
      <c r="C1662">
        <v>2</v>
      </c>
      <c r="D1662">
        <v>1</v>
      </c>
      <c r="E1662">
        <v>421</v>
      </c>
      <c r="F1662" t="s">
        <v>1229</v>
      </c>
    </row>
    <row r="1663" spans="1:6" x14ac:dyDescent="0.55000000000000004">
      <c r="A1663" s="6">
        <v>1.4384908371794829E+19</v>
      </c>
      <c r="B1663">
        <v>3</v>
      </c>
      <c r="C1663">
        <v>1</v>
      </c>
      <c r="D1663">
        <v>3</v>
      </c>
      <c r="E1663">
        <v>313</v>
      </c>
      <c r="F1663" t="s">
        <v>1233</v>
      </c>
    </row>
    <row r="1664" spans="1:6" x14ac:dyDescent="0.55000000000000004">
      <c r="A1664" s="6">
        <v>1.4386736385218251E+19</v>
      </c>
      <c r="B1664">
        <v>5</v>
      </c>
      <c r="C1664">
        <v>1</v>
      </c>
      <c r="D1664">
        <v>2</v>
      </c>
      <c r="E1664">
        <v>512</v>
      </c>
      <c r="F1664" t="s">
        <v>1228</v>
      </c>
    </row>
    <row r="1665" spans="1:6" x14ac:dyDescent="0.55000000000000004">
      <c r="A1665" s="6">
        <v>1.438948701201042E+19</v>
      </c>
      <c r="B1665">
        <v>5</v>
      </c>
      <c r="C1665">
        <v>2</v>
      </c>
      <c r="D1665">
        <v>3</v>
      </c>
      <c r="E1665">
        <v>523</v>
      </c>
      <c r="F1665" t="s">
        <v>1229</v>
      </c>
    </row>
    <row r="1666" spans="1:6" x14ac:dyDescent="0.55000000000000004">
      <c r="A1666" s="6">
        <v>1.4395855074982529E+19</v>
      </c>
      <c r="B1666">
        <v>2</v>
      </c>
      <c r="C1666">
        <v>2</v>
      </c>
      <c r="D1666">
        <v>2</v>
      </c>
      <c r="E1666">
        <v>222</v>
      </c>
      <c r="F1666" t="s">
        <v>1234</v>
      </c>
    </row>
    <row r="1667" spans="1:6" x14ac:dyDescent="0.55000000000000004">
      <c r="A1667" s="6">
        <v>1.4399118701500129E+19</v>
      </c>
      <c r="B1667">
        <v>2</v>
      </c>
      <c r="C1667">
        <v>1</v>
      </c>
      <c r="D1667">
        <v>2</v>
      </c>
      <c r="E1667">
        <v>212</v>
      </c>
      <c r="F1667" t="s">
        <v>1234</v>
      </c>
    </row>
    <row r="1668" spans="1:6" x14ac:dyDescent="0.55000000000000004">
      <c r="A1668" s="6">
        <v>1.439986715900904E+19</v>
      </c>
      <c r="B1668">
        <v>2</v>
      </c>
      <c r="C1668">
        <v>1</v>
      </c>
      <c r="D1668">
        <v>1</v>
      </c>
      <c r="E1668">
        <v>211</v>
      </c>
      <c r="F1668" t="s">
        <v>1234</v>
      </c>
    </row>
    <row r="1669" spans="1:6" x14ac:dyDescent="0.55000000000000004">
      <c r="A1669" s="6">
        <v>1.440147008569516E+19</v>
      </c>
      <c r="B1669">
        <v>5</v>
      </c>
      <c r="C1669">
        <v>1</v>
      </c>
      <c r="D1669">
        <v>3</v>
      </c>
      <c r="E1669">
        <v>513</v>
      </c>
      <c r="F1669" t="s">
        <v>1228</v>
      </c>
    </row>
    <row r="1670" spans="1:6" x14ac:dyDescent="0.55000000000000004">
      <c r="A1670" s="6">
        <v>1.4416220990461239E+19</v>
      </c>
      <c r="B1670">
        <v>4</v>
      </c>
      <c r="C1670">
        <v>1</v>
      </c>
      <c r="D1670">
        <v>1</v>
      </c>
      <c r="E1670">
        <v>411</v>
      </c>
      <c r="F1670" t="s">
        <v>1233</v>
      </c>
    </row>
    <row r="1671" spans="1:6" x14ac:dyDescent="0.55000000000000004">
      <c r="A1671" s="6">
        <v>1.442481422655403E+19</v>
      </c>
      <c r="B1671">
        <v>5</v>
      </c>
      <c r="C1671">
        <v>1</v>
      </c>
      <c r="D1671">
        <v>2</v>
      </c>
      <c r="E1671">
        <v>512</v>
      </c>
      <c r="F1671" t="s">
        <v>1228</v>
      </c>
    </row>
    <row r="1672" spans="1:6" x14ac:dyDescent="0.55000000000000004">
      <c r="A1672" s="6">
        <v>1.4430650406078761E+19</v>
      </c>
      <c r="B1672">
        <v>3</v>
      </c>
      <c r="C1672">
        <v>1</v>
      </c>
      <c r="D1672">
        <v>2</v>
      </c>
      <c r="E1672">
        <v>312</v>
      </c>
      <c r="F1672" t="s">
        <v>1233</v>
      </c>
    </row>
    <row r="1673" spans="1:6" x14ac:dyDescent="0.55000000000000004">
      <c r="A1673" s="6">
        <v>1.4456830229592809E+19</v>
      </c>
      <c r="B1673">
        <v>3</v>
      </c>
      <c r="C1673">
        <v>2</v>
      </c>
      <c r="D1673">
        <v>2</v>
      </c>
      <c r="E1673">
        <v>322</v>
      </c>
      <c r="F1673" t="s">
        <v>1233</v>
      </c>
    </row>
    <row r="1674" spans="1:6" x14ac:dyDescent="0.55000000000000004">
      <c r="A1674" s="6">
        <v>1.448136352667314E+19</v>
      </c>
      <c r="B1674">
        <v>4</v>
      </c>
      <c r="C1674">
        <v>1</v>
      </c>
      <c r="D1674">
        <v>2</v>
      </c>
      <c r="E1674">
        <v>412</v>
      </c>
      <c r="F1674" t="s">
        <v>1233</v>
      </c>
    </row>
    <row r="1675" spans="1:6" x14ac:dyDescent="0.55000000000000004">
      <c r="A1675" s="6">
        <v>1.448205111638603E+19</v>
      </c>
      <c r="B1675">
        <v>3</v>
      </c>
      <c r="C1675">
        <v>1</v>
      </c>
      <c r="D1675">
        <v>3</v>
      </c>
      <c r="E1675">
        <v>313</v>
      </c>
      <c r="F1675" t="s">
        <v>1233</v>
      </c>
    </row>
    <row r="1676" spans="1:6" x14ac:dyDescent="0.55000000000000004">
      <c r="A1676" s="6">
        <v>1.4494315031265849E+19</v>
      </c>
      <c r="B1676">
        <v>3</v>
      </c>
      <c r="C1676">
        <v>1</v>
      </c>
      <c r="D1676">
        <v>3</v>
      </c>
      <c r="E1676">
        <v>313</v>
      </c>
      <c r="F1676" t="s">
        <v>1233</v>
      </c>
    </row>
    <row r="1677" spans="1:6" x14ac:dyDescent="0.55000000000000004">
      <c r="A1677" s="6">
        <v>1.44972330194276E+19</v>
      </c>
      <c r="B1677">
        <v>5</v>
      </c>
      <c r="C1677">
        <v>1</v>
      </c>
      <c r="D1677">
        <v>3</v>
      </c>
      <c r="E1677">
        <v>513</v>
      </c>
      <c r="F1677" t="s">
        <v>1228</v>
      </c>
    </row>
    <row r="1678" spans="1:6" x14ac:dyDescent="0.55000000000000004">
      <c r="A1678" s="6">
        <v>1.4503463643584E+19</v>
      </c>
      <c r="B1678">
        <v>2</v>
      </c>
      <c r="C1678">
        <v>1</v>
      </c>
      <c r="D1678">
        <v>1</v>
      </c>
      <c r="E1678">
        <v>211</v>
      </c>
      <c r="F1678" t="s">
        <v>1234</v>
      </c>
    </row>
    <row r="1679" spans="1:6" x14ac:dyDescent="0.55000000000000004">
      <c r="A1679" s="6">
        <v>1.4504158525317599E+19</v>
      </c>
      <c r="B1679">
        <v>4</v>
      </c>
      <c r="C1679">
        <v>1</v>
      </c>
      <c r="D1679">
        <v>3</v>
      </c>
      <c r="E1679">
        <v>413</v>
      </c>
      <c r="F1679" t="s">
        <v>1233</v>
      </c>
    </row>
    <row r="1680" spans="1:6" x14ac:dyDescent="0.55000000000000004">
      <c r="A1680" s="6">
        <v>1.4508580946377179E+19</v>
      </c>
      <c r="B1680">
        <v>5</v>
      </c>
      <c r="C1680">
        <v>1</v>
      </c>
      <c r="D1680">
        <v>2</v>
      </c>
      <c r="E1680">
        <v>512</v>
      </c>
      <c r="F1680" t="s">
        <v>1228</v>
      </c>
    </row>
    <row r="1681" spans="1:6" x14ac:dyDescent="0.55000000000000004">
      <c r="A1681" s="6">
        <v>1.4510001291487109E+19</v>
      </c>
      <c r="B1681">
        <v>4</v>
      </c>
      <c r="C1681">
        <v>3</v>
      </c>
      <c r="D1681">
        <v>3</v>
      </c>
      <c r="E1681">
        <v>433</v>
      </c>
      <c r="F1681" t="s">
        <v>1230</v>
      </c>
    </row>
    <row r="1682" spans="1:6" x14ac:dyDescent="0.55000000000000004">
      <c r="A1682" s="6">
        <v>1.4517213028611961E+19</v>
      </c>
      <c r="B1682">
        <v>4</v>
      </c>
      <c r="C1682">
        <v>1</v>
      </c>
      <c r="D1682">
        <v>1</v>
      </c>
      <c r="E1682">
        <v>411</v>
      </c>
      <c r="F1682" t="s">
        <v>1233</v>
      </c>
    </row>
    <row r="1683" spans="1:6" x14ac:dyDescent="0.55000000000000004">
      <c r="A1683" s="6">
        <v>1.4521807807988369E+19</v>
      </c>
      <c r="B1683">
        <v>5</v>
      </c>
      <c r="C1683">
        <v>1</v>
      </c>
      <c r="D1683">
        <v>3</v>
      </c>
      <c r="E1683">
        <v>513</v>
      </c>
      <c r="F1683" t="s">
        <v>1228</v>
      </c>
    </row>
    <row r="1684" spans="1:6" x14ac:dyDescent="0.55000000000000004">
      <c r="A1684" s="6">
        <v>1.4525817385845809E+19</v>
      </c>
      <c r="B1684">
        <v>5</v>
      </c>
      <c r="C1684">
        <v>2</v>
      </c>
      <c r="D1684">
        <v>1</v>
      </c>
      <c r="E1684">
        <v>521</v>
      </c>
      <c r="F1684" t="s">
        <v>1229</v>
      </c>
    </row>
    <row r="1685" spans="1:6" x14ac:dyDescent="0.55000000000000004">
      <c r="A1685" s="6">
        <v>1.4545690347344841E+19</v>
      </c>
      <c r="B1685">
        <v>5</v>
      </c>
      <c r="C1685">
        <v>2</v>
      </c>
      <c r="D1685">
        <v>2</v>
      </c>
      <c r="E1685">
        <v>522</v>
      </c>
      <c r="F1685" t="s">
        <v>1229</v>
      </c>
    </row>
    <row r="1686" spans="1:6" x14ac:dyDescent="0.55000000000000004">
      <c r="A1686" s="6">
        <v>1.455987265867716E+19</v>
      </c>
      <c r="B1686">
        <v>3</v>
      </c>
      <c r="C1686">
        <v>1</v>
      </c>
      <c r="D1686">
        <v>3</v>
      </c>
      <c r="E1686">
        <v>313</v>
      </c>
      <c r="F1686" t="s">
        <v>1233</v>
      </c>
    </row>
    <row r="1687" spans="1:6" x14ac:dyDescent="0.55000000000000004">
      <c r="A1687" s="6">
        <v>1.4569383947858901E+19</v>
      </c>
      <c r="B1687">
        <v>3</v>
      </c>
      <c r="C1687">
        <v>1</v>
      </c>
      <c r="D1687">
        <v>1</v>
      </c>
      <c r="E1687">
        <v>311</v>
      </c>
      <c r="F1687" t="s">
        <v>1233</v>
      </c>
    </row>
    <row r="1688" spans="1:6" x14ac:dyDescent="0.55000000000000004">
      <c r="A1688" s="6">
        <v>1.457219832459044E+19</v>
      </c>
      <c r="B1688">
        <v>3</v>
      </c>
      <c r="C1688">
        <v>2</v>
      </c>
      <c r="D1688">
        <v>3</v>
      </c>
      <c r="E1688">
        <v>323</v>
      </c>
      <c r="F1688" t="s">
        <v>1233</v>
      </c>
    </row>
    <row r="1689" spans="1:6" x14ac:dyDescent="0.55000000000000004">
      <c r="A1689" s="6">
        <v>1.4589760455791749E+19</v>
      </c>
      <c r="B1689">
        <v>3</v>
      </c>
      <c r="C1689">
        <v>1</v>
      </c>
      <c r="D1689">
        <v>2</v>
      </c>
      <c r="E1689">
        <v>312</v>
      </c>
      <c r="F1689" t="s">
        <v>1233</v>
      </c>
    </row>
    <row r="1690" spans="1:6" x14ac:dyDescent="0.55000000000000004">
      <c r="A1690" s="6">
        <v>1.4605535743231601E+19</v>
      </c>
      <c r="B1690">
        <v>3</v>
      </c>
      <c r="C1690">
        <v>2</v>
      </c>
      <c r="D1690">
        <v>2</v>
      </c>
      <c r="E1690">
        <v>322</v>
      </c>
      <c r="F1690" t="s">
        <v>1233</v>
      </c>
    </row>
    <row r="1691" spans="1:6" x14ac:dyDescent="0.55000000000000004">
      <c r="A1691" s="6">
        <v>1.460620150996985E+19</v>
      </c>
      <c r="B1691">
        <v>3</v>
      </c>
      <c r="C1691">
        <v>2</v>
      </c>
      <c r="D1691">
        <v>3</v>
      </c>
      <c r="E1691">
        <v>323</v>
      </c>
      <c r="F1691" t="s">
        <v>1233</v>
      </c>
    </row>
    <row r="1692" spans="1:6" x14ac:dyDescent="0.55000000000000004">
      <c r="A1692" s="6">
        <v>1.461118260085745E+19</v>
      </c>
      <c r="B1692">
        <v>2</v>
      </c>
      <c r="C1692">
        <v>1</v>
      </c>
      <c r="D1692">
        <v>2</v>
      </c>
      <c r="E1692">
        <v>212</v>
      </c>
      <c r="F1692" t="s">
        <v>1234</v>
      </c>
    </row>
    <row r="1693" spans="1:6" x14ac:dyDescent="0.55000000000000004">
      <c r="A1693" s="6">
        <v>1.4613603978610659E+19</v>
      </c>
      <c r="B1693">
        <v>4</v>
      </c>
      <c r="C1693">
        <v>3</v>
      </c>
      <c r="D1693">
        <v>3</v>
      </c>
      <c r="E1693">
        <v>433</v>
      </c>
      <c r="F1693" t="s">
        <v>1230</v>
      </c>
    </row>
    <row r="1694" spans="1:6" x14ac:dyDescent="0.55000000000000004">
      <c r="A1694" s="6">
        <v>1.463134652866695E+19</v>
      </c>
      <c r="B1694">
        <v>5</v>
      </c>
      <c r="C1694">
        <v>1</v>
      </c>
      <c r="D1694">
        <v>2</v>
      </c>
      <c r="E1694">
        <v>512</v>
      </c>
      <c r="F1694" t="s">
        <v>1228</v>
      </c>
    </row>
    <row r="1695" spans="1:6" x14ac:dyDescent="0.55000000000000004">
      <c r="A1695" s="6">
        <v>1.468306835061665E+19</v>
      </c>
      <c r="B1695">
        <v>4</v>
      </c>
      <c r="C1695">
        <v>2</v>
      </c>
      <c r="D1695">
        <v>2</v>
      </c>
      <c r="E1695">
        <v>422</v>
      </c>
      <c r="F1695" t="s">
        <v>1229</v>
      </c>
    </row>
    <row r="1696" spans="1:6" x14ac:dyDescent="0.55000000000000004">
      <c r="A1696" s="6">
        <v>1.470200793210999E+19</v>
      </c>
      <c r="B1696">
        <v>3</v>
      </c>
      <c r="C1696">
        <v>1</v>
      </c>
      <c r="D1696">
        <v>1</v>
      </c>
      <c r="E1696">
        <v>311</v>
      </c>
      <c r="F1696" t="s">
        <v>1233</v>
      </c>
    </row>
    <row r="1697" spans="1:6" x14ac:dyDescent="0.55000000000000004">
      <c r="A1697" s="6">
        <v>1.4703058494907261E+19</v>
      </c>
      <c r="B1697">
        <v>5</v>
      </c>
      <c r="C1697">
        <v>1</v>
      </c>
      <c r="D1697">
        <v>1</v>
      </c>
      <c r="E1697">
        <v>511</v>
      </c>
      <c r="F1697" t="s">
        <v>1228</v>
      </c>
    </row>
    <row r="1698" spans="1:6" x14ac:dyDescent="0.55000000000000004">
      <c r="A1698" s="6">
        <v>1.4723412379073901E+19</v>
      </c>
      <c r="B1698">
        <v>5</v>
      </c>
      <c r="C1698">
        <v>2</v>
      </c>
      <c r="D1698">
        <v>2</v>
      </c>
      <c r="E1698">
        <v>522</v>
      </c>
      <c r="F1698" t="s">
        <v>1229</v>
      </c>
    </row>
    <row r="1699" spans="1:6" x14ac:dyDescent="0.55000000000000004">
      <c r="A1699" s="6">
        <v>1.472802365632863E+19</v>
      </c>
      <c r="B1699">
        <v>3</v>
      </c>
      <c r="C1699">
        <v>1</v>
      </c>
      <c r="D1699">
        <v>1</v>
      </c>
      <c r="E1699">
        <v>311</v>
      </c>
      <c r="F1699" t="s">
        <v>1233</v>
      </c>
    </row>
    <row r="1700" spans="1:6" x14ac:dyDescent="0.55000000000000004">
      <c r="A1700" s="6">
        <v>1.4729740907852411E+19</v>
      </c>
      <c r="B1700">
        <v>5</v>
      </c>
      <c r="C1700">
        <v>1</v>
      </c>
      <c r="D1700">
        <v>3</v>
      </c>
      <c r="E1700">
        <v>513</v>
      </c>
      <c r="F1700" t="s">
        <v>1228</v>
      </c>
    </row>
    <row r="1701" spans="1:6" x14ac:dyDescent="0.55000000000000004">
      <c r="A1701" s="6">
        <v>1.474417025059576E+19</v>
      </c>
      <c r="B1701">
        <v>2</v>
      </c>
      <c r="C1701">
        <v>1</v>
      </c>
      <c r="D1701">
        <v>1</v>
      </c>
      <c r="E1701">
        <v>211</v>
      </c>
      <c r="F1701" t="s">
        <v>1234</v>
      </c>
    </row>
    <row r="1702" spans="1:6" x14ac:dyDescent="0.55000000000000004">
      <c r="A1702" s="6">
        <v>1.476654758115046E+19</v>
      </c>
      <c r="B1702">
        <v>2</v>
      </c>
      <c r="C1702">
        <v>2</v>
      </c>
      <c r="D1702">
        <v>2</v>
      </c>
      <c r="E1702">
        <v>222</v>
      </c>
      <c r="F1702" t="s">
        <v>1234</v>
      </c>
    </row>
    <row r="1703" spans="1:6" x14ac:dyDescent="0.55000000000000004">
      <c r="A1703" s="6">
        <v>1.479239400317328E+19</v>
      </c>
      <c r="B1703">
        <v>5</v>
      </c>
      <c r="C1703">
        <v>1</v>
      </c>
      <c r="D1703">
        <v>3</v>
      </c>
      <c r="E1703">
        <v>513</v>
      </c>
      <c r="F1703" t="s">
        <v>1228</v>
      </c>
    </row>
    <row r="1704" spans="1:6" x14ac:dyDescent="0.55000000000000004">
      <c r="A1704" s="6">
        <v>1.479575150262513E+19</v>
      </c>
      <c r="B1704">
        <v>3</v>
      </c>
      <c r="C1704">
        <v>1</v>
      </c>
      <c r="D1704">
        <v>3</v>
      </c>
      <c r="E1704">
        <v>313</v>
      </c>
      <c r="F1704" t="s">
        <v>1233</v>
      </c>
    </row>
    <row r="1705" spans="1:6" x14ac:dyDescent="0.55000000000000004">
      <c r="A1705" s="6">
        <v>1.479679806587535E+19</v>
      </c>
      <c r="B1705">
        <v>3</v>
      </c>
      <c r="C1705">
        <v>2</v>
      </c>
      <c r="D1705">
        <v>3</v>
      </c>
      <c r="E1705">
        <v>323</v>
      </c>
      <c r="F1705" t="s">
        <v>1233</v>
      </c>
    </row>
    <row r="1706" spans="1:6" x14ac:dyDescent="0.55000000000000004">
      <c r="A1706" s="6">
        <v>1.4806822993018491E+19</v>
      </c>
      <c r="B1706">
        <v>5</v>
      </c>
      <c r="C1706">
        <v>1</v>
      </c>
      <c r="D1706">
        <v>2</v>
      </c>
      <c r="E1706">
        <v>512</v>
      </c>
      <c r="F1706" t="s">
        <v>1228</v>
      </c>
    </row>
    <row r="1707" spans="1:6" x14ac:dyDescent="0.55000000000000004">
      <c r="A1707" s="6">
        <v>1.481483603206348E+19</v>
      </c>
      <c r="B1707">
        <v>5</v>
      </c>
      <c r="C1707">
        <v>1</v>
      </c>
      <c r="D1707">
        <v>2</v>
      </c>
      <c r="E1707">
        <v>512</v>
      </c>
      <c r="F1707" t="s">
        <v>1228</v>
      </c>
    </row>
    <row r="1708" spans="1:6" x14ac:dyDescent="0.55000000000000004">
      <c r="A1708" s="6">
        <v>1.484602512822185E+19</v>
      </c>
      <c r="B1708">
        <v>4</v>
      </c>
      <c r="C1708">
        <v>1</v>
      </c>
      <c r="D1708">
        <v>2</v>
      </c>
      <c r="E1708">
        <v>412</v>
      </c>
      <c r="F1708" t="s">
        <v>1233</v>
      </c>
    </row>
    <row r="1709" spans="1:6" x14ac:dyDescent="0.55000000000000004">
      <c r="A1709" s="6">
        <v>1.484930902900709E+19</v>
      </c>
      <c r="B1709">
        <v>3</v>
      </c>
      <c r="C1709">
        <v>1</v>
      </c>
      <c r="D1709">
        <v>1</v>
      </c>
      <c r="E1709">
        <v>311</v>
      </c>
      <c r="F1709" t="s">
        <v>1233</v>
      </c>
    </row>
    <row r="1710" spans="1:6" x14ac:dyDescent="0.55000000000000004">
      <c r="A1710" s="6">
        <v>1.485106620758382E+19</v>
      </c>
      <c r="B1710">
        <v>2</v>
      </c>
      <c r="C1710">
        <v>1</v>
      </c>
      <c r="D1710">
        <v>2</v>
      </c>
      <c r="E1710">
        <v>212</v>
      </c>
      <c r="F1710" t="s">
        <v>1234</v>
      </c>
    </row>
    <row r="1711" spans="1:6" x14ac:dyDescent="0.55000000000000004">
      <c r="A1711" s="6">
        <v>1.4861461294758699E+19</v>
      </c>
      <c r="B1711">
        <v>3</v>
      </c>
      <c r="C1711">
        <v>2</v>
      </c>
      <c r="D1711">
        <v>3</v>
      </c>
      <c r="E1711">
        <v>323</v>
      </c>
      <c r="F1711" t="s">
        <v>1233</v>
      </c>
    </row>
    <row r="1712" spans="1:6" x14ac:dyDescent="0.55000000000000004">
      <c r="A1712" s="6">
        <v>1.486762239790227E+19</v>
      </c>
      <c r="B1712">
        <v>5</v>
      </c>
      <c r="C1712">
        <v>1</v>
      </c>
      <c r="D1712">
        <v>2</v>
      </c>
      <c r="E1712">
        <v>512</v>
      </c>
      <c r="F1712" t="s">
        <v>1228</v>
      </c>
    </row>
    <row r="1713" spans="1:6" x14ac:dyDescent="0.55000000000000004">
      <c r="A1713" s="6">
        <v>1.488874848366293E+19</v>
      </c>
      <c r="B1713">
        <v>4</v>
      </c>
      <c r="C1713">
        <v>1</v>
      </c>
      <c r="D1713">
        <v>1</v>
      </c>
      <c r="E1713">
        <v>411</v>
      </c>
      <c r="F1713" t="s">
        <v>1233</v>
      </c>
    </row>
    <row r="1714" spans="1:6" x14ac:dyDescent="0.55000000000000004">
      <c r="A1714" s="6">
        <v>1.492838032545466E+19</v>
      </c>
      <c r="B1714">
        <v>4</v>
      </c>
      <c r="C1714">
        <v>1</v>
      </c>
      <c r="D1714">
        <v>1</v>
      </c>
      <c r="E1714">
        <v>411</v>
      </c>
      <c r="F1714" t="s">
        <v>1233</v>
      </c>
    </row>
    <row r="1715" spans="1:6" x14ac:dyDescent="0.55000000000000004">
      <c r="A1715" s="6">
        <v>1.493495880360328E+19</v>
      </c>
      <c r="B1715">
        <v>1</v>
      </c>
      <c r="C1715">
        <v>1</v>
      </c>
      <c r="D1715">
        <v>1</v>
      </c>
      <c r="E1715">
        <v>111</v>
      </c>
      <c r="F1715" t="s">
        <v>1234</v>
      </c>
    </row>
    <row r="1716" spans="1:6" x14ac:dyDescent="0.55000000000000004">
      <c r="A1716" s="6">
        <v>1.4935171356186991E+19</v>
      </c>
      <c r="B1716">
        <v>5</v>
      </c>
      <c r="C1716">
        <v>2</v>
      </c>
      <c r="D1716">
        <v>3</v>
      </c>
      <c r="E1716">
        <v>523</v>
      </c>
      <c r="F1716" t="s">
        <v>1229</v>
      </c>
    </row>
    <row r="1717" spans="1:6" x14ac:dyDescent="0.55000000000000004">
      <c r="A1717" s="6">
        <v>1.4936326659362959E+19</v>
      </c>
      <c r="B1717">
        <v>5</v>
      </c>
      <c r="C1717">
        <v>2</v>
      </c>
      <c r="D1717">
        <v>3</v>
      </c>
      <c r="E1717">
        <v>523</v>
      </c>
      <c r="F1717" t="s">
        <v>1229</v>
      </c>
    </row>
    <row r="1718" spans="1:6" x14ac:dyDescent="0.55000000000000004">
      <c r="A1718" s="6">
        <v>1.4940908673437481E+19</v>
      </c>
      <c r="B1718">
        <v>5</v>
      </c>
      <c r="C1718">
        <v>1</v>
      </c>
      <c r="D1718">
        <v>3</v>
      </c>
      <c r="E1718">
        <v>513</v>
      </c>
      <c r="F1718" t="s">
        <v>1228</v>
      </c>
    </row>
    <row r="1719" spans="1:6" x14ac:dyDescent="0.55000000000000004">
      <c r="A1719" s="6">
        <v>1.494118160307739E+19</v>
      </c>
      <c r="B1719">
        <v>5</v>
      </c>
      <c r="C1719">
        <v>2</v>
      </c>
      <c r="D1719">
        <v>3</v>
      </c>
      <c r="E1719">
        <v>523</v>
      </c>
      <c r="F1719" t="s">
        <v>1229</v>
      </c>
    </row>
    <row r="1720" spans="1:6" x14ac:dyDescent="0.55000000000000004">
      <c r="A1720" s="6">
        <v>1.4951728837891899E+19</v>
      </c>
      <c r="B1720">
        <v>4</v>
      </c>
      <c r="C1720">
        <v>1</v>
      </c>
      <c r="D1720">
        <v>1</v>
      </c>
      <c r="E1720">
        <v>411</v>
      </c>
      <c r="F1720" t="s">
        <v>1233</v>
      </c>
    </row>
    <row r="1721" spans="1:6" x14ac:dyDescent="0.55000000000000004">
      <c r="A1721" s="6">
        <v>1.495837480485929E+19</v>
      </c>
      <c r="B1721">
        <v>5</v>
      </c>
      <c r="C1721">
        <v>1</v>
      </c>
      <c r="D1721">
        <v>3</v>
      </c>
      <c r="E1721">
        <v>513</v>
      </c>
      <c r="F1721" t="s">
        <v>1228</v>
      </c>
    </row>
    <row r="1722" spans="1:6" x14ac:dyDescent="0.55000000000000004">
      <c r="A1722" s="6">
        <v>1.495907029826509E+19</v>
      </c>
      <c r="B1722">
        <v>5</v>
      </c>
      <c r="C1722">
        <v>2</v>
      </c>
      <c r="D1722">
        <v>3</v>
      </c>
      <c r="E1722">
        <v>523</v>
      </c>
      <c r="F1722" t="s">
        <v>1229</v>
      </c>
    </row>
    <row r="1723" spans="1:6" x14ac:dyDescent="0.55000000000000004">
      <c r="A1723" s="6">
        <v>1.49593763185252E+19</v>
      </c>
      <c r="B1723">
        <v>3</v>
      </c>
      <c r="C1723">
        <v>2</v>
      </c>
      <c r="D1723">
        <v>2</v>
      </c>
      <c r="E1723">
        <v>322</v>
      </c>
      <c r="F1723" t="s">
        <v>1233</v>
      </c>
    </row>
    <row r="1724" spans="1:6" x14ac:dyDescent="0.55000000000000004">
      <c r="A1724" s="6">
        <v>1.495961101144532E+19</v>
      </c>
      <c r="B1724">
        <v>5</v>
      </c>
      <c r="C1724">
        <v>2</v>
      </c>
      <c r="D1724">
        <v>3</v>
      </c>
      <c r="E1724">
        <v>523</v>
      </c>
      <c r="F1724" t="s">
        <v>1229</v>
      </c>
    </row>
    <row r="1725" spans="1:6" x14ac:dyDescent="0.55000000000000004">
      <c r="A1725" s="6">
        <v>1.4961346208182901E+19</v>
      </c>
      <c r="B1725">
        <v>5</v>
      </c>
      <c r="C1725">
        <v>3</v>
      </c>
      <c r="D1725">
        <v>3</v>
      </c>
      <c r="E1725">
        <v>533</v>
      </c>
      <c r="F1725" t="s">
        <v>1230</v>
      </c>
    </row>
    <row r="1726" spans="1:6" x14ac:dyDescent="0.55000000000000004">
      <c r="A1726" s="6">
        <v>1.496262353610864E+19</v>
      </c>
      <c r="B1726">
        <v>1</v>
      </c>
      <c r="C1726">
        <v>1</v>
      </c>
      <c r="D1726">
        <v>2</v>
      </c>
      <c r="E1726">
        <v>112</v>
      </c>
      <c r="F1726" t="s">
        <v>1234</v>
      </c>
    </row>
    <row r="1727" spans="1:6" x14ac:dyDescent="0.55000000000000004">
      <c r="A1727" s="6">
        <v>1.496928590559763E+19</v>
      </c>
      <c r="B1727">
        <v>5</v>
      </c>
      <c r="C1727">
        <v>3</v>
      </c>
      <c r="D1727">
        <v>3</v>
      </c>
      <c r="E1727">
        <v>533</v>
      </c>
      <c r="F1727" t="s">
        <v>1230</v>
      </c>
    </row>
    <row r="1728" spans="1:6" x14ac:dyDescent="0.55000000000000004">
      <c r="A1728" s="6">
        <v>1.4979851670315909E+19</v>
      </c>
      <c r="B1728">
        <v>4</v>
      </c>
      <c r="C1728">
        <v>1</v>
      </c>
      <c r="D1728">
        <v>1</v>
      </c>
      <c r="E1728">
        <v>411</v>
      </c>
      <c r="F1728" t="s">
        <v>1233</v>
      </c>
    </row>
    <row r="1729" spans="1:6" x14ac:dyDescent="0.55000000000000004">
      <c r="A1729" s="6">
        <v>1.498780301633416E+19</v>
      </c>
      <c r="B1729">
        <v>5</v>
      </c>
      <c r="C1729">
        <v>1</v>
      </c>
      <c r="D1729">
        <v>2</v>
      </c>
      <c r="E1729">
        <v>512</v>
      </c>
      <c r="F1729" t="s">
        <v>1228</v>
      </c>
    </row>
    <row r="1730" spans="1:6" x14ac:dyDescent="0.55000000000000004">
      <c r="A1730" s="6">
        <v>1.4996253730294829E+19</v>
      </c>
      <c r="B1730">
        <v>4</v>
      </c>
      <c r="C1730">
        <v>1</v>
      </c>
      <c r="D1730">
        <v>3</v>
      </c>
      <c r="E1730">
        <v>413</v>
      </c>
      <c r="F1730" t="s">
        <v>1233</v>
      </c>
    </row>
    <row r="1731" spans="1:6" x14ac:dyDescent="0.55000000000000004">
      <c r="A1731" s="6">
        <v>1.499652581721549E+19</v>
      </c>
      <c r="B1731">
        <v>5</v>
      </c>
      <c r="C1731">
        <v>2</v>
      </c>
      <c r="D1731">
        <v>2</v>
      </c>
      <c r="E1731">
        <v>522</v>
      </c>
      <c r="F1731" t="s">
        <v>1229</v>
      </c>
    </row>
    <row r="1732" spans="1:6" x14ac:dyDescent="0.55000000000000004">
      <c r="A1732" s="6">
        <v>1.5017793853101789E+19</v>
      </c>
      <c r="B1732">
        <v>4</v>
      </c>
      <c r="C1732">
        <v>2</v>
      </c>
      <c r="D1732">
        <v>2</v>
      </c>
      <c r="E1732">
        <v>422</v>
      </c>
      <c r="F1732" t="s">
        <v>1229</v>
      </c>
    </row>
    <row r="1733" spans="1:6" x14ac:dyDescent="0.55000000000000004">
      <c r="A1733" s="6">
        <v>1.502500369017592E+19</v>
      </c>
      <c r="B1733">
        <v>3</v>
      </c>
      <c r="C1733">
        <v>2</v>
      </c>
      <c r="D1733">
        <v>2</v>
      </c>
      <c r="E1733">
        <v>322</v>
      </c>
      <c r="F1733" t="s">
        <v>1233</v>
      </c>
    </row>
    <row r="1734" spans="1:6" x14ac:dyDescent="0.55000000000000004">
      <c r="A1734" s="6">
        <v>1.5032394334348169E+19</v>
      </c>
      <c r="B1734">
        <v>5</v>
      </c>
      <c r="C1734">
        <v>1</v>
      </c>
      <c r="D1734">
        <v>1</v>
      </c>
      <c r="E1734">
        <v>511</v>
      </c>
      <c r="F1734" t="s">
        <v>1228</v>
      </c>
    </row>
    <row r="1735" spans="1:6" x14ac:dyDescent="0.55000000000000004">
      <c r="A1735" s="6">
        <v>1.505177459298766E+19</v>
      </c>
      <c r="B1735">
        <v>5</v>
      </c>
      <c r="C1735">
        <v>1</v>
      </c>
      <c r="D1735">
        <v>3</v>
      </c>
      <c r="E1735">
        <v>513</v>
      </c>
      <c r="F1735" t="s">
        <v>1228</v>
      </c>
    </row>
    <row r="1736" spans="1:6" x14ac:dyDescent="0.55000000000000004">
      <c r="A1736" s="6">
        <v>1.5067970773666001E+19</v>
      </c>
      <c r="B1736">
        <v>5</v>
      </c>
      <c r="C1736">
        <v>1</v>
      </c>
      <c r="D1736">
        <v>1</v>
      </c>
      <c r="E1736">
        <v>511</v>
      </c>
      <c r="F1736" t="s">
        <v>1228</v>
      </c>
    </row>
    <row r="1737" spans="1:6" x14ac:dyDescent="0.55000000000000004">
      <c r="A1737" s="6">
        <v>1.5068632717000239E+19</v>
      </c>
      <c r="B1737">
        <v>2</v>
      </c>
      <c r="C1737">
        <v>1</v>
      </c>
      <c r="D1737">
        <v>1</v>
      </c>
      <c r="E1737">
        <v>211</v>
      </c>
      <c r="F1737" t="s">
        <v>1234</v>
      </c>
    </row>
    <row r="1738" spans="1:6" x14ac:dyDescent="0.55000000000000004">
      <c r="A1738" s="6">
        <v>1.507061326898792E+19</v>
      </c>
      <c r="B1738">
        <v>3</v>
      </c>
      <c r="C1738">
        <v>1</v>
      </c>
      <c r="D1738">
        <v>1</v>
      </c>
      <c r="E1738">
        <v>311</v>
      </c>
      <c r="F1738" t="s">
        <v>1233</v>
      </c>
    </row>
    <row r="1739" spans="1:6" x14ac:dyDescent="0.55000000000000004">
      <c r="A1739" s="6">
        <v>1.50720038142017E+19</v>
      </c>
      <c r="B1739">
        <v>2</v>
      </c>
      <c r="C1739">
        <v>1</v>
      </c>
      <c r="D1739">
        <v>3</v>
      </c>
      <c r="E1739">
        <v>213</v>
      </c>
      <c r="F1739" t="s">
        <v>1234</v>
      </c>
    </row>
    <row r="1740" spans="1:6" x14ac:dyDescent="0.55000000000000004">
      <c r="A1740" s="6">
        <v>1.510216515945837E+19</v>
      </c>
      <c r="B1740">
        <v>5</v>
      </c>
      <c r="C1740">
        <v>1</v>
      </c>
      <c r="D1740">
        <v>3</v>
      </c>
      <c r="E1740">
        <v>513</v>
      </c>
      <c r="F1740" t="s">
        <v>1228</v>
      </c>
    </row>
    <row r="1741" spans="1:6" x14ac:dyDescent="0.55000000000000004">
      <c r="A1741" s="6">
        <v>1.510285871969826E+19</v>
      </c>
      <c r="B1741">
        <v>4</v>
      </c>
      <c r="C1741">
        <v>1</v>
      </c>
      <c r="D1741">
        <v>1</v>
      </c>
      <c r="E1741">
        <v>411</v>
      </c>
      <c r="F1741" t="s">
        <v>1233</v>
      </c>
    </row>
    <row r="1742" spans="1:6" x14ac:dyDescent="0.55000000000000004">
      <c r="A1742" s="6">
        <v>1.5103322672922581E+19</v>
      </c>
      <c r="B1742">
        <v>5</v>
      </c>
      <c r="C1742">
        <v>3</v>
      </c>
      <c r="D1742">
        <v>2</v>
      </c>
      <c r="E1742">
        <v>532</v>
      </c>
      <c r="F1742" t="s">
        <v>1230</v>
      </c>
    </row>
    <row r="1743" spans="1:6" x14ac:dyDescent="0.55000000000000004">
      <c r="A1743" s="6">
        <v>1.5103585447139899E+19</v>
      </c>
      <c r="B1743">
        <v>5</v>
      </c>
      <c r="C1743">
        <v>3</v>
      </c>
      <c r="D1743">
        <v>3</v>
      </c>
      <c r="E1743">
        <v>533</v>
      </c>
      <c r="F1743" t="s">
        <v>1230</v>
      </c>
    </row>
    <row r="1744" spans="1:6" x14ac:dyDescent="0.55000000000000004">
      <c r="A1744" s="6">
        <v>1.510372968522557E+19</v>
      </c>
      <c r="B1744">
        <v>4</v>
      </c>
      <c r="C1744">
        <v>1</v>
      </c>
      <c r="D1744">
        <v>1</v>
      </c>
      <c r="E1744">
        <v>411</v>
      </c>
      <c r="F1744" t="s">
        <v>1233</v>
      </c>
    </row>
    <row r="1745" spans="1:6" x14ac:dyDescent="0.55000000000000004">
      <c r="A1745" s="6">
        <v>1.511718859902491E+19</v>
      </c>
      <c r="B1745">
        <v>3</v>
      </c>
      <c r="C1745">
        <v>1</v>
      </c>
      <c r="D1745">
        <v>2</v>
      </c>
      <c r="E1745">
        <v>312</v>
      </c>
      <c r="F1745" t="s">
        <v>1233</v>
      </c>
    </row>
    <row r="1746" spans="1:6" x14ac:dyDescent="0.55000000000000004">
      <c r="A1746" s="6">
        <v>1.5126885222376651E+19</v>
      </c>
      <c r="B1746">
        <v>3</v>
      </c>
      <c r="C1746">
        <v>1</v>
      </c>
      <c r="D1746">
        <v>1</v>
      </c>
      <c r="E1746">
        <v>311</v>
      </c>
      <c r="F1746" t="s">
        <v>1233</v>
      </c>
    </row>
    <row r="1747" spans="1:6" x14ac:dyDescent="0.55000000000000004">
      <c r="A1747" s="6">
        <v>1.5159195632122561E+19</v>
      </c>
      <c r="B1747">
        <v>4</v>
      </c>
      <c r="C1747">
        <v>1</v>
      </c>
      <c r="D1747">
        <v>2</v>
      </c>
      <c r="E1747">
        <v>412</v>
      </c>
      <c r="F1747" t="s">
        <v>1233</v>
      </c>
    </row>
    <row r="1748" spans="1:6" x14ac:dyDescent="0.55000000000000004">
      <c r="A1748" s="6">
        <v>1.522627431602169E+19</v>
      </c>
      <c r="B1748">
        <v>5</v>
      </c>
      <c r="C1748">
        <v>1</v>
      </c>
      <c r="D1748">
        <v>2</v>
      </c>
      <c r="E1748">
        <v>512</v>
      </c>
      <c r="F1748" t="s">
        <v>1228</v>
      </c>
    </row>
    <row r="1749" spans="1:6" x14ac:dyDescent="0.55000000000000004">
      <c r="A1749" s="6">
        <v>1.5228050630350819E+19</v>
      </c>
      <c r="B1749">
        <v>4</v>
      </c>
      <c r="C1749">
        <v>1</v>
      </c>
      <c r="D1749">
        <v>3</v>
      </c>
      <c r="E1749">
        <v>413</v>
      </c>
      <c r="F1749" t="s">
        <v>1233</v>
      </c>
    </row>
    <row r="1750" spans="1:6" x14ac:dyDescent="0.55000000000000004">
      <c r="A1750" s="6">
        <v>1.5241763823784481E+19</v>
      </c>
      <c r="B1750">
        <v>2</v>
      </c>
      <c r="C1750">
        <v>1</v>
      </c>
      <c r="D1750">
        <v>3</v>
      </c>
      <c r="E1750">
        <v>213</v>
      </c>
      <c r="F1750" t="s">
        <v>1234</v>
      </c>
    </row>
    <row r="1751" spans="1:6" x14ac:dyDescent="0.55000000000000004">
      <c r="A1751" s="6">
        <v>1.524683085751996E+19</v>
      </c>
      <c r="B1751">
        <v>4</v>
      </c>
      <c r="C1751">
        <v>1</v>
      </c>
      <c r="D1751">
        <v>1</v>
      </c>
      <c r="E1751">
        <v>411</v>
      </c>
      <c r="F1751" t="s">
        <v>1233</v>
      </c>
    </row>
    <row r="1752" spans="1:6" x14ac:dyDescent="0.55000000000000004">
      <c r="A1752" s="6">
        <v>1.525234002805547E+19</v>
      </c>
      <c r="B1752">
        <v>4</v>
      </c>
      <c r="C1752">
        <v>2</v>
      </c>
      <c r="D1752">
        <v>1</v>
      </c>
      <c r="E1752">
        <v>421</v>
      </c>
      <c r="F1752" t="s">
        <v>1229</v>
      </c>
    </row>
    <row r="1753" spans="1:6" x14ac:dyDescent="0.55000000000000004">
      <c r="A1753" s="6">
        <v>1.5276476970482409E+19</v>
      </c>
      <c r="B1753">
        <v>3</v>
      </c>
      <c r="C1753">
        <v>1</v>
      </c>
      <c r="D1753">
        <v>2</v>
      </c>
      <c r="E1753">
        <v>312</v>
      </c>
      <c r="F1753" t="s">
        <v>1233</v>
      </c>
    </row>
    <row r="1754" spans="1:6" x14ac:dyDescent="0.55000000000000004">
      <c r="A1754" s="6">
        <v>1.529271156526071E+19</v>
      </c>
      <c r="B1754">
        <v>5</v>
      </c>
      <c r="C1754">
        <v>1</v>
      </c>
      <c r="D1754">
        <v>2</v>
      </c>
      <c r="E1754">
        <v>512</v>
      </c>
      <c r="F1754" t="s">
        <v>1228</v>
      </c>
    </row>
    <row r="1755" spans="1:6" x14ac:dyDescent="0.55000000000000004">
      <c r="A1755" s="6">
        <v>1.529683543112498E+19</v>
      </c>
      <c r="B1755">
        <v>2</v>
      </c>
      <c r="C1755">
        <v>3</v>
      </c>
      <c r="D1755">
        <v>3</v>
      </c>
      <c r="E1755">
        <v>233</v>
      </c>
      <c r="F1755" t="s">
        <v>1231</v>
      </c>
    </row>
    <row r="1756" spans="1:6" x14ac:dyDescent="0.55000000000000004">
      <c r="A1756" s="6">
        <v>1.5299554968771371E+19</v>
      </c>
      <c r="B1756">
        <v>5</v>
      </c>
      <c r="C1756">
        <v>1</v>
      </c>
      <c r="D1756">
        <v>1</v>
      </c>
      <c r="E1756">
        <v>511</v>
      </c>
      <c r="F1756" t="s">
        <v>1228</v>
      </c>
    </row>
    <row r="1757" spans="1:6" x14ac:dyDescent="0.55000000000000004">
      <c r="A1757" s="6">
        <v>1.5299920061904511E+19</v>
      </c>
      <c r="B1757">
        <v>4</v>
      </c>
      <c r="C1757">
        <v>2</v>
      </c>
      <c r="D1757">
        <v>1</v>
      </c>
      <c r="E1757">
        <v>421</v>
      </c>
      <c r="F1757" t="s">
        <v>1229</v>
      </c>
    </row>
    <row r="1758" spans="1:6" x14ac:dyDescent="0.55000000000000004">
      <c r="A1758" s="6">
        <v>1.530112927941096E+19</v>
      </c>
      <c r="B1758">
        <v>2</v>
      </c>
      <c r="C1758">
        <v>1</v>
      </c>
      <c r="D1758">
        <v>2</v>
      </c>
      <c r="E1758">
        <v>212</v>
      </c>
      <c r="F1758" t="s">
        <v>1234</v>
      </c>
    </row>
    <row r="1759" spans="1:6" x14ac:dyDescent="0.55000000000000004">
      <c r="A1759" s="6">
        <v>1.5301579014397999E+19</v>
      </c>
      <c r="B1759">
        <v>3</v>
      </c>
      <c r="C1759">
        <v>1</v>
      </c>
      <c r="D1759">
        <v>2</v>
      </c>
      <c r="E1759">
        <v>312</v>
      </c>
      <c r="F1759" t="s">
        <v>1233</v>
      </c>
    </row>
    <row r="1760" spans="1:6" x14ac:dyDescent="0.55000000000000004">
      <c r="A1760" s="6">
        <v>1.5308735232356551E+19</v>
      </c>
      <c r="B1760">
        <v>4</v>
      </c>
      <c r="C1760">
        <v>1</v>
      </c>
      <c r="D1760">
        <v>2</v>
      </c>
      <c r="E1760">
        <v>412</v>
      </c>
      <c r="F1760" t="s">
        <v>1233</v>
      </c>
    </row>
    <row r="1761" spans="1:6" x14ac:dyDescent="0.55000000000000004">
      <c r="A1761" s="6">
        <v>1.5315655684016439E+19</v>
      </c>
      <c r="B1761">
        <v>4</v>
      </c>
      <c r="C1761">
        <v>1</v>
      </c>
      <c r="D1761">
        <v>1</v>
      </c>
      <c r="E1761">
        <v>411</v>
      </c>
      <c r="F1761" t="s">
        <v>1233</v>
      </c>
    </row>
    <row r="1762" spans="1:6" x14ac:dyDescent="0.55000000000000004">
      <c r="A1762" s="6">
        <v>1.5326071374351911E+19</v>
      </c>
      <c r="B1762">
        <v>5</v>
      </c>
      <c r="C1762">
        <v>1</v>
      </c>
      <c r="D1762">
        <v>2</v>
      </c>
      <c r="E1762">
        <v>512</v>
      </c>
      <c r="F1762" t="s">
        <v>1228</v>
      </c>
    </row>
    <row r="1763" spans="1:6" x14ac:dyDescent="0.55000000000000004">
      <c r="A1763" s="6">
        <v>1.5332872620488651E+19</v>
      </c>
      <c r="B1763">
        <v>4</v>
      </c>
      <c r="C1763">
        <v>2</v>
      </c>
      <c r="D1763">
        <v>2</v>
      </c>
      <c r="E1763">
        <v>422</v>
      </c>
      <c r="F1763" t="s">
        <v>1229</v>
      </c>
    </row>
    <row r="1764" spans="1:6" x14ac:dyDescent="0.55000000000000004">
      <c r="A1764" s="6">
        <v>1.5365074124483809E+19</v>
      </c>
      <c r="B1764">
        <v>5</v>
      </c>
      <c r="C1764">
        <v>1</v>
      </c>
      <c r="D1764">
        <v>2</v>
      </c>
      <c r="E1764">
        <v>512</v>
      </c>
      <c r="F1764" t="s">
        <v>1228</v>
      </c>
    </row>
    <row r="1765" spans="1:6" x14ac:dyDescent="0.55000000000000004">
      <c r="A1765" s="6">
        <v>1.536672420053701E+19</v>
      </c>
      <c r="B1765">
        <v>3</v>
      </c>
      <c r="C1765">
        <v>1</v>
      </c>
      <c r="D1765">
        <v>2</v>
      </c>
      <c r="E1765">
        <v>312</v>
      </c>
      <c r="F1765" t="s">
        <v>1233</v>
      </c>
    </row>
    <row r="1766" spans="1:6" x14ac:dyDescent="0.55000000000000004">
      <c r="A1766" s="6">
        <v>1.536988618300135E+19</v>
      </c>
      <c r="B1766">
        <v>2</v>
      </c>
      <c r="C1766">
        <v>1</v>
      </c>
      <c r="D1766">
        <v>2</v>
      </c>
      <c r="E1766">
        <v>212</v>
      </c>
      <c r="F1766" t="s">
        <v>1234</v>
      </c>
    </row>
    <row r="1767" spans="1:6" x14ac:dyDescent="0.55000000000000004">
      <c r="A1767" s="6">
        <v>1.5372990738145679E+19</v>
      </c>
      <c r="B1767">
        <v>3</v>
      </c>
      <c r="C1767">
        <v>1</v>
      </c>
      <c r="D1767">
        <v>2</v>
      </c>
      <c r="E1767">
        <v>312</v>
      </c>
      <c r="F1767" t="s">
        <v>1233</v>
      </c>
    </row>
    <row r="1768" spans="1:6" x14ac:dyDescent="0.55000000000000004">
      <c r="A1768" s="6">
        <v>1.5375922921831371E+19</v>
      </c>
      <c r="B1768">
        <v>4</v>
      </c>
      <c r="C1768">
        <v>1</v>
      </c>
      <c r="D1768">
        <v>1</v>
      </c>
      <c r="E1768">
        <v>411</v>
      </c>
      <c r="F1768" t="s">
        <v>1233</v>
      </c>
    </row>
    <row r="1769" spans="1:6" x14ac:dyDescent="0.55000000000000004">
      <c r="A1769" s="6">
        <v>1.5384082452842521E+19</v>
      </c>
      <c r="B1769">
        <v>3</v>
      </c>
      <c r="C1769">
        <v>1</v>
      </c>
      <c r="D1769">
        <v>3</v>
      </c>
      <c r="E1769">
        <v>313</v>
      </c>
      <c r="F1769" t="s">
        <v>1233</v>
      </c>
    </row>
    <row r="1770" spans="1:6" x14ac:dyDescent="0.55000000000000004">
      <c r="A1770" s="6">
        <v>1.5401339438408831E+19</v>
      </c>
      <c r="B1770">
        <v>2</v>
      </c>
      <c r="C1770">
        <v>1</v>
      </c>
      <c r="D1770">
        <v>1</v>
      </c>
      <c r="E1770">
        <v>211</v>
      </c>
      <c r="F1770" t="s">
        <v>1234</v>
      </c>
    </row>
    <row r="1771" spans="1:6" x14ac:dyDescent="0.55000000000000004">
      <c r="A1771" s="6">
        <v>1.5403850247064271E+19</v>
      </c>
      <c r="B1771">
        <v>3</v>
      </c>
      <c r="C1771">
        <v>1</v>
      </c>
      <c r="D1771">
        <v>2</v>
      </c>
      <c r="E1771">
        <v>312</v>
      </c>
      <c r="F1771" t="s">
        <v>1233</v>
      </c>
    </row>
    <row r="1772" spans="1:6" x14ac:dyDescent="0.55000000000000004">
      <c r="A1772" s="6">
        <v>1.5404156029051601E+19</v>
      </c>
      <c r="B1772">
        <v>4</v>
      </c>
      <c r="C1772">
        <v>1</v>
      </c>
      <c r="D1772">
        <v>3</v>
      </c>
      <c r="E1772">
        <v>413</v>
      </c>
      <c r="F1772" t="s">
        <v>1233</v>
      </c>
    </row>
    <row r="1773" spans="1:6" x14ac:dyDescent="0.55000000000000004">
      <c r="A1773" s="6">
        <v>1.5408046944755769E+19</v>
      </c>
      <c r="B1773">
        <v>5</v>
      </c>
      <c r="C1773">
        <v>2</v>
      </c>
      <c r="D1773">
        <v>3</v>
      </c>
      <c r="E1773">
        <v>523</v>
      </c>
      <c r="F1773" t="s">
        <v>1229</v>
      </c>
    </row>
    <row r="1774" spans="1:6" x14ac:dyDescent="0.55000000000000004">
      <c r="A1774" s="6">
        <v>1.541344756423315E+19</v>
      </c>
      <c r="B1774">
        <v>4</v>
      </c>
      <c r="C1774">
        <v>1</v>
      </c>
      <c r="D1774">
        <v>1</v>
      </c>
      <c r="E1774">
        <v>411</v>
      </c>
      <c r="F1774" t="s">
        <v>1233</v>
      </c>
    </row>
    <row r="1775" spans="1:6" x14ac:dyDescent="0.55000000000000004">
      <c r="A1775" s="6">
        <v>1.541616255913045E+19</v>
      </c>
      <c r="B1775">
        <v>4</v>
      </c>
      <c r="C1775">
        <v>2</v>
      </c>
      <c r="D1775">
        <v>2</v>
      </c>
      <c r="E1775">
        <v>422</v>
      </c>
      <c r="F1775" t="s">
        <v>1229</v>
      </c>
    </row>
    <row r="1776" spans="1:6" x14ac:dyDescent="0.55000000000000004">
      <c r="A1776" s="6">
        <v>1.542291746567033E+19</v>
      </c>
      <c r="B1776">
        <v>4</v>
      </c>
      <c r="C1776">
        <v>1</v>
      </c>
      <c r="D1776">
        <v>1</v>
      </c>
      <c r="E1776">
        <v>411</v>
      </c>
      <c r="F1776" t="s">
        <v>1233</v>
      </c>
    </row>
    <row r="1777" spans="1:6" x14ac:dyDescent="0.55000000000000004">
      <c r="A1777" s="6">
        <v>1.542473145981388E+19</v>
      </c>
      <c r="B1777">
        <v>4</v>
      </c>
      <c r="C1777">
        <v>1</v>
      </c>
      <c r="D1777">
        <v>3</v>
      </c>
      <c r="E1777">
        <v>413</v>
      </c>
      <c r="F1777" t="s">
        <v>1233</v>
      </c>
    </row>
    <row r="1778" spans="1:6" x14ac:dyDescent="0.55000000000000004">
      <c r="A1778" s="6">
        <v>1.5436359272742521E+19</v>
      </c>
      <c r="B1778">
        <v>1</v>
      </c>
      <c r="C1778">
        <v>1</v>
      </c>
      <c r="D1778">
        <v>1</v>
      </c>
      <c r="E1778">
        <v>111</v>
      </c>
      <c r="F1778" t="s">
        <v>1234</v>
      </c>
    </row>
    <row r="1779" spans="1:6" x14ac:dyDescent="0.55000000000000004">
      <c r="A1779" s="6">
        <v>1.5444205740804801E+19</v>
      </c>
      <c r="B1779">
        <v>2</v>
      </c>
      <c r="C1779">
        <v>1</v>
      </c>
      <c r="D1779">
        <v>1</v>
      </c>
      <c r="E1779">
        <v>211</v>
      </c>
      <c r="F1779" t="s">
        <v>1234</v>
      </c>
    </row>
    <row r="1780" spans="1:6" x14ac:dyDescent="0.55000000000000004">
      <c r="A1780" s="6">
        <v>1.54539279670714E+19</v>
      </c>
      <c r="B1780">
        <v>5</v>
      </c>
      <c r="C1780">
        <v>1</v>
      </c>
      <c r="D1780">
        <v>3</v>
      </c>
      <c r="E1780">
        <v>513</v>
      </c>
      <c r="F1780" t="s">
        <v>1228</v>
      </c>
    </row>
    <row r="1781" spans="1:6" x14ac:dyDescent="0.55000000000000004">
      <c r="A1781" s="6">
        <v>1.5454653710179119E+19</v>
      </c>
      <c r="B1781">
        <v>3</v>
      </c>
      <c r="C1781">
        <v>1</v>
      </c>
      <c r="D1781">
        <v>1</v>
      </c>
      <c r="E1781">
        <v>311</v>
      </c>
      <c r="F1781" t="s">
        <v>1233</v>
      </c>
    </row>
    <row r="1782" spans="1:6" x14ac:dyDescent="0.55000000000000004">
      <c r="A1782" s="6">
        <v>1.5462610389332511E+19</v>
      </c>
      <c r="B1782">
        <v>2</v>
      </c>
      <c r="C1782">
        <v>2</v>
      </c>
      <c r="D1782">
        <v>3</v>
      </c>
      <c r="E1782">
        <v>223</v>
      </c>
      <c r="F1782" t="s">
        <v>1234</v>
      </c>
    </row>
    <row r="1783" spans="1:6" x14ac:dyDescent="0.55000000000000004">
      <c r="A1783" s="6">
        <v>1.546388297041663E+19</v>
      </c>
      <c r="B1783">
        <v>3</v>
      </c>
      <c r="C1783">
        <v>1</v>
      </c>
      <c r="D1783">
        <v>2</v>
      </c>
      <c r="E1783">
        <v>312</v>
      </c>
      <c r="F1783" t="s">
        <v>1233</v>
      </c>
    </row>
    <row r="1784" spans="1:6" x14ac:dyDescent="0.55000000000000004">
      <c r="A1784" s="6">
        <v>1.546974436012781E+19</v>
      </c>
      <c r="B1784">
        <v>5</v>
      </c>
      <c r="C1784">
        <v>2</v>
      </c>
      <c r="D1784">
        <v>1</v>
      </c>
      <c r="E1784">
        <v>521</v>
      </c>
      <c r="F1784" t="s">
        <v>1229</v>
      </c>
    </row>
    <row r="1785" spans="1:6" x14ac:dyDescent="0.55000000000000004">
      <c r="A1785" s="6">
        <v>1.5473358029831711E+19</v>
      </c>
      <c r="B1785">
        <v>3</v>
      </c>
      <c r="C1785">
        <v>1</v>
      </c>
      <c r="D1785">
        <v>2</v>
      </c>
      <c r="E1785">
        <v>312</v>
      </c>
      <c r="F1785" t="s">
        <v>1233</v>
      </c>
    </row>
    <row r="1786" spans="1:6" x14ac:dyDescent="0.55000000000000004">
      <c r="A1786" s="6">
        <v>1.547472592135144E+19</v>
      </c>
      <c r="B1786">
        <v>5</v>
      </c>
      <c r="C1786">
        <v>1</v>
      </c>
      <c r="D1786">
        <v>1</v>
      </c>
      <c r="E1786">
        <v>511</v>
      </c>
      <c r="F1786" t="s">
        <v>1228</v>
      </c>
    </row>
    <row r="1787" spans="1:6" x14ac:dyDescent="0.55000000000000004">
      <c r="A1787" s="6">
        <v>1.5480586309256509E+19</v>
      </c>
      <c r="B1787">
        <v>2</v>
      </c>
      <c r="C1787">
        <v>1</v>
      </c>
      <c r="D1787">
        <v>1</v>
      </c>
      <c r="E1787">
        <v>211</v>
      </c>
      <c r="F1787" t="s">
        <v>1234</v>
      </c>
    </row>
    <row r="1788" spans="1:6" x14ac:dyDescent="0.55000000000000004">
      <c r="A1788" s="6">
        <v>1.5485723615538999E+19</v>
      </c>
      <c r="B1788">
        <v>4</v>
      </c>
      <c r="C1788">
        <v>1</v>
      </c>
      <c r="D1788">
        <v>3</v>
      </c>
      <c r="E1788">
        <v>413</v>
      </c>
      <c r="F1788" t="s">
        <v>1233</v>
      </c>
    </row>
    <row r="1789" spans="1:6" x14ac:dyDescent="0.55000000000000004">
      <c r="A1789" s="6">
        <v>1.552707870825926E+19</v>
      </c>
      <c r="B1789">
        <v>3</v>
      </c>
      <c r="C1789">
        <v>1</v>
      </c>
      <c r="D1789">
        <v>3</v>
      </c>
      <c r="E1789">
        <v>313</v>
      </c>
      <c r="F1789" t="s">
        <v>1233</v>
      </c>
    </row>
    <row r="1790" spans="1:6" x14ac:dyDescent="0.55000000000000004">
      <c r="A1790" s="6">
        <v>1.5540219737768849E+19</v>
      </c>
      <c r="B1790">
        <v>4</v>
      </c>
      <c r="C1790">
        <v>1</v>
      </c>
      <c r="D1790">
        <v>2</v>
      </c>
      <c r="E1790">
        <v>412</v>
      </c>
      <c r="F1790" t="s">
        <v>1233</v>
      </c>
    </row>
    <row r="1791" spans="1:6" x14ac:dyDescent="0.55000000000000004">
      <c r="A1791" s="6">
        <v>1.5549230291114441E+19</v>
      </c>
      <c r="B1791">
        <v>3</v>
      </c>
      <c r="C1791">
        <v>1</v>
      </c>
      <c r="D1791">
        <v>1</v>
      </c>
      <c r="E1791">
        <v>311</v>
      </c>
      <c r="F1791" t="s">
        <v>1233</v>
      </c>
    </row>
    <row r="1792" spans="1:6" x14ac:dyDescent="0.55000000000000004">
      <c r="A1792" s="6">
        <v>1.5564916972621199E+19</v>
      </c>
      <c r="B1792">
        <v>4</v>
      </c>
      <c r="C1792">
        <v>1</v>
      </c>
      <c r="D1792">
        <v>1</v>
      </c>
      <c r="E1792">
        <v>411</v>
      </c>
      <c r="F1792" t="s">
        <v>1233</v>
      </c>
    </row>
    <row r="1793" spans="1:6" x14ac:dyDescent="0.55000000000000004">
      <c r="A1793" s="6">
        <v>1.5574239814710999E+19</v>
      </c>
      <c r="B1793">
        <v>4</v>
      </c>
      <c r="C1793">
        <v>2</v>
      </c>
      <c r="D1793">
        <v>1</v>
      </c>
      <c r="E1793">
        <v>421</v>
      </c>
      <c r="F1793" t="s">
        <v>1229</v>
      </c>
    </row>
    <row r="1794" spans="1:6" x14ac:dyDescent="0.55000000000000004">
      <c r="A1794" s="6">
        <v>1.559033532799505E+19</v>
      </c>
      <c r="B1794">
        <v>2</v>
      </c>
      <c r="C1794">
        <v>1</v>
      </c>
      <c r="D1794">
        <v>1</v>
      </c>
      <c r="E1794">
        <v>211</v>
      </c>
      <c r="F1794" t="s">
        <v>1234</v>
      </c>
    </row>
    <row r="1795" spans="1:6" x14ac:dyDescent="0.55000000000000004">
      <c r="A1795" s="6">
        <v>1.562330477958519E+19</v>
      </c>
      <c r="B1795">
        <v>4</v>
      </c>
      <c r="C1795">
        <v>1</v>
      </c>
      <c r="D1795">
        <v>1</v>
      </c>
      <c r="E1795">
        <v>411</v>
      </c>
      <c r="F1795" t="s">
        <v>1233</v>
      </c>
    </row>
    <row r="1796" spans="1:6" x14ac:dyDescent="0.55000000000000004">
      <c r="A1796" s="6">
        <v>1.5641110136120521E+19</v>
      </c>
      <c r="B1796">
        <v>4</v>
      </c>
      <c r="C1796">
        <v>2</v>
      </c>
      <c r="D1796">
        <v>2</v>
      </c>
      <c r="E1796">
        <v>422</v>
      </c>
      <c r="F1796" t="s">
        <v>1229</v>
      </c>
    </row>
    <row r="1797" spans="1:6" x14ac:dyDescent="0.55000000000000004">
      <c r="A1797" s="6">
        <v>1.564261451565621E+19</v>
      </c>
      <c r="B1797">
        <v>4</v>
      </c>
      <c r="C1797">
        <v>1</v>
      </c>
      <c r="D1797">
        <v>1</v>
      </c>
      <c r="E1797">
        <v>411</v>
      </c>
      <c r="F1797" t="s">
        <v>1233</v>
      </c>
    </row>
    <row r="1798" spans="1:6" x14ac:dyDescent="0.55000000000000004">
      <c r="A1798" s="6">
        <v>1.5644167160182211E+19</v>
      </c>
      <c r="B1798">
        <v>4</v>
      </c>
      <c r="C1798">
        <v>1</v>
      </c>
      <c r="D1798">
        <v>1</v>
      </c>
      <c r="E1798">
        <v>411</v>
      </c>
      <c r="F1798" t="s">
        <v>1233</v>
      </c>
    </row>
    <row r="1799" spans="1:6" x14ac:dyDescent="0.55000000000000004">
      <c r="A1799" s="6">
        <v>1.56524110507473E+19</v>
      </c>
      <c r="B1799">
        <v>4</v>
      </c>
      <c r="C1799">
        <v>2</v>
      </c>
      <c r="D1799">
        <v>3</v>
      </c>
      <c r="E1799">
        <v>423</v>
      </c>
      <c r="F1799" t="s">
        <v>1229</v>
      </c>
    </row>
    <row r="1800" spans="1:6" x14ac:dyDescent="0.55000000000000004">
      <c r="A1800" s="6">
        <v>1.565609792506035E+19</v>
      </c>
      <c r="B1800">
        <v>5</v>
      </c>
      <c r="C1800">
        <v>1</v>
      </c>
      <c r="D1800">
        <v>1</v>
      </c>
      <c r="E1800">
        <v>511</v>
      </c>
      <c r="F1800" t="s">
        <v>1228</v>
      </c>
    </row>
    <row r="1801" spans="1:6" x14ac:dyDescent="0.55000000000000004">
      <c r="A1801" s="6">
        <v>1.5658292155628571E+19</v>
      </c>
      <c r="B1801">
        <v>4</v>
      </c>
      <c r="C1801">
        <v>1</v>
      </c>
      <c r="D1801">
        <v>2</v>
      </c>
      <c r="E1801">
        <v>412</v>
      </c>
      <c r="F1801" t="s">
        <v>1233</v>
      </c>
    </row>
    <row r="1802" spans="1:6" x14ac:dyDescent="0.55000000000000004">
      <c r="A1802" s="6">
        <v>1.5670996990043869E+19</v>
      </c>
      <c r="B1802">
        <v>4</v>
      </c>
      <c r="C1802">
        <v>1</v>
      </c>
      <c r="D1802">
        <v>3</v>
      </c>
      <c r="E1802">
        <v>413</v>
      </c>
      <c r="F1802" t="s">
        <v>1233</v>
      </c>
    </row>
    <row r="1803" spans="1:6" x14ac:dyDescent="0.55000000000000004">
      <c r="A1803" s="6">
        <v>1.5673232483183659E+19</v>
      </c>
      <c r="B1803">
        <v>4</v>
      </c>
      <c r="C1803">
        <v>1</v>
      </c>
      <c r="D1803">
        <v>1</v>
      </c>
      <c r="E1803">
        <v>411</v>
      </c>
      <c r="F1803" t="s">
        <v>1233</v>
      </c>
    </row>
    <row r="1804" spans="1:6" x14ac:dyDescent="0.55000000000000004">
      <c r="A1804" s="6">
        <v>1.5679140564797399E+19</v>
      </c>
      <c r="B1804">
        <v>4</v>
      </c>
      <c r="C1804">
        <v>1</v>
      </c>
      <c r="D1804">
        <v>1</v>
      </c>
      <c r="E1804">
        <v>411</v>
      </c>
      <c r="F1804" t="s">
        <v>1233</v>
      </c>
    </row>
    <row r="1805" spans="1:6" x14ac:dyDescent="0.55000000000000004">
      <c r="A1805" s="6">
        <v>1.5733382584919939E+19</v>
      </c>
      <c r="B1805">
        <v>2</v>
      </c>
      <c r="C1805">
        <v>1</v>
      </c>
      <c r="D1805">
        <v>2</v>
      </c>
      <c r="E1805">
        <v>212</v>
      </c>
      <c r="F1805" t="s">
        <v>1234</v>
      </c>
    </row>
    <row r="1806" spans="1:6" x14ac:dyDescent="0.55000000000000004">
      <c r="A1806" s="6">
        <v>1.574274455372594E+19</v>
      </c>
      <c r="B1806">
        <v>3</v>
      </c>
      <c r="C1806">
        <v>1</v>
      </c>
      <c r="D1806">
        <v>2</v>
      </c>
      <c r="E1806">
        <v>312</v>
      </c>
      <c r="F1806" t="s">
        <v>1233</v>
      </c>
    </row>
    <row r="1807" spans="1:6" x14ac:dyDescent="0.55000000000000004">
      <c r="A1807" s="6">
        <v>1.5765648282367701E+19</v>
      </c>
      <c r="B1807">
        <v>2</v>
      </c>
      <c r="C1807">
        <v>1</v>
      </c>
      <c r="D1807">
        <v>2</v>
      </c>
      <c r="E1807">
        <v>212</v>
      </c>
      <c r="F1807" t="s">
        <v>1234</v>
      </c>
    </row>
    <row r="1808" spans="1:6" x14ac:dyDescent="0.55000000000000004">
      <c r="A1808" s="6">
        <v>1.5767204741208119E+19</v>
      </c>
      <c r="B1808">
        <v>3</v>
      </c>
      <c r="C1808">
        <v>2</v>
      </c>
      <c r="D1808">
        <v>3</v>
      </c>
      <c r="E1808">
        <v>323</v>
      </c>
      <c r="F1808" t="s">
        <v>1233</v>
      </c>
    </row>
    <row r="1809" spans="1:6" x14ac:dyDescent="0.55000000000000004">
      <c r="A1809" s="6">
        <v>1.577062822882959E+19</v>
      </c>
      <c r="B1809">
        <v>3</v>
      </c>
      <c r="C1809">
        <v>1</v>
      </c>
      <c r="D1809">
        <v>2</v>
      </c>
      <c r="E1809">
        <v>312</v>
      </c>
      <c r="F1809" t="s">
        <v>1233</v>
      </c>
    </row>
    <row r="1810" spans="1:6" x14ac:dyDescent="0.55000000000000004">
      <c r="A1810" s="6">
        <v>1.577234568859785E+19</v>
      </c>
      <c r="B1810">
        <v>4</v>
      </c>
      <c r="C1810">
        <v>1</v>
      </c>
      <c r="D1810">
        <v>1</v>
      </c>
      <c r="E1810">
        <v>411</v>
      </c>
      <c r="F1810" t="s">
        <v>1233</v>
      </c>
    </row>
    <row r="1811" spans="1:6" x14ac:dyDescent="0.55000000000000004">
      <c r="A1811" s="6">
        <v>1.579376496402424E+19</v>
      </c>
      <c r="B1811">
        <v>5</v>
      </c>
      <c r="C1811">
        <v>1</v>
      </c>
      <c r="D1811">
        <v>3</v>
      </c>
      <c r="E1811">
        <v>513</v>
      </c>
      <c r="F1811" t="s">
        <v>1228</v>
      </c>
    </row>
    <row r="1812" spans="1:6" x14ac:dyDescent="0.55000000000000004">
      <c r="A1812" s="6">
        <v>1.5813384205698601E+19</v>
      </c>
      <c r="B1812">
        <v>3</v>
      </c>
      <c r="C1812">
        <v>1</v>
      </c>
      <c r="D1812">
        <v>1</v>
      </c>
      <c r="E1812">
        <v>311</v>
      </c>
      <c r="F1812" t="s">
        <v>1233</v>
      </c>
    </row>
    <row r="1813" spans="1:6" x14ac:dyDescent="0.55000000000000004">
      <c r="A1813" s="6">
        <v>1.5813885059110459E+19</v>
      </c>
      <c r="B1813">
        <v>3</v>
      </c>
      <c r="C1813">
        <v>2</v>
      </c>
      <c r="D1813">
        <v>3</v>
      </c>
      <c r="E1813">
        <v>323</v>
      </c>
      <c r="F1813" t="s">
        <v>1233</v>
      </c>
    </row>
    <row r="1814" spans="1:6" x14ac:dyDescent="0.55000000000000004">
      <c r="A1814" s="6">
        <v>1.5835843431138941E+19</v>
      </c>
      <c r="B1814">
        <v>2</v>
      </c>
      <c r="C1814">
        <v>1</v>
      </c>
      <c r="D1814">
        <v>1</v>
      </c>
      <c r="E1814">
        <v>211</v>
      </c>
      <c r="F1814" t="s">
        <v>1234</v>
      </c>
    </row>
    <row r="1815" spans="1:6" x14ac:dyDescent="0.55000000000000004">
      <c r="A1815" s="6">
        <v>1.584062040801715E+19</v>
      </c>
      <c r="B1815">
        <v>5</v>
      </c>
      <c r="C1815">
        <v>2</v>
      </c>
      <c r="D1815">
        <v>3</v>
      </c>
      <c r="E1815">
        <v>523</v>
      </c>
      <c r="F1815" t="s">
        <v>1229</v>
      </c>
    </row>
    <row r="1816" spans="1:6" x14ac:dyDescent="0.55000000000000004">
      <c r="A1816" s="6">
        <v>1.584200674600909E+19</v>
      </c>
      <c r="B1816">
        <v>4</v>
      </c>
      <c r="C1816">
        <v>1</v>
      </c>
      <c r="D1816">
        <v>2</v>
      </c>
      <c r="E1816">
        <v>412</v>
      </c>
      <c r="F1816" t="s">
        <v>1233</v>
      </c>
    </row>
    <row r="1817" spans="1:6" x14ac:dyDescent="0.55000000000000004">
      <c r="A1817" s="6">
        <v>1.584657330440481E+19</v>
      </c>
      <c r="B1817">
        <v>4</v>
      </c>
      <c r="C1817">
        <v>1</v>
      </c>
      <c r="D1817">
        <v>3</v>
      </c>
      <c r="E1817">
        <v>413</v>
      </c>
      <c r="F1817" t="s">
        <v>1233</v>
      </c>
    </row>
    <row r="1818" spans="1:6" x14ac:dyDescent="0.55000000000000004">
      <c r="A1818" s="6">
        <v>1.5852763988421089E+19</v>
      </c>
      <c r="B1818">
        <v>5</v>
      </c>
      <c r="C1818">
        <v>1</v>
      </c>
      <c r="D1818">
        <v>1</v>
      </c>
      <c r="E1818">
        <v>511</v>
      </c>
      <c r="F1818" t="s">
        <v>1228</v>
      </c>
    </row>
    <row r="1819" spans="1:6" x14ac:dyDescent="0.55000000000000004">
      <c r="A1819" s="6">
        <v>1.586258091061504E+19</v>
      </c>
      <c r="B1819">
        <v>3</v>
      </c>
      <c r="C1819">
        <v>1</v>
      </c>
      <c r="D1819">
        <v>1</v>
      </c>
      <c r="E1819">
        <v>311</v>
      </c>
      <c r="F1819" t="s">
        <v>1233</v>
      </c>
    </row>
    <row r="1820" spans="1:6" x14ac:dyDescent="0.55000000000000004">
      <c r="A1820" s="6">
        <v>1.58638210703E+19</v>
      </c>
      <c r="B1820">
        <v>5</v>
      </c>
      <c r="C1820">
        <v>1</v>
      </c>
      <c r="D1820">
        <v>3</v>
      </c>
      <c r="E1820">
        <v>513</v>
      </c>
      <c r="F1820" t="s">
        <v>1228</v>
      </c>
    </row>
    <row r="1821" spans="1:6" x14ac:dyDescent="0.55000000000000004">
      <c r="A1821" s="6">
        <v>1.586779565632888E+19</v>
      </c>
      <c r="B1821">
        <v>5</v>
      </c>
      <c r="C1821">
        <v>1</v>
      </c>
      <c r="D1821">
        <v>1</v>
      </c>
      <c r="E1821">
        <v>511</v>
      </c>
      <c r="F1821" t="s">
        <v>1228</v>
      </c>
    </row>
    <row r="1822" spans="1:6" x14ac:dyDescent="0.55000000000000004">
      <c r="A1822" s="6">
        <v>1.5891010530776771E+19</v>
      </c>
      <c r="B1822">
        <v>5</v>
      </c>
      <c r="C1822">
        <v>2</v>
      </c>
      <c r="D1822">
        <v>3</v>
      </c>
      <c r="E1822">
        <v>523</v>
      </c>
      <c r="F1822" t="s">
        <v>1229</v>
      </c>
    </row>
    <row r="1823" spans="1:6" x14ac:dyDescent="0.55000000000000004">
      <c r="A1823" s="6">
        <v>1.589297249966993E+19</v>
      </c>
      <c r="B1823">
        <v>5</v>
      </c>
      <c r="C1823">
        <v>1</v>
      </c>
      <c r="D1823">
        <v>1</v>
      </c>
      <c r="E1823">
        <v>511</v>
      </c>
      <c r="F1823" t="s">
        <v>1228</v>
      </c>
    </row>
    <row r="1824" spans="1:6" x14ac:dyDescent="0.55000000000000004">
      <c r="A1824" s="6">
        <v>1.589363081237684E+19</v>
      </c>
      <c r="B1824">
        <v>3</v>
      </c>
      <c r="C1824">
        <v>1</v>
      </c>
      <c r="D1824">
        <v>1</v>
      </c>
      <c r="E1824">
        <v>311</v>
      </c>
      <c r="F1824" t="s">
        <v>1233</v>
      </c>
    </row>
    <row r="1825" spans="1:6" x14ac:dyDescent="0.55000000000000004">
      <c r="A1825" s="6">
        <v>1.58983942898392E+19</v>
      </c>
      <c r="B1825">
        <v>4</v>
      </c>
      <c r="C1825">
        <v>1</v>
      </c>
      <c r="D1825">
        <v>2</v>
      </c>
      <c r="E1825">
        <v>412</v>
      </c>
      <c r="F1825" t="s">
        <v>1233</v>
      </c>
    </row>
    <row r="1826" spans="1:6" x14ac:dyDescent="0.55000000000000004">
      <c r="A1826" s="6">
        <v>1.5902464288007451E+19</v>
      </c>
      <c r="B1826">
        <v>3</v>
      </c>
      <c r="C1826">
        <v>1</v>
      </c>
      <c r="D1826">
        <v>2</v>
      </c>
      <c r="E1826">
        <v>312</v>
      </c>
      <c r="F1826" t="s">
        <v>1233</v>
      </c>
    </row>
    <row r="1827" spans="1:6" x14ac:dyDescent="0.55000000000000004">
      <c r="A1827" s="6">
        <v>1.5904387609983511E+19</v>
      </c>
      <c r="B1827">
        <v>3</v>
      </c>
      <c r="C1827">
        <v>1</v>
      </c>
      <c r="D1827">
        <v>2</v>
      </c>
      <c r="E1827">
        <v>312</v>
      </c>
      <c r="F1827" t="s">
        <v>1233</v>
      </c>
    </row>
    <row r="1828" spans="1:6" x14ac:dyDescent="0.55000000000000004">
      <c r="A1828" s="6">
        <v>1.591305381159808E+19</v>
      </c>
      <c r="B1828">
        <v>1</v>
      </c>
      <c r="C1828">
        <v>1</v>
      </c>
      <c r="D1828">
        <v>2</v>
      </c>
      <c r="E1828">
        <v>112</v>
      </c>
      <c r="F1828" t="s">
        <v>1234</v>
      </c>
    </row>
    <row r="1829" spans="1:6" x14ac:dyDescent="0.55000000000000004">
      <c r="A1829" s="6">
        <v>1.591836987103461E+19</v>
      </c>
      <c r="B1829">
        <v>2</v>
      </c>
      <c r="C1829">
        <v>1</v>
      </c>
      <c r="D1829">
        <v>1</v>
      </c>
      <c r="E1829">
        <v>211</v>
      </c>
      <c r="F1829" t="s">
        <v>1234</v>
      </c>
    </row>
    <row r="1830" spans="1:6" x14ac:dyDescent="0.55000000000000004">
      <c r="A1830" s="6">
        <v>1.592196729020561E+19</v>
      </c>
      <c r="B1830">
        <v>1</v>
      </c>
      <c r="C1830">
        <v>1</v>
      </c>
      <c r="D1830">
        <v>1</v>
      </c>
      <c r="E1830">
        <v>111</v>
      </c>
      <c r="F1830" t="s">
        <v>1234</v>
      </c>
    </row>
    <row r="1831" spans="1:6" x14ac:dyDescent="0.55000000000000004">
      <c r="A1831" s="6">
        <v>1.5926796688468109E+19</v>
      </c>
      <c r="B1831">
        <v>5</v>
      </c>
      <c r="C1831">
        <v>2</v>
      </c>
      <c r="D1831">
        <v>3</v>
      </c>
      <c r="E1831">
        <v>523</v>
      </c>
      <c r="F1831" t="s">
        <v>1229</v>
      </c>
    </row>
    <row r="1832" spans="1:6" x14ac:dyDescent="0.55000000000000004">
      <c r="A1832" s="6">
        <v>1.5942815274304819E+19</v>
      </c>
      <c r="B1832">
        <v>5</v>
      </c>
      <c r="C1832">
        <v>1</v>
      </c>
      <c r="D1832">
        <v>1</v>
      </c>
      <c r="E1832">
        <v>511</v>
      </c>
      <c r="F1832" t="s">
        <v>1228</v>
      </c>
    </row>
    <row r="1833" spans="1:6" x14ac:dyDescent="0.55000000000000004">
      <c r="A1833" s="6">
        <v>1.594292530528237E+19</v>
      </c>
      <c r="B1833">
        <v>5</v>
      </c>
      <c r="C1833">
        <v>1</v>
      </c>
      <c r="D1833">
        <v>3</v>
      </c>
      <c r="E1833">
        <v>513</v>
      </c>
      <c r="F1833" t="s">
        <v>1228</v>
      </c>
    </row>
    <row r="1834" spans="1:6" x14ac:dyDescent="0.55000000000000004">
      <c r="A1834" s="6">
        <v>1.5981399699913851E+19</v>
      </c>
      <c r="B1834">
        <v>3</v>
      </c>
      <c r="C1834">
        <v>1</v>
      </c>
      <c r="D1834">
        <v>2</v>
      </c>
      <c r="E1834">
        <v>312</v>
      </c>
      <c r="F1834" t="s">
        <v>1233</v>
      </c>
    </row>
    <row r="1835" spans="1:6" x14ac:dyDescent="0.55000000000000004">
      <c r="A1835" s="6">
        <v>1.5997309967392891E+19</v>
      </c>
      <c r="B1835">
        <v>5</v>
      </c>
      <c r="C1835">
        <v>3</v>
      </c>
      <c r="D1835">
        <v>3</v>
      </c>
      <c r="E1835">
        <v>533</v>
      </c>
      <c r="F1835" t="s">
        <v>1230</v>
      </c>
    </row>
    <row r="1836" spans="1:6" x14ac:dyDescent="0.55000000000000004">
      <c r="A1836" s="6">
        <v>1.600783233449292E+19</v>
      </c>
      <c r="B1836">
        <v>5</v>
      </c>
      <c r="C1836">
        <v>2</v>
      </c>
      <c r="D1836">
        <v>3</v>
      </c>
      <c r="E1836">
        <v>523</v>
      </c>
      <c r="F1836" t="s">
        <v>1229</v>
      </c>
    </row>
    <row r="1837" spans="1:6" x14ac:dyDescent="0.55000000000000004">
      <c r="A1837" s="6">
        <v>1.6012773091087811E+19</v>
      </c>
      <c r="B1837">
        <v>5</v>
      </c>
      <c r="C1837">
        <v>1</v>
      </c>
      <c r="D1837">
        <v>1</v>
      </c>
      <c r="E1837">
        <v>511</v>
      </c>
      <c r="F1837" t="s">
        <v>1228</v>
      </c>
    </row>
    <row r="1838" spans="1:6" x14ac:dyDescent="0.55000000000000004">
      <c r="A1838" s="6">
        <v>1.6019234248555399E+19</v>
      </c>
      <c r="B1838">
        <v>5</v>
      </c>
      <c r="C1838">
        <v>1</v>
      </c>
      <c r="D1838">
        <v>2</v>
      </c>
      <c r="E1838">
        <v>512</v>
      </c>
      <c r="F1838" t="s">
        <v>1228</v>
      </c>
    </row>
    <row r="1839" spans="1:6" x14ac:dyDescent="0.55000000000000004">
      <c r="A1839" s="6">
        <v>1.602625952599124E+19</v>
      </c>
      <c r="B1839">
        <v>2</v>
      </c>
      <c r="C1839">
        <v>2</v>
      </c>
      <c r="D1839">
        <v>2</v>
      </c>
      <c r="E1839">
        <v>222</v>
      </c>
      <c r="F1839" t="s">
        <v>1234</v>
      </c>
    </row>
    <row r="1840" spans="1:6" x14ac:dyDescent="0.55000000000000004">
      <c r="A1840" s="6">
        <v>1.602840828731018E+19</v>
      </c>
      <c r="B1840">
        <v>3</v>
      </c>
      <c r="C1840">
        <v>2</v>
      </c>
      <c r="D1840">
        <v>2</v>
      </c>
      <c r="E1840">
        <v>322</v>
      </c>
      <c r="F1840" t="s">
        <v>1233</v>
      </c>
    </row>
    <row r="1841" spans="1:6" x14ac:dyDescent="0.55000000000000004">
      <c r="A1841" s="6">
        <v>1.603422478619186E+19</v>
      </c>
      <c r="B1841">
        <v>3</v>
      </c>
      <c r="C1841">
        <v>2</v>
      </c>
      <c r="D1841">
        <v>1</v>
      </c>
      <c r="E1841">
        <v>321</v>
      </c>
      <c r="F1841" t="s">
        <v>1233</v>
      </c>
    </row>
    <row r="1842" spans="1:6" x14ac:dyDescent="0.55000000000000004">
      <c r="A1842" s="6">
        <v>1.604934454293963E+19</v>
      </c>
      <c r="B1842">
        <v>2</v>
      </c>
      <c r="C1842">
        <v>1</v>
      </c>
      <c r="D1842">
        <v>2</v>
      </c>
      <c r="E1842">
        <v>212</v>
      </c>
      <c r="F1842" t="s">
        <v>1234</v>
      </c>
    </row>
    <row r="1843" spans="1:6" x14ac:dyDescent="0.55000000000000004">
      <c r="A1843" s="6">
        <v>1.606085863376258E+19</v>
      </c>
      <c r="B1843">
        <v>5</v>
      </c>
      <c r="C1843">
        <v>1</v>
      </c>
      <c r="D1843">
        <v>2</v>
      </c>
      <c r="E1843">
        <v>512</v>
      </c>
      <c r="F1843" t="s">
        <v>1228</v>
      </c>
    </row>
    <row r="1844" spans="1:6" x14ac:dyDescent="0.55000000000000004">
      <c r="A1844" s="6">
        <v>1.608001931279139E+19</v>
      </c>
      <c r="B1844">
        <v>2</v>
      </c>
      <c r="C1844">
        <v>1</v>
      </c>
      <c r="D1844">
        <v>2</v>
      </c>
      <c r="E1844">
        <v>212</v>
      </c>
      <c r="F1844" t="s">
        <v>1234</v>
      </c>
    </row>
    <row r="1845" spans="1:6" x14ac:dyDescent="0.55000000000000004">
      <c r="A1845" s="6">
        <v>1.6082214315427379E+19</v>
      </c>
      <c r="B1845">
        <v>5</v>
      </c>
      <c r="C1845">
        <v>1</v>
      </c>
      <c r="D1845">
        <v>1</v>
      </c>
      <c r="E1845">
        <v>511</v>
      </c>
      <c r="F1845" t="s">
        <v>1228</v>
      </c>
    </row>
    <row r="1846" spans="1:6" x14ac:dyDescent="0.55000000000000004">
      <c r="A1846" s="6">
        <v>1.6094244417354549E+19</v>
      </c>
      <c r="B1846">
        <v>5</v>
      </c>
      <c r="C1846">
        <v>1</v>
      </c>
      <c r="D1846">
        <v>2</v>
      </c>
      <c r="E1846">
        <v>512</v>
      </c>
      <c r="F1846" t="s">
        <v>1228</v>
      </c>
    </row>
    <row r="1847" spans="1:6" x14ac:dyDescent="0.55000000000000004">
      <c r="A1847" s="6">
        <v>1.609852388043197E+19</v>
      </c>
      <c r="B1847">
        <v>4</v>
      </c>
      <c r="C1847">
        <v>2</v>
      </c>
      <c r="D1847">
        <v>3</v>
      </c>
      <c r="E1847">
        <v>423</v>
      </c>
      <c r="F1847" t="s">
        <v>1229</v>
      </c>
    </row>
    <row r="1848" spans="1:6" x14ac:dyDescent="0.55000000000000004">
      <c r="A1848" s="6">
        <v>1.6108854001866289E+19</v>
      </c>
      <c r="B1848">
        <v>2</v>
      </c>
      <c r="C1848">
        <v>1</v>
      </c>
      <c r="D1848">
        <v>1</v>
      </c>
      <c r="E1848">
        <v>211</v>
      </c>
      <c r="F1848" t="s">
        <v>1234</v>
      </c>
    </row>
    <row r="1849" spans="1:6" x14ac:dyDescent="0.55000000000000004">
      <c r="A1849" s="6">
        <v>1.6110035923754729E+19</v>
      </c>
      <c r="B1849">
        <v>3</v>
      </c>
      <c r="C1849">
        <v>1</v>
      </c>
      <c r="D1849">
        <v>1</v>
      </c>
      <c r="E1849">
        <v>311</v>
      </c>
      <c r="F1849" t="s">
        <v>1233</v>
      </c>
    </row>
    <row r="1850" spans="1:6" x14ac:dyDescent="0.55000000000000004">
      <c r="A1850" s="6">
        <v>1.6131516332605991E+19</v>
      </c>
      <c r="B1850">
        <v>4</v>
      </c>
      <c r="C1850">
        <v>1</v>
      </c>
      <c r="D1850">
        <v>1</v>
      </c>
      <c r="E1850">
        <v>411</v>
      </c>
      <c r="F1850" t="s">
        <v>1233</v>
      </c>
    </row>
    <row r="1851" spans="1:6" x14ac:dyDescent="0.55000000000000004">
      <c r="A1851" s="6">
        <v>1.61330462329647E+19</v>
      </c>
      <c r="B1851">
        <v>5</v>
      </c>
      <c r="C1851">
        <v>1</v>
      </c>
      <c r="D1851">
        <v>3</v>
      </c>
      <c r="E1851">
        <v>513</v>
      </c>
      <c r="F1851" t="s">
        <v>1228</v>
      </c>
    </row>
    <row r="1852" spans="1:6" x14ac:dyDescent="0.55000000000000004">
      <c r="A1852" s="6">
        <v>1.6133138332866609E+19</v>
      </c>
      <c r="B1852">
        <v>4</v>
      </c>
      <c r="C1852">
        <v>1</v>
      </c>
      <c r="D1852">
        <v>2</v>
      </c>
      <c r="E1852">
        <v>412</v>
      </c>
      <c r="F1852" t="s">
        <v>1233</v>
      </c>
    </row>
    <row r="1853" spans="1:6" x14ac:dyDescent="0.55000000000000004">
      <c r="A1853" s="6">
        <v>1.614429735529943E+19</v>
      </c>
      <c r="B1853">
        <v>5</v>
      </c>
      <c r="C1853">
        <v>1</v>
      </c>
      <c r="D1853">
        <v>2</v>
      </c>
      <c r="E1853">
        <v>512</v>
      </c>
      <c r="F1853" t="s">
        <v>1228</v>
      </c>
    </row>
    <row r="1854" spans="1:6" x14ac:dyDescent="0.55000000000000004">
      <c r="A1854" s="6">
        <v>1.6145584499031321E+19</v>
      </c>
      <c r="B1854">
        <v>2</v>
      </c>
      <c r="C1854">
        <v>1</v>
      </c>
      <c r="D1854">
        <v>1</v>
      </c>
      <c r="E1854">
        <v>211</v>
      </c>
      <c r="F1854" t="s">
        <v>1234</v>
      </c>
    </row>
    <row r="1855" spans="1:6" x14ac:dyDescent="0.55000000000000004">
      <c r="A1855" s="6">
        <v>1.6154370437383891E+19</v>
      </c>
      <c r="B1855">
        <v>3</v>
      </c>
      <c r="C1855">
        <v>1</v>
      </c>
      <c r="D1855">
        <v>1</v>
      </c>
      <c r="E1855">
        <v>311</v>
      </c>
      <c r="F1855" t="s">
        <v>1233</v>
      </c>
    </row>
    <row r="1856" spans="1:6" x14ac:dyDescent="0.55000000000000004">
      <c r="A1856" s="6">
        <v>1.61628271192128E+19</v>
      </c>
      <c r="B1856">
        <v>2</v>
      </c>
      <c r="C1856">
        <v>3</v>
      </c>
      <c r="D1856">
        <v>3</v>
      </c>
      <c r="E1856">
        <v>233</v>
      </c>
      <c r="F1856" t="s">
        <v>1231</v>
      </c>
    </row>
    <row r="1857" spans="1:6" x14ac:dyDescent="0.55000000000000004">
      <c r="A1857" s="6">
        <v>1.6170855760568191E+19</v>
      </c>
      <c r="B1857">
        <v>5</v>
      </c>
      <c r="C1857">
        <v>2</v>
      </c>
      <c r="D1857">
        <v>2</v>
      </c>
      <c r="E1857">
        <v>522</v>
      </c>
      <c r="F1857" t="s">
        <v>1229</v>
      </c>
    </row>
    <row r="1858" spans="1:6" x14ac:dyDescent="0.55000000000000004">
      <c r="A1858" s="6">
        <v>1.6172224122890871E+19</v>
      </c>
      <c r="B1858">
        <v>4</v>
      </c>
      <c r="C1858">
        <v>1</v>
      </c>
      <c r="D1858">
        <v>1</v>
      </c>
      <c r="E1858">
        <v>411</v>
      </c>
      <c r="F1858" t="s">
        <v>1233</v>
      </c>
    </row>
    <row r="1859" spans="1:6" x14ac:dyDescent="0.55000000000000004">
      <c r="A1859" s="6">
        <v>1.6193132783902421E+19</v>
      </c>
      <c r="B1859">
        <v>5</v>
      </c>
      <c r="C1859">
        <v>1</v>
      </c>
      <c r="D1859">
        <v>3</v>
      </c>
      <c r="E1859">
        <v>513</v>
      </c>
      <c r="F1859" t="s">
        <v>1228</v>
      </c>
    </row>
    <row r="1860" spans="1:6" x14ac:dyDescent="0.55000000000000004">
      <c r="A1860" s="6">
        <v>1.621339977381309E+19</v>
      </c>
      <c r="B1860">
        <v>5</v>
      </c>
      <c r="C1860">
        <v>1</v>
      </c>
      <c r="D1860">
        <v>1</v>
      </c>
      <c r="E1860">
        <v>511</v>
      </c>
      <c r="F1860" t="s">
        <v>1228</v>
      </c>
    </row>
    <row r="1861" spans="1:6" x14ac:dyDescent="0.55000000000000004">
      <c r="A1861" s="6">
        <v>1.622757487147571E+19</v>
      </c>
      <c r="B1861">
        <v>5</v>
      </c>
      <c r="C1861">
        <v>2</v>
      </c>
      <c r="D1861">
        <v>2</v>
      </c>
      <c r="E1861">
        <v>522</v>
      </c>
      <c r="F1861" t="s">
        <v>1229</v>
      </c>
    </row>
    <row r="1862" spans="1:6" x14ac:dyDescent="0.55000000000000004">
      <c r="A1862" s="6">
        <v>1.623089450224623E+19</v>
      </c>
      <c r="B1862">
        <v>5</v>
      </c>
      <c r="C1862">
        <v>1</v>
      </c>
      <c r="D1862">
        <v>2</v>
      </c>
      <c r="E1862">
        <v>512</v>
      </c>
      <c r="F1862" t="s">
        <v>1228</v>
      </c>
    </row>
    <row r="1863" spans="1:6" x14ac:dyDescent="0.55000000000000004">
      <c r="A1863" s="6">
        <v>1.6249781279755069E+19</v>
      </c>
      <c r="B1863">
        <v>4</v>
      </c>
      <c r="C1863">
        <v>1</v>
      </c>
      <c r="D1863">
        <v>2</v>
      </c>
      <c r="E1863">
        <v>412</v>
      </c>
      <c r="F1863" t="s">
        <v>1233</v>
      </c>
    </row>
    <row r="1864" spans="1:6" x14ac:dyDescent="0.55000000000000004">
      <c r="A1864" s="6">
        <v>1.627222207656344E+19</v>
      </c>
      <c r="B1864">
        <v>5</v>
      </c>
      <c r="C1864">
        <v>2</v>
      </c>
      <c r="D1864">
        <v>2</v>
      </c>
      <c r="E1864">
        <v>522</v>
      </c>
      <c r="F1864" t="s">
        <v>1229</v>
      </c>
    </row>
    <row r="1865" spans="1:6" x14ac:dyDescent="0.55000000000000004">
      <c r="A1865" s="6">
        <v>1.627590938849545E+19</v>
      </c>
      <c r="B1865">
        <v>3</v>
      </c>
      <c r="C1865">
        <v>1</v>
      </c>
      <c r="D1865">
        <v>3</v>
      </c>
      <c r="E1865">
        <v>313</v>
      </c>
      <c r="F1865" t="s">
        <v>1233</v>
      </c>
    </row>
    <row r="1866" spans="1:6" x14ac:dyDescent="0.55000000000000004">
      <c r="A1866" s="6">
        <v>1.6286136303727159E+19</v>
      </c>
      <c r="B1866">
        <v>4</v>
      </c>
      <c r="C1866">
        <v>2</v>
      </c>
      <c r="D1866">
        <v>2</v>
      </c>
      <c r="E1866">
        <v>422</v>
      </c>
      <c r="F1866" t="s">
        <v>1229</v>
      </c>
    </row>
    <row r="1867" spans="1:6" x14ac:dyDescent="0.55000000000000004">
      <c r="A1867" s="6">
        <v>1.629364327482625E+19</v>
      </c>
      <c r="B1867">
        <v>4</v>
      </c>
      <c r="C1867">
        <v>1</v>
      </c>
      <c r="D1867">
        <v>2</v>
      </c>
      <c r="E1867">
        <v>412</v>
      </c>
      <c r="F1867" t="s">
        <v>1233</v>
      </c>
    </row>
    <row r="1868" spans="1:6" x14ac:dyDescent="0.55000000000000004">
      <c r="A1868" s="6">
        <v>1.6295251240126349E+19</v>
      </c>
      <c r="B1868">
        <v>3</v>
      </c>
      <c r="C1868">
        <v>1</v>
      </c>
      <c r="D1868">
        <v>3</v>
      </c>
      <c r="E1868">
        <v>313</v>
      </c>
      <c r="F1868" t="s">
        <v>1233</v>
      </c>
    </row>
    <row r="1869" spans="1:6" x14ac:dyDescent="0.55000000000000004">
      <c r="A1869" s="6">
        <v>1.6299932316121301E+19</v>
      </c>
      <c r="B1869">
        <v>5</v>
      </c>
      <c r="C1869">
        <v>1</v>
      </c>
      <c r="D1869">
        <v>3</v>
      </c>
      <c r="E1869">
        <v>513</v>
      </c>
      <c r="F1869" t="s">
        <v>1228</v>
      </c>
    </row>
    <row r="1870" spans="1:6" x14ac:dyDescent="0.55000000000000004">
      <c r="A1870" s="6">
        <v>1.63031221324014E+19</v>
      </c>
      <c r="B1870">
        <v>5</v>
      </c>
      <c r="C1870">
        <v>1</v>
      </c>
      <c r="D1870">
        <v>2</v>
      </c>
      <c r="E1870">
        <v>512</v>
      </c>
      <c r="F1870" t="s">
        <v>1228</v>
      </c>
    </row>
    <row r="1871" spans="1:6" x14ac:dyDescent="0.55000000000000004">
      <c r="A1871" s="6">
        <v>1.632131349700778E+19</v>
      </c>
      <c r="B1871">
        <v>5</v>
      </c>
      <c r="C1871">
        <v>1</v>
      </c>
      <c r="D1871">
        <v>3</v>
      </c>
      <c r="E1871">
        <v>513</v>
      </c>
      <c r="F1871" t="s">
        <v>1228</v>
      </c>
    </row>
    <row r="1872" spans="1:6" x14ac:dyDescent="0.55000000000000004">
      <c r="A1872" s="6">
        <v>1.6322377794537411E+19</v>
      </c>
      <c r="B1872">
        <v>5</v>
      </c>
      <c r="C1872">
        <v>1</v>
      </c>
      <c r="D1872">
        <v>2</v>
      </c>
      <c r="E1872">
        <v>512</v>
      </c>
      <c r="F1872" t="s">
        <v>1228</v>
      </c>
    </row>
    <row r="1873" spans="1:6" x14ac:dyDescent="0.55000000000000004">
      <c r="A1873" s="6">
        <v>1.633488305632271E+19</v>
      </c>
      <c r="B1873">
        <v>5</v>
      </c>
      <c r="C1873">
        <v>1</v>
      </c>
      <c r="D1873">
        <v>2</v>
      </c>
      <c r="E1873">
        <v>512</v>
      </c>
      <c r="F1873" t="s">
        <v>1228</v>
      </c>
    </row>
    <row r="1874" spans="1:6" x14ac:dyDescent="0.55000000000000004">
      <c r="A1874" s="6">
        <v>1.634188583066522E+19</v>
      </c>
      <c r="B1874">
        <v>5</v>
      </c>
      <c r="C1874">
        <v>2</v>
      </c>
      <c r="D1874">
        <v>3</v>
      </c>
      <c r="E1874">
        <v>523</v>
      </c>
      <c r="F1874" t="s">
        <v>1229</v>
      </c>
    </row>
    <row r="1875" spans="1:6" x14ac:dyDescent="0.55000000000000004">
      <c r="A1875" s="6">
        <v>1.6348048213521639E+19</v>
      </c>
      <c r="B1875">
        <v>4</v>
      </c>
      <c r="C1875">
        <v>1</v>
      </c>
      <c r="D1875">
        <v>1</v>
      </c>
      <c r="E1875">
        <v>411</v>
      </c>
      <c r="F1875" t="s">
        <v>1233</v>
      </c>
    </row>
    <row r="1876" spans="1:6" x14ac:dyDescent="0.55000000000000004">
      <c r="A1876" s="6">
        <v>1.6352046609988569E+19</v>
      </c>
      <c r="B1876">
        <v>3</v>
      </c>
      <c r="C1876">
        <v>1</v>
      </c>
      <c r="D1876">
        <v>3</v>
      </c>
      <c r="E1876">
        <v>313</v>
      </c>
      <c r="F1876" t="s">
        <v>1233</v>
      </c>
    </row>
    <row r="1877" spans="1:6" x14ac:dyDescent="0.55000000000000004">
      <c r="A1877" s="6">
        <v>1.6357872062173041E+19</v>
      </c>
      <c r="B1877">
        <v>1</v>
      </c>
      <c r="C1877">
        <v>1</v>
      </c>
      <c r="D1877">
        <v>2</v>
      </c>
      <c r="E1877">
        <v>112</v>
      </c>
      <c r="F1877" t="s">
        <v>1234</v>
      </c>
    </row>
    <row r="1878" spans="1:6" x14ac:dyDescent="0.55000000000000004">
      <c r="A1878" s="6">
        <v>1.637289501695036E+19</v>
      </c>
      <c r="B1878">
        <v>1</v>
      </c>
      <c r="C1878">
        <v>1</v>
      </c>
      <c r="D1878">
        <v>1</v>
      </c>
      <c r="E1878">
        <v>111</v>
      </c>
      <c r="F1878" t="s">
        <v>1234</v>
      </c>
    </row>
    <row r="1879" spans="1:6" x14ac:dyDescent="0.55000000000000004">
      <c r="A1879" s="6">
        <v>1.637643127043243E+19</v>
      </c>
      <c r="B1879">
        <v>3</v>
      </c>
      <c r="C1879">
        <v>1</v>
      </c>
      <c r="D1879">
        <v>3</v>
      </c>
      <c r="E1879">
        <v>313</v>
      </c>
      <c r="F1879" t="s">
        <v>1233</v>
      </c>
    </row>
    <row r="1880" spans="1:6" x14ac:dyDescent="0.55000000000000004">
      <c r="A1880" s="6">
        <v>1.6377734152005571E+19</v>
      </c>
      <c r="B1880">
        <v>5</v>
      </c>
      <c r="C1880">
        <v>1</v>
      </c>
      <c r="D1880">
        <v>2</v>
      </c>
      <c r="E1880">
        <v>512</v>
      </c>
      <c r="F1880" t="s">
        <v>1228</v>
      </c>
    </row>
    <row r="1881" spans="1:6" x14ac:dyDescent="0.55000000000000004">
      <c r="A1881" s="6">
        <v>1.640554827617833E+19</v>
      </c>
      <c r="B1881">
        <v>3</v>
      </c>
      <c r="C1881">
        <v>2</v>
      </c>
      <c r="D1881">
        <v>3</v>
      </c>
      <c r="E1881">
        <v>323</v>
      </c>
      <c r="F1881" t="s">
        <v>1233</v>
      </c>
    </row>
    <row r="1882" spans="1:6" x14ac:dyDescent="0.55000000000000004">
      <c r="A1882" s="6">
        <v>1.640784717446102E+19</v>
      </c>
      <c r="B1882">
        <v>1</v>
      </c>
      <c r="C1882">
        <v>1</v>
      </c>
      <c r="D1882">
        <v>1</v>
      </c>
      <c r="E1882">
        <v>111</v>
      </c>
      <c r="F1882" t="s">
        <v>1234</v>
      </c>
    </row>
    <row r="1883" spans="1:6" x14ac:dyDescent="0.55000000000000004">
      <c r="A1883" s="6">
        <v>1.640879485980501E+19</v>
      </c>
      <c r="B1883">
        <v>3</v>
      </c>
      <c r="C1883">
        <v>1</v>
      </c>
      <c r="D1883">
        <v>3</v>
      </c>
      <c r="E1883">
        <v>313</v>
      </c>
      <c r="F1883" t="s">
        <v>1233</v>
      </c>
    </row>
    <row r="1884" spans="1:6" x14ac:dyDescent="0.55000000000000004">
      <c r="A1884" s="6">
        <v>1.6429661775723479E+19</v>
      </c>
      <c r="B1884">
        <v>5</v>
      </c>
      <c r="C1884">
        <v>2</v>
      </c>
      <c r="D1884">
        <v>2</v>
      </c>
      <c r="E1884">
        <v>522</v>
      </c>
      <c r="F1884" t="s">
        <v>1229</v>
      </c>
    </row>
    <row r="1885" spans="1:6" x14ac:dyDescent="0.55000000000000004">
      <c r="A1885" s="6">
        <v>1.64516283654221E+19</v>
      </c>
      <c r="B1885">
        <v>4</v>
      </c>
      <c r="C1885">
        <v>1</v>
      </c>
      <c r="D1885">
        <v>2</v>
      </c>
      <c r="E1885">
        <v>412</v>
      </c>
      <c r="F1885" t="s">
        <v>1233</v>
      </c>
    </row>
    <row r="1886" spans="1:6" x14ac:dyDescent="0.55000000000000004">
      <c r="A1886" s="6">
        <v>1.646635473202792E+19</v>
      </c>
      <c r="B1886">
        <v>5</v>
      </c>
      <c r="C1886">
        <v>3</v>
      </c>
      <c r="D1886">
        <v>2</v>
      </c>
      <c r="E1886">
        <v>532</v>
      </c>
      <c r="F1886" t="s">
        <v>1230</v>
      </c>
    </row>
    <row r="1887" spans="1:6" x14ac:dyDescent="0.55000000000000004">
      <c r="A1887" s="6">
        <v>1.6470547131161219E+19</v>
      </c>
      <c r="B1887">
        <v>5</v>
      </c>
      <c r="C1887">
        <v>1</v>
      </c>
      <c r="D1887">
        <v>2</v>
      </c>
      <c r="E1887">
        <v>512</v>
      </c>
      <c r="F1887" t="s">
        <v>1228</v>
      </c>
    </row>
    <row r="1888" spans="1:6" x14ac:dyDescent="0.55000000000000004">
      <c r="A1888" s="6">
        <v>1.647289932137508E+19</v>
      </c>
      <c r="B1888">
        <v>5</v>
      </c>
      <c r="C1888">
        <v>2</v>
      </c>
      <c r="D1888">
        <v>2</v>
      </c>
      <c r="E1888">
        <v>522</v>
      </c>
      <c r="F1888" t="s">
        <v>1229</v>
      </c>
    </row>
    <row r="1889" spans="1:6" x14ac:dyDescent="0.55000000000000004">
      <c r="A1889" s="6">
        <v>1.647551731788708E+19</v>
      </c>
      <c r="B1889">
        <v>4</v>
      </c>
      <c r="C1889">
        <v>1</v>
      </c>
      <c r="D1889">
        <v>1</v>
      </c>
      <c r="E1889">
        <v>411</v>
      </c>
      <c r="F1889" t="s">
        <v>1233</v>
      </c>
    </row>
    <row r="1890" spans="1:6" x14ac:dyDescent="0.55000000000000004">
      <c r="A1890" s="6">
        <v>1.6492270893537661E+19</v>
      </c>
      <c r="B1890">
        <v>1</v>
      </c>
      <c r="C1890">
        <v>1</v>
      </c>
      <c r="D1890">
        <v>1</v>
      </c>
      <c r="E1890">
        <v>111</v>
      </c>
      <c r="F1890" t="s">
        <v>1234</v>
      </c>
    </row>
    <row r="1891" spans="1:6" x14ac:dyDescent="0.55000000000000004">
      <c r="A1891" s="6">
        <v>1.6493277802192251E+19</v>
      </c>
      <c r="B1891">
        <v>1</v>
      </c>
      <c r="C1891">
        <v>1</v>
      </c>
      <c r="D1891">
        <v>1</v>
      </c>
      <c r="E1891">
        <v>111</v>
      </c>
      <c r="F1891" t="s">
        <v>1234</v>
      </c>
    </row>
    <row r="1892" spans="1:6" x14ac:dyDescent="0.55000000000000004">
      <c r="A1892" s="6">
        <v>1.649638375785138E+19</v>
      </c>
      <c r="B1892">
        <v>2</v>
      </c>
      <c r="C1892">
        <v>1</v>
      </c>
      <c r="D1892">
        <v>1</v>
      </c>
      <c r="E1892">
        <v>211</v>
      </c>
      <c r="F1892" t="s">
        <v>1234</v>
      </c>
    </row>
    <row r="1893" spans="1:6" x14ac:dyDescent="0.55000000000000004">
      <c r="A1893" s="6">
        <v>1.6500053159019121E+19</v>
      </c>
      <c r="B1893">
        <v>5</v>
      </c>
      <c r="C1893">
        <v>3</v>
      </c>
      <c r="D1893">
        <v>3</v>
      </c>
      <c r="E1893">
        <v>533</v>
      </c>
      <c r="F1893" t="s">
        <v>1230</v>
      </c>
    </row>
    <row r="1894" spans="1:6" x14ac:dyDescent="0.55000000000000004">
      <c r="A1894" s="6">
        <v>1.6508999763208319E+19</v>
      </c>
      <c r="B1894">
        <v>5</v>
      </c>
      <c r="C1894">
        <v>2</v>
      </c>
      <c r="D1894">
        <v>2</v>
      </c>
      <c r="E1894">
        <v>522</v>
      </c>
      <c r="F1894" t="s">
        <v>1229</v>
      </c>
    </row>
    <row r="1895" spans="1:6" x14ac:dyDescent="0.55000000000000004">
      <c r="A1895" s="6">
        <v>1.650922240021025E+19</v>
      </c>
      <c r="B1895">
        <v>5</v>
      </c>
      <c r="C1895">
        <v>2</v>
      </c>
      <c r="D1895">
        <v>2</v>
      </c>
      <c r="E1895">
        <v>522</v>
      </c>
      <c r="F1895" t="s">
        <v>1229</v>
      </c>
    </row>
    <row r="1896" spans="1:6" x14ac:dyDescent="0.55000000000000004">
      <c r="A1896" s="6">
        <v>1.6530110765076251E+19</v>
      </c>
      <c r="B1896">
        <v>3</v>
      </c>
      <c r="C1896">
        <v>1</v>
      </c>
      <c r="D1896">
        <v>1</v>
      </c>
      <c r="E1896">
        <v>311</v>
      </c>
      <c r="F1896" t="s">
        <v>1233</v>
      </c>
    </row>
    <row r="1897" spans="1:6" x14ac:dyDescent="0.55000000000000004">
      <c r="A1897" s="6">
        <v>1.65655313105826E+19</v>
      </c>
      <c r="B1897">
        <v>4</v>
      </c>
      <c r="C1897">
        <v>1</v>
      </c>
      <c r="D1897">
        <v>3</v>
      </c>
      <c r="E1897">
        <v>413</v>
      </c>
      <c r="F1897" t="s">
        <v>1233</v>
      </c>
    </row>
    <row r="1898" spans="1:6" x14ac:dyDescent="0.55000000000000004">
      <c r="A1898" s="6">
        <v>1.657858051704909E+19</v>
      </c>
      <c r="B1898">
        <v>3</v>
      </c>
      <c r="C1898">
        <v>1</v>
      </c>
      <c r="D1898">
        <v>1</v>
      </c>
      <c r="E1898">
        <v>311</v>
      </c>
      <c r="F1898" t="s">
        <v>1233</v>
      </c>
    </row>
    <row r="1899" spans="1:6" x14ac:dyDescent="0.55000000000000004">
      <c r="A1899" s="6">
        <v>1.6583533684433861E+19</v>
      </c>
      <c r="B1899">
        <v>3</v>
      </c>
      <c r="C1899">
        <v>1</v>
      </c>
      <c r="D1899">
        <v>1</v>
      </c>
      <c r="E1899">
        <v>311</v>
      </c>
      <c r="F1899" t="s">
        <v>1233</v>
      </c>
    </row>
    <row r="1900" spans="1:6" x14ac:dyDescent="0.55000000000000004">
      <c r="A1900" s="6">
        <v>1.659447872300382E+19</v>
      </c>
      <c r="B1900">
        <v>5</v>
      </c>
      <c r="C1900">
        <v>1</v>
      </c>
      <c r="D1900">
        <v>1</v>
      </c>
      <c r="E1900">
        <v>511</v>
      </c>
      <c r="F1900" t="s">
        <v>1228</v>
      </c>
    </row>
    <row r="1901" spans="1:6" x14ac:dyDescent="0.55000000000000004">
      <c r="A1901" s="6">
        <v>1.6598048745780359E+19</v>
      </c>
      <c r="B1901">
        <v>3</v>
      </c>
      <c r="C1901">
        <v>1</v>
      </c>
      <c r="D1901">
        <v>3</v>
      </c>
      <c r="E1901">
        <v>313</v>
      </c>
      <c r="F1901" t="s">
        <v>1233</v>
      </c>
    </row>
    <row r="1902" spans="1:6" x14ac:dyDescent="0.55000000000000004">
      <c r="A1902" s="6">
        <v>1.6622913504659589E+19</v>
      </c>
      <c r="B1902">
        <v>2</v>
      </c>
      <c r="C1902">
        <v>1</v>
      </c>
      <c r="D1902">
        <v>3</v>
      </c>
      <c r="E1902">
        <v>213</v>
      </c>
      <c r="F1902" t="s">
        <v>1234</v>
      </c>
    </row>
    <row r="1903" spans="1:6" x14ac:dyDescent="0.55000000000000004">
      <c r="A1903" s="6">
        <v>1.6629909964198941E+19</v>
      </c>
      <c r="B1903">
        <v>2</v>
      </c>
      <c r="C1903">
        <v>2</v>
      </c>
      <c r="D1903">
        <v>1</v>
      </c>
      <c r="E1903">
        <v>221</v>
      </c>
      <c r="F1903" t="s">
        <v>1234</v>
      </c>
    </row>
    <row r="1904" spans="1:6" x14ac:dyDescent="0.55000000000000004">
      <c r="A1904" s="6">
        <v>1.6642459519053869E+19</v>
      </c>
      <c r="B1904">
        <v>5</v>
      </c>
      <c r="C1904">
        <v>1</v>
      </c>
      <c r="D1904">
        <v>1</v>
      </c>
      <c r="E1904">
        <v>511</v>
      </c>
      <c r="F1904" t="s">
        <v>1228</v>
      </c>
    </row>
    <row r="1905" spans="1:6" x14ac:dyDescent="0.55000000000000004">
      <c r="A1905" s="6">
        <v>1.6644801055629181E+19</v>
      </c>
      <c r="B1905">
        <v>5</v>
      </c>
      <c r="C1905">
        <v>3</v>
      </c>
      <c r="D1905">
        <v>2</v>
      </c>
      <c r="E1905">
        <v>532</v>
      </c>
      <c r="F1905" t="s">
        <v>1230</v>
      </c>
    </row>
    <row r="1906" spans="1:6" x14ac:dyDescent="0.55000000000000004">
      <c r="A1906" s="6">
        <v>1.6648248093142911E+19</v>
      </c>
      <c r="B1906">
        <v>4</v>
      </c>
      <c r="C1906">
        <v>1</v>
      </c>
      <c r="D1906">
        <v>2</v>
      </c>
      <c r="E1906">
        <v>412</v>
      </c>
      <c r="F1906" t="s">
        <v>1233</v>
      </c>
    </row>
    <row r="1907" spans="1:6" x14ac:dyDescent="0.55000000000000004">
      <c r="A1907" s="6">
        <v>1.665388646333131E+19</v>
      </c>
      <c r="B1907">
        <v>5</v>
      </c>
      <c r="C1907">
        <v>2</v>
      </c>
      <c r="D1907">
        <v>3</v>
      </c>
      <c r="E1907">
        <v>523</v>
      </c>
      <c r="F1907" t="s">
        <v>1229</v>
      </c>
    </row>
    <row r="1908" spans="1:6" x14ac:dyDescent="0.55000000000000004">
      <c r="A1908" s="6">
        <v>1.6661811925703371E+19</v>
      </c>
      <c r="B1908">
        <v>5</v>
      </c>
      <c r="C1908">
        <v>1</v>
      </c>
      <c r="D1908">
        <v>1</v>
      </c>
      <c r="E1908">
        <v>511</v>
      </c>
      <c r="F1908" t="s">
        <v>1228</v>
      </c>
    </row>
    <row r="1909" spans="1:6" x14ac:dyDescent="0.55000000000000004">
      <c r="A1909" s="6">
        <v>1.666302565504528E+19</v>
      </c>
      <c r="B1909">
        <v>4</v>
      </c>
      <c r="C1909">
        <v>1</v>
      </c>
      <c r="D1909">
        <v>1</v>
      </c>
      <c r="E1909">
        <v>411</v>
      </c>
      <c r="F1909" t="s">
        <v>1233</v>
      </c>
    </row>
    <row r="1910" spans="1:6" x14ac:dyDescent="0.55000000000000004">
      <c r="A1910" s="6">
        <v>1.6665605870802829E+19</v>
      </c>
      <c r="B1910">
        <v>3</v>
      </c>
      <c r="C1910">
        <v>1</v>
      </c>
      <c r="D1910">
        <v>2</v>
      </c>
      <c r="E1910">
        <v>312</v>
      </c>
      <c r="F1910" t="s">
        <v>1233</v>
      </c>
    </row>
    <row r="1911" spans="1:6" x14ac:dyDescent="0.55000000000000004">
      <c r="A1911" s="6">
        <v>1.667248320503731E+19</v>
      </c>
      <c r="B1911">
        <v>4</v>
      </c>
      <c r="C1911">
        <v>1</v>
      </c>
      <c r="D1911">
        <v>1</v>
      </c>
      <c r="E1911">
        <v>411</v>
      </c>
      <c r="F1911" t="s">
        <v>1233</v>
      </c>
    </row>
    <row r="1912" spans="1:6" x14ac:dyDescent="0.55000000000000004">
      <c r="A1912" s="6">
        <v>1.6680587595195251E+19</v>
      </c>
      <c r="B1912">
        <v>5</v>
      </c>
      <c r="C1912">
        <v>1</v>
      </c>
      <c r="D1912">
        <v>3</v>
      </c>
      <c r="E1912">
        <v>513</v>
      </c>
      <c r="F1912" t="s">
        <v>1228</v>
      </c>
    </row>
    <row r="1913" spans="1:6" x14ac:dyDescent="0.55000000000000004">
      <c r="A1913" s="6">
        <v>1.669079002947565E+19</v>
      </c>
      <c r="B1913">
        <v>2</v>
      </c>
      <c r="C1913">
        <v>1</v>
      </c>
      <c r="D1913">
        <v>2</v>
      </c>
      <c r="E1913">
        <v>212</v>
      </c>
      <c r="F1913" t="s">
        <v>1234</v>
      </c>
    </row>
    <row r="1914" spans="1:6" x14ac:dyDescent="0.55000000000000004">
      <c r="A1914" s="6">
        <v>1.669571824780218E+19</v>
      </c>
      <c r="B1914">
        <v>3</v>
      </c>
      <c r="C1914">
        <v>2</v>
      </c>
      <c r="D1914">
        <v>2</v>
      </c>
      <c r="E1914">
        <v>322</v>
      </c>
      <c r="F1914" t="s">
        <v>1233</v>
      </c>
    </row>
    <row r="1915" spans="1:6" x14ac:dyDescent="0.55000000000000004">
      <c r="A1915" s="6">
        <v>1.6701735048719409E+19</v>
      </c>
      <c r="B1915">
        <v>5</v>
      </c>
      <c r="C1915">
        <v>1</v>
      </c>
      <c r="D1915">
        <v>2</v>
      </c>
      <c r="E1915">
        <v>512</v>
      </c>
      <c r="F1915" t="s">
        <v>1228</v>
      </c>
    </row>
    <row r="1916" spans="1:6" x14ac:dyDescent="0.55000000000000004">
      <c r="A1916" s="6">
        <v>1.670911701449976E+19</v>
      </c>
      <c r="B1916">
        <v>5</v>
      </c>
      <c r="C1916">
        <v>2</v>
      </c>
      <c r="D1916">
        <v>2</v>
      </c>
      <c r="E1916">
        <v>522</v>
      </c>
      <c r="F1916" t="s">
        <v>1229</v>
      </c>
    </row>
    <row r="1917" spans="1:6" x14ac:dyDescent="0.55000000000000004">
      <c r="A1917" s="6">
        <v>1.67115837018606E+19</v>
      </c>
      <c r="B1917">
        <v>2</v>
      </c>
      <c r="C1917">
        <v>1</v>
      </c>
      <c r="D1917">
        <v>2</v>
      </c>
      <c r="E1917">
        <v>212</v>
      </c>
      <c r="F1917" t="s">
        <v>1234</v>
      </c>
    </row>
    <row r="1918" spans="1:6" x14ac:dyDescent="0.55000000000000004">
      <c r="A1918" s="6">
        <v>1.671170596198391E+19</v>
      </c>
      <c r="B1918">
        <v>5</v>
      </c>
      <c r="C1918">
        <v>3</v>
      </c>
      <c r="D1918">
        <v>3</v>
      </c>
      <c r="E1918">
        <v>533</v>
      </c>
      <c r="F1918" t="s">
        <v>1230</v>
      </c>
    </row>
    <row r="1919" spans="1:6" x14ac:dyDescent="0.55000000000000004">
      <c r="A1919" s="6">
        <v>1.6724399162421451E+19</v>
      </c>
      <c r="B1919">
        <v>5</v>
      </c>
      <c r="C1919">
        <v>1</v>
      </c>
      <c r="D1919">
        <v>2</v>
      </c>
      <c r="E1919">
        <v>512</v>
      </c>
      <c r="F1919" t="s">
        <v>1228</v>
      </c>
    </row>
    <row r="1920" spans="1:6" x14ac:dyDescent="0.55000000000000004">
      <c r="A1920" s="6">
        <v>1.673274317856599E+19</v>
      </c>
      <c r="B1920">
        <v>3</v>
      </c>
      <c r="C1920">
        <v>1</v>
      </c>
      <c r="D1920">
        <v>3</v>
      </c>
      <c r="E1920">
        <v>313</v>
      </c>
      <c r="F1920" t="s">
        <v>1233</v>
      </c>
    </row>
    <row r="1921" spans="1:6" x14ac:dyDescent="0.55000000000000004">
      <c r="A1921" s="6">
        <v>1.6742988234076729E+19</v>
      </c>
      <c r="B1921">
        <v>4</v>
      </c>
      <c r="C1921">
        <v>1</v>
      </c>
      <c r="D1921">
        <v>2</v>
      </c>
      <c r="E1921">
        <v>412</v>
      </c>
      <c r="F1921" t="s">
        <v>1233</v>
      </c>
    </row>
    <row r="1922" spans="1:6" x14ac:dyDescent="0.55000000000000004">
      <c r="A1922" s="6">
        <v>1.675114799969938E+19</v>
      </c>
      <c r="B1922">
        <v>5</v>
      </c>
      <c r="C1922">
        <v>1</v>
      </c>
      <c r="D1922">
        <v>2</v>
      </c>
      <c r="E1922">
        <v>512</v>
      </c>
      <c r="F1922" t="s">
        <v>1228</v>
      </c>
    </row>
    <row r="1923" spans="1:6" x14ac:dyDescent="0.55000000000000004">
      <c r="A1923" s="6">
        <v>1.675574844922743E+19</v>
      </c>
      <c r="B1923">
        <v>5</v>
      </c>
      <c r="C1923">
        <v>1</v>
      </c>
      <c r="D1923">
        <v>1</v>
      </c>
      <c r="E1923">
        <v>511</v>
      </c>
      <c r="F1923" t="s">
        <v>1228</v>
      </c>
    </row>
    <row r="1924" spans="1:6" x14ac:dyDescent="0.55000000000000004">
      <c r="A1924" s="6">
        <v>1.676357141237368E+19</v>
      </c>
      <c r="B1924">
        <v>5</v>
      </c>
      <c r="C1924">
        <v>2</v>
      </c>
      <c r="D1924">
        <v>1</v>
      </c>
      <c r="E1924">
        <v>521</v>
      </c>
      <c r="F1924" t="s">
        <v>1229</v>
      </c>
    </row>
    <row r="1925" spans="1:6" x14ac:dyDescent="0.55000000000000004">
      <c r="A1925" s="6">
        <v>1.6771555217699459E+19</v>
      </c>
      <c r="B1925">
        <v>5</v>
      </c>
      <c r="C1925">
        <v>1</v>
      </c>
      <c r="D1925">
        <v>2</v>
      </c>
      <c r="E1925">
        <v>512</v>
      </c>
      <c r="F1925" t="s">
        <v>1228</v>
      </c>
    </row>
    <row r="1926" spans="1:6" x14ac:dyDescent="0.55000000000000004">
      <c r="A1926" s="6">
        <v>1.677269360641493E+19</v>
      </c>
      <c r="B1926">
        <v>3</v>
      </c>
      <c r="C1926">
        <v>1</v>
      </c>
      <c r="D1926">
        <v>1</v>
      </c>
      <c r="E1926">
        <v>311</v>
      </c>
      <c r="F1926" t="s">
        <v>1233</v>
      </c>
    </row>
    <row r="1927" spans="1:6" x14ac:dyDescent="0.55000000000000004">
      <c r="A1927" s="6">
        <v>1.6777193568567321E+19</v>
      </c>
      <c r="B1927">
        <v>4</v>
      </c>
      <c r="C1927">
        <v>2</v>
      </c>
      <c r="D1927">
        <v>3</v>
      </c>
      <c r="E1927">
        <v>423</v>
      </c>
      <c r="F1927" t="s">
        <v>1229</v>
      </c>
    </row>
    <row r="1928" spans="1:6" x14ac:dyDescent="0.55000000000000004">
      <c r="A1928" s="6">
        <v>1.679598666735361E+19</v>
      </c>
      <c r="B1928">
        <v>3</v>
      </c>
      <c r="C1928">
        <v>1</v>
      </c>
      <c r="D1928">
        <v>2</v>
      </c>
      <c r="E1928">
        <v>312</v>
      </c>
      <c r="F1928" t="s">
        <v>1233</v>
      </c>
    </row>
    <row r="1929" spans="1:6" x14ac:dyDescent="0.55000000000000004">
      <c r="A1929" s="6">
        <v>1.6798863010277089E+19</v>
      </c>
      <c r="B1929">
        <v>5</v>
      </c>
      <c r="C1929">
        <v>2</v>
      </c>
      <c r="D1929">
        <v>3</v>
      </c>
      <c r="E1929">
        <v>523</v>
      </c>
      <c r="F1929" t="s">
        <v>1229</v>
      </c>
    </row>
    <row r="1930" spans="1:6" x14ac:dyDescent="0.55000000000000004">
      <c r="A1930" s="6">
        <v>1.68054783561169E+19</v>
      </c>
      <c r="B1930">
        <v>4</v>
      </c>
      <c r="C1930">
        <v>1</v>
      </c>
      <c r="D1930">
        <v>1</v>
      </c>
      <c r="E1930">
        <v>411</v>
      </c>
      <c r="F1930" t="s">
        <v>1233</v>
      </c>
    </row>
    <row r="1931" spans="1:6" x14ac:dyDescent="0.55000000000000004">
      <c r="A1931" s="6">
        <v>1.6808117805538869E+19</v>
      </c>
      <c r="B1931">
        <v>5</v>
      </c>
      <c r="C1931">
        <v>3</v>
      </c>
      <c r="D1931">
        <v>3</v>
      </c>
      <c r="E1931">
        <v>533</v>
      </c>
      <c r="F1931" t="s">
        <v>1230</v>
      </c>
    </row>
    <row r="1932" spans="1:6" x14ac:dyDescent="0.55000000000000004">
      <c r="A1932" s="6">
        <v>1.681618764775117E+19</v>
      </c>
      <c r="B1932">
        <v>2</v>
      </c>
      <c r="C1932">
        <v>1</v>
      </c>
      <c r="D1932">
        <v>1</v>
      </c>
      <c r="E1932">
        <v>211</v>
      </c>
      <c r="F1932" t="s">
        <v>1234</v>
      </c>
    </row>
    <row r="1933" spans="1:6" x14ac:dyDescent="0.55000000000000004">
      <c r="A1933" s="6">
        <v>1.6828427059661771E+19</v>
      </c>
      <c r="B1933">
        <v>2</v>
      </c>
      <c r="C1933">
        <v>1</v>
      </c>
      <c r="D1933">
        <v>1</v>
      </c>
      <c r="E1933">
        <v>211</v>
      </c>
      <c r="F1933" t="s">
        <v>1234</v>
      </c>
    </row>
    <row r="1934" spans="1:6" x14ac:dyDescent="0.55000000000000004">
      <c r="A1934" s="6">
        <v>1.6835746633637411E+19</v>
      </c>
      <c r="B1934">
        <v>4</v>
      </c>
      <c r="C1934">
        <v>1</v>
      </c>
      <c r="D1934">
        <v>3</v>
      </c>
      <c r="E1934">
        <v>413</v>
      </c>
      <c r="F1934" t="s">
        <v>1233</v>
      </c>
    </row>
    <row r="1935" spans="1:6" x14ac:dyDescent="0.55000000000000004">
      <c r="A1935" s="6">
        <v>1.6843239157042E+19</v>
      </c>
      <c r="B1935">
        <v>3</v>
      </c>
      <c r="C1935">
        <v>1</v>
      </c>
      <c r="D1935">
        <v>1</v>
      </c>
      <c r="E1935">
        <v>311</v>
      </c>
      <c r="F1935" t="s">
        <v>1233</v>
      </c>
    </row>
    <row r="1936" spans="1:6" x14ac:dyDescent="0.55000000000000004">
      <c r="A1936" s="6">
        <v>1.684783760662197E+19</v>
      </c>
      <c r="B1936">
        <v>5</v>
      </c>
      <c r="C1936">
        <v>1</v>
      </c>
      <c r="D1936">
        <v>2</v>
      </c>
      <c r="E1936">
        <v>512</v>
      </c>
      <c r="F1936" t="s">
        <v>1228</v>
      </c>
    </row>
    <row r="1937" spans="1:6" x14ac:dyDescent="0.55000000000000004">
      <c r="A1937" s="6">
        <v>1.6848572918924741E+19</v>
      </c>
      <c r="B1937">
        <v>3</v>
      </c>
      <c r="C1937">
        <v>1</v>
      </c>
      <c r="D1937">
        <v>1</v>
      </c>
      <c r="E1937">
        <v>311</v>
      </c>
      <c r="F1937" t="s">
        <v>1233</v>
      </c>
    </row>
    <row r="1938" spans="1:6" x14ac:dyDescent="0.55000000000000004">
      <c r="A1938" s="6">
        <v>1.685469016719214E+19</v>
      </c>
      <c r="B1938">
        <v>5</v>
      </c>
      <c r="C1938">
        <v>3</v>
      </c>
      <c r="D1938">
        <v>3</v>
      </c>
      <c r="E1938">
        <v>533</v>
      </c>
      <c r="F1938" t="s">
        <v>1230</v>
      </c>
    </row>
    <row r="1939" spans="1:6" x14ac:dyDescent="0.55000000000000004">
      <c r="A1939" s="6">
        <v>1.6854811492381499E+19</v>
      </c>
      <c r="B1939">
        <v>3</v>
      </c>
      <c r="C1939">
        <v>2</v>
      </c>
      <c r="D1939">
        <v>3</v>
      </c>
      <c r="E1939">
        <v>323</v>
      </c>
      <c r="F1939" t="s">
        <v>1233</v>
      </c>
    </row>
    <row r="1940" spans="1:6" x14ac:dyDescent="0.55000000000000004">
      <c r="A1940" s="6">
        <v>1.686344105198377E+19</v>
      </c>
      <c r="B1940">
        <v>2</v>
      </c>
      <c r="C1940">
        <v>1</v>
      </c>
      <c r="D1940">
        <v>1</v>
      </c>
      <c r="E1940">
        <v>211</v>
      </c>
      <c r="F1940" t="s">
        <v>1234</v>
      </c>
    </row>
    <row r="1941" spans="1:6" x14ac:dyDescent="0.55000000000000004">
      <c r="A1941" s="6">
        <v>1.6866689558705279E+19</v>
      </c>
      <c r="B1941">
        <v>4</v>
      </c>
      <c r="C1941">
        <v>1</v>
      </c>
      <c r="D1941">
        <v>1</v>
      </c>
      <c r="E1941">
        <v>411</v>
      </c>
      <c r="F1941" t="s">
        <v>1233</v>
      </c>
    </row>
    <row r="1942" spans="1:6" x14ac:dyDescent="0.55000000000000004">
      <c r="A1942" s="6">
        <v>1.6892110945713719E+19</v>
      </c>
      <c r="B1942">
        <v>5</v>
      </c>
      <c r="C1942">
        <v>2</v>
      </c>
      <c r="D1942">
        <v>3</v>
      </c>
      <c r="E1942">
        <v>523</v>
      </c>
      <c r="F1942" t="s">
        <v>1229</v>
      </c>
    </row>
    <row r="1943" spans="1:6" x14ac:dyDescent="0.55000000000000004">
      <c r="A1943" s="6">
        <v>1.690305298798652E+19</v>
      </c>
      <c r="B1943">
        <v>2</v>
      </c>
      <c r="C1943">
        <v>1</v>
      </c>
      <c r="D1943">
        <v>1</v>
      </c>
      <c r="E1943">
        <v>211</v>
      </c>
      <c r="F1943" t="s">
        <v>1234</v>
      </c>
    </row>
    <row r="1944" spans="1:6" x14ac:dyDescent="0.55000000000000004">
      <c r="A1944" s="6">
        <v>1.6915568040098779E+19</v>
      </c>
      <c r="B1944">
        <v>4</v>
      </c>
      <c r="C1944">
        <v>2</v>
      </c>
      <c r="D1944">
        <v>3</v>
      </c>
      <c r="E1944">
        <v>423</v>
      </c>
      <c r="F1944" t="s">
        <v>1229</v>
      </c>
    </row>
    <row r="1945" spans="1:6" x14ac:dyDescent="0.55000000000000004">
      <c r="A1945" s="6">
        <v>1.691837402705929E+19</v>
      </c>
      <c r="B1945">
        <v>4</v>
      </c>
      <c r="C1945">
        <v>1</v>
      </c>
      <c r="D1945">
        <v>2</v>
      </c>
      <c r="E1945">
        <v>412</v>
      </c>
      <c r="F1945" t="s">
        <v>1233</v>
      </c>
    </row>
    <row r="1946" spans="1:6" x14ac:dyDescent="0.55000000000000004">
      <c r="A1946" s="6">
        <v>1.693120736134671E+19</v>
      </c>
      <c r="B1946">
        <v>5</v>
      </c>
      <c r="C1946">
        <v>1</v>
      </c>
      <c r="D1946">
        <v>3</v>
      </c>
      <c r="E1946">
        <v>513</v>
      </c>
      <c r="F1946" t="s">
        <v>1228</v>
      </c>
    </row>
    <row r="1947" spans="1:6" x14ac:dyDescent="0.55000000000000004">
      <c r="A1947" s="6">
        <v>1.6942746840926949E+19</v>
      </c>
      <c r="B1947">
        <v>4</v>
      </c>
      <c r="C1947">
        <v>3</v>
      </c>
      <c r="D1947">
        <v>3</v>
      </c>
      <c r="E1947">
        <v>433</v>
      </c>
      <c r="F1947" t="s">
        <v>1230</v>
      </c>
    </row>
    <row r="1948" spans="1:6" x14ac:dyDescent="0.55000000000000004">
      <c r="A1948" s="6">
        <v>1.6955885148495741E+19</v>
      </c>
      <c r="B1948">
        <v>1</v>
      </c>
      <c r="C1948">
        <v>1</v>
      </c>
      <c r="D1948">
        <v>2</v>
      </c>
      <c r="E1948">
        <v>112</v>
      </c>
      <c r="F1948" t="s">
        <v>1234</v>
      </c>
    </row>
    <row r="1949" spans="1:6" x14ac:dyDescent="0.55000000000000004">
      <c r="A1949" s="6">
        <v>1.698347685318213E+19</v>
      </c>
      <c r="B1949">
        <v>5</v>
      </c>
      <c r="C1949">
        <v>1</v>
      </c>
      <c r="D1949">
        <v>3</v>
      </c>
      <c r="E1949">
        <v>513</v>
      </c>
      <c r="F1949" t="s">
        <v>1228</v>
      </c>
    </row>
    <row r="1950" spans="1:6" x14ac:dyDescent="0.55000000000000004">
      <c r="A1950" s="6">
        <v>1.698759223686554E+19</v>
      </c>
      <c r="B1950">
        <v>3</v>
      </c>
      <c r="C1950">
        <v>1</v>
      </c>
      <c r="D1950">
        <v>1</v>
      </c>
      <c r="E1950">
        <v>311</v>
      </c>
      <c r="F1950" t="s">
        <v>1233</v>
      </c>
    </row>
    <row r="1951" spans="1:6" x14ac:dyDescent="0.55000000000000004">
      <c r="A1951" s="6">
        <v>1.701416435649273E+19</v>
      </c>
      <c r="B1951">
        <v>4</v>
      </c>
      <c r="C1951">
        <v>1</v>
      </c>
      <c r="D1951">
        <v>2</v>
      </c>
      <c r="E1951">
        <v>412</v>
      </c>
      <c r="F1951" t="s">
        <v>1233</v>
      </c>
    </row>
    <row r="1952" spans="1:6" x14ac:dyDescent="0.55000000000000004">
      <c r="A1952" s="6">
        <v>1.70230953070644E+19</v>
      </c>
      <c r="B1952">
        <v>2</v>
      </c>
      <c r="C1952">
        <v>2</v>
      </c>
      <c r="D1952">
        <v>3</v>
      </c>
      <c r="E1952">
        <v>223</v>
      </c>
      <c r="F1952" t="s">
        <v>1234</v>
      </c>
    </row>
    <row r="1953" spans="1:6" x14ac:dyDescent="0.55000000000000004">
      <c r="A1953" s="6">
        <v>1.7037595928923709E+19</v>
      </c>
      <c r="B1953">
        <v>4</v>
      </c>
      <c r="C1953">
        <v>1</v>
      </c>
      <c r="D1953">
        <v>1</v>
      </c>
      <c r="E1953">
        <v>411</v>
      </c>
      <c r="F1953" t="s">
        <v>1233</v>
      </c>
    </row>
    <row r="1954" spans="1:6" x14ac:dyDescent="0.55000000000000004">
      <c r="A1954" s="6">
        <v>1.7057264045690991E+19</v>
      </c>
      <c r="B1954">
        <v>3</v>
      </c>
      <c r="C1954">
        <v>1</v>
      </c>
      <c r="D1954">
        <v>2</v>
      </c>
      <c r="E1954">
        <v>312</v>
      </c>
      <c r="F1954" t="s">
        <v>1233</v>
      </c>
    </row>
    <row r="1955" spans="1:6" x14ac:dyDescent="0.55000000000000004">
      <c r="A1955" s="6">
        <v>1.706242839478902E+19</v>
      </c>
      <c r="B1955">
        <v>4</v>
      </c>
      <c r="C1955">
        <v>2</v>
      </c>
      <c r="D1955">
        <v>2</v>
      </c>
      <c r="E1955">
        <v>422</v>
      </c>
      <c r="F1955" t="s">
        <v>1229</v>
      </c>
    </row>
    <row r="1956" spans="1:6" x14ac:dyDescent="0.55000000000000004">
      <c r="A1956" s="6">
        <v>1.706372138256819E+19</v>
      </c>
      <c r="B1956">
        <v>4</v>
      </c>
      <c r="C1956">
        <v>1</v>
      </c>
      <c r="D1956">
        <v>3</v>
      </c>
      <c r="E1956">
        <v>413</v>
      </c>
      <c r="F1956" t="s">
        <v>1233</v>
      </c>
    </row>
    <row r="1957" spans="1:6" x14ac:dyDescent="0.55000000000000004">
      <c r="A1957" s="6">
        <v>1.7064670473445911E+19</v>
      </c>
      <c r="B1957">
        <v>2</v>
      </c>
      <c r="C1957">
        <v>1</v>
      </c>
      <c r="D1957">
        <v>2</v>
      </c>
      <c r="E1957">
        <v>212</v>
      </c>
      <c r="F1957" t="s">
        <v>1234</v>
      </c>
    </row>
    <row r="1958" spans="1:6" x14ac:dyDescent="0.55000000000000004">
      <c r="A1958" s="6">
        <v>1.708265761661158E+19</v>
      </c>
      <c r="B1958">
        <v>5</v>
      </c>
      <c r="C1958">
        <v>1</v>
      </c>
      <c r="D1958">
        <v>1</v>
      </c>
      <c r="E1958">
        <v>511</v>
      </c>
      <c r="F1958" t="s">
        <v>1228</v>
      </c>
    </row>
    <row r="1959" spans="1:6" x14ac:dyDescent="0.55000000000000004">
      <c r="A1959" s="6">
        <v>1.709462589206537E+19</v>
      </c>
      <c r="B1959">
        <v>3</v>
      </c>
      <c r="C1959">
        <v>2</v>
      </c>
      <c r="D1959">
        <v>1</v>
      </c>
      <c r="E1959">
        <v>321</v>
      </c>
      <c r="F1959" t="s">
        <v>1233</v>
      </c>
    </row>
    <row r="1960" spans="1:6" x14ac:dyDescent="0.55000000000000004">
      <c r="A1960" s="6">
        <v>1.7101959863354759E+19</v>
      </c>
      <c r="B1960">
        <v>5</v>
      </c>
      <c r="C1960">
        <v>1</v>
      </c>
      <c r="D1960">
        <v>3</v>
      </c>
      <c r="E1960">
        <v>513</v>
      </c>
      <c r="F1960" t="s">
        <v>1228</v>
      </c>
    </row>
    <row r="1961" spans="1:6" x14ac:dyDescent="0.55000000000000004">
      <c r="A1961" s="6">
        <v>1.710465129836398E+19</v>
      </c>
      <c r="B1961">
        <v>4</v>
      </c>
      <c r="C1961">
        <v>2</v>
      </c>
      <c r="D1961">
        <v>3</v>
      </c>
      <c r="E1961">
        <v>423</v>
      </c>
      <c r="F1961" t="s">
        <v>1229</v>
      </c>
    </row>
    <row r="1962" spans="1:6" x14ac:dyDescent="0.55000000000000004">
      <c r="A1962" s="6">
        <v>1.714029759982669E+19</v>
      </c>
      <c r="B1962">
        <v>4</v>
      </c>
      <c r="C1962">
        <v>1</v>
      </c>
      <c r="D1962">
        <v>2</v>
      </c>
      <c r="E1962">
        <v>412</v>
      </c>
      <c r="F1962" t="s">
        <v>1233</v>
      </c>
    </row>
    <row r="1963" spans="1:6" x14ac:dyDescent="0.55000000000000004">
      <c r="A1963" s="6">
        <v>1.7144049074298481E+19</v>
      </c>
      <c r="B1963">
        <v>3</v>
      </c>
      <c r="C1963">
        <v>1</v>
      </c>
      <c r="D1963">
        <v>2</v>
      </c>
      <c r="E1963">
        <v>312</v>
      </c>
      <c r="F1963" t="s">
        <v>1233</v>
      </c>
    </row>
    <row r="1964" spans="1:6" x14ac:dyDescent="0.55000000000000004">
      <c r="A1964" s="6">
        <v>1.718629974621432E+19</v>
      </c>
      <c r="B1964">
        <v>5</v>
      </c>
      <c r="C1964">
        <v>1</v>
      </c>
      <c r="D1964">
        <v>3</v>
      </c>
      <c r="E1964">
        <v>513</v>
      </c>
      <c r="F1964" t="s">
        <v>1228</v>
      </c>
    </row>
    <row r="1965" spans="1:6" x14ac:dyDescent="0.55000000000000004">
      <c r="A1965" s="6">
        <v>1.7193496902024231E+19</v>
      </c>
      <c r="B1965">
        <v>2</v>
      </c>
      <c r="C1965">
        <v>1</v>
      </c>
      <c r="D1965">
        <v>2</v>
      </c>
      <c r="E1965">
        <v>212</v>
      </c>
      <c r="F1965" t="s">
        <v>1234</v>
      </c>
    </row>
    <row r="1966" spans="1:6" x14ac:dyDescent="0.55000000000000004">
      <c r="A1966" s="6">
        <v>1.719510632926738E+19</v>
      </c>
      <c r="B1966">
        <v>5</v>
      </c>
      <c r="C1966">
        <v>1</v>
      </c>
      <c r="D1966">
        <v>3</v>
      </c>
      <c r="E1966">
        <v>513</v>
      </c>
      <c r="F1966" t="s">
        <v>1228</v>
      </c>
    </row>
    <row r="1967" spans="1:6" x14ac:dyDescent="0.55000000000000004">
      <c r="A1967" s="6">
        <v>1.7195823753244791E+19</v>
      </c>
      <c r="B1967">
        <v>5</v>
      </c>
      <c r="C1967">
        <v>3</v>
      </c>
      <c r="D1967">
        <v>2</v>
      </c>
      <c r="E1967">
        <v>532</v>
      </c>
      <c r="F1967" t="s">
        <v>1230</v>
      </c>
    </row>
    <row r="1968" spans="1:6" x14ac:dyDescent="0.55000000000000004">
      <c r="A1968" s="6">
        <v>1.7208461186914601E+19</v>
      </c>
      <c r="B1968">
        <v>2</v>
      </c>
      <c r="C1968">
        <v>1</v>
      </c>
      <c r="D1968">
        <v>2</v>
      </c>
      <c r="E1968">
        <v>212</v>
      </c>
      <c r="F1968" t="s">
        <v>1234</v>
      </c>
    </row>
    <row r="1969" spans="1:6" x14ac:dyDescent="0.55000000000000004">
      <c r="A1969" s="6">
        <v>1.721946926227517E+19</v>
      </c>
      <c r="B1969">
        <v>5</v>
      </c>
      <c r="C1969">
        <v>1</v>
      </c>
      <c r="D1969">
        <v>2</v>
      </c>
      <c r="E1969">
        <v>512</v>
      </c>
      <c r="F1969" t="s">
        <v>1228</v>
      </c>
    </row>
    <row r="1970" spans="1:6" x14ac:dyDescent="0.55000000000000004">
      <c r="A1970" s="6">
        <v>1.7230858762118959E+19</v>
      </c>
      <c r="B1970">
        <v>4</v>
      </c>
      <c r="C1970">
        <v>1</v>
      </c>
      <c r="D1970">
        <v>3</v>
      </c>
      <c r="E1970">
        <v>413</v>
      </c>
      <c r="F1970" t="s">
        <v>1233</v>
      </c>
    </row>
    <row r="1971" spans="1:6" x14ac:dyDescent="0.55000000000000004">
      <c r="A1971" s="6">
        <v>1.723221723891175E+19</v>
      </c>
      <c r="B1971">
        <v>4</v>
      </c>
      <c r="C1971">
        <v>1</v>
      </c>
      <c r="D1971">
        <v>2</v>
      </c>
      <c r="E1971">
        <v>412</v>
      </c>
      <c r="F1971" t="s">
        <v>1233</v>
      </c>
    </row>
    <row r="1972" spans="1:6" x14ac:dyDescent="0.55000000000000004">
      <c r="A1972" s="6">
        <v>1.7244448920772749E+19</v>
      </c>
      <c r="B1972">
        <v>3</v>
      </c>
      <c r="C1972">
        <v>1</v>
      </c>
      <c r="D1972">
        <v>2</v>
      </c>
      <c r="E1972">
        <v>312</v>
      </c>
      <c r="F1972" t="s">
        <v>1233</v>
      </c>
    </row>
    <row r="1973" spans="1:6" x14ac:dyDescent="0.55000000000000004">
      <c r="A1973" s="6">
        <v>1.7245230336518781E+19</v>
      </c>
      <c r="B1973">
        <v>5</v>
      </c>
      <c r="C1973">
        <v>2</v>
      </c>
      <c r="D1973">
        <v>3</v>
      </c>
      <c r="E1973">
        <v>523</v>
      </c>
      <c r="F1973" t="s">
        <v>1229</v>
      </c>
    </row>
    <row r="1974" spans="1:6" x14ac:dyDescent="0.55000000000000004">
      <c r="A1974" s="6">
        <v>1.724830351432611E+19</v>
      </c>
      <c r="B1974">
        <v>3</v>
      </c>
      <c r="C1974">
        <v>1</v>
      </c>
      <c r="D1974">
        <v>3</v>
      </c>
      <c r="E1974">
        <v>313</v>
      </c>
      <c r="F1974" t="s">
        <v>1233</v>
      </c>
    </row>
    <row r="1975" spans="1:6" x14ac:dyDescent="0.55000000000000004">
      <c r="A1975" s="6">
        <v>1.7258647960044689E+19</v>
      </c>
      <c r="B1975">
        <v>5</v>
      </c>
      <c r="C1975">
        <v>2</v>
      </c>
      <c r="D1975">
        <v>3</v>
      </c>
      <c r="E1975">
        <v>523</v>
      </c>
      <c r="F1975" t="s">
        <v>1229</v>
      </c>
    </row>
    <row r="1976" spans="1:6" x14ac:dyDescent="0.55000000000000004">
      <c r="A1976" s="6">
        <v>1.726111980381961E+19</v>
      </c>
      <c r="B1976">
        <v>1</v>
      </c>
      <c r="C1976">
        <v>1</v>
      </c>
      <c r="D1976">
        <v>2</v>
      </c>
      <c r="E1976">
        <v>112</v>
      </c>
      <c r="F1976" t="s">
        <v>1234</v>
      </c>
    </row>
    <row r="1977" spans="1:6" x14ac:dyDescent="0.55000000000000004">
      <c r="A1977" s="6">
        <v>1.7263309530364119E+19</v>
      </c>
      <c r="B1977">
        <v>4</v>
      </c>
      <c r="C1977">
        <v>1</v>
      </c>
      <c r="D1977">
        <v>1</v>
      </c>
      <c r="E1977">
        <v>411</v>
      </c>
      <c r="F1977" t="s">
        <v>1233</v>
      </c>
    </row>
    <row r="1978" spans="1:6" x14ac:dyDescent="0.55000000000000004">
      <c r="A1978" s="6">
        <v>1.7269617080025881E+19</v>
      </c>
      <c r="B1978">
        <v>3</v>
      </c>
      <c r="C1978">
        <v>1</v>
      </c>
      <c r="D1978">
        <v>1</v>
      </c>
      <c r="E1978">
        <v>311</v>
      </c>
      <c r="F1978" t="s">
        <v>1233</v>
      </c>
    </row>
    <row r="1979" spans="1:6" x14ac:dyDescent="0.55000000000000004">
      <c r="A1979" s="6">
        <v>1.7273082300137501E+19</v>
      </c>
      <c r="B1979">
        <v>5</v>
      </c>
      <c r="C1979">
        <v>2</v>
      </c>
      <c r="D1979">
        <v>3</v>
      </c>
      <c r="E1979">
        <v>523</v>
      </c>
      <c r="F1979" t="s">
        <v>1229</v>
      </c>
    </row>
    <row r="1980" spans="1:6" x14ac:dyDescent="0.55000000000000004">
      <c r="A1980" s="6">
        <v>1.7279929082511679E+19</v>
      </c>
      <c r="B1980">
        <v>4</v>
      </c>
      <c r="C1980">
        <v>1</v>
      </c>
      <c r="D1980">
        <v>1</v>
      </c>
      <c r="E1980">
        <v>411</v>
      </c>
      <c r="F1980" t="s">
        <v>1233</v>
      </c>
    </row>
    <row r="1981" spans="1:6" x14ac:dyDescent="0.55000000000000004">
      <c r="A1981" s="6">
        <v>1.728308851418914E+19</v>
      </c>
      <c r="B1981">
        <v>5</v>
      </c>
      <c r="C1981">
        <v>2</v>
      </c>
      <c r="D1981">
        <v>3</v>
      </c>
      <c r="E1981">
        <v>523</v>
      </c>
      <c r="F1981" t="s">
        <v>1229</v>
      </c>
    </row>
    <row r="1982" spans="1:6" x14ac:dyDescent="0.55000000000000004">
      <c r="A1982" s="6">
        <v>1.73052055947601E+19</v>
      </c>
      <c r="B1982">
        <v>4</v>
      </c>
      <c r="C1982">
        <v>2</v>
      </c>
      <c r="D1982">
        <v>1</v>
      </c>
      <c r="E1982">
        <v>421</v>
      </c>
      <c r="F1982" t="s">
        <v>1229</v>
      </c>
    </row>
    <row r="1983" spans="1:6" x14ac:dyDescent="0.55000000000000004">
      <c r="A1983" s="6">
        <v>1.732278700249387E+19</v>
      </c>
      <c r="B1983">
        <v>1</v>
      </c>
      <c r="C1983">
        <v>1</v>
      </c>
      <c r="D1983">
        <v>1</v>
      </c>
      <c r="E1983">
        <v>111</v>
      </c>
      <c r="F1983" t="s">
        <v>1234</v>
      </c>
    </row>
    <row r="1984" spans="1:6" x14ac:dyDescent="0.55000000000000004">
      <c r="A1984" s="6">
        <v>1.732389790384988E+19</v>
      </c>
      <c r="B1984">
        <v>4</v>
      </c>
      <c r="C1984">
        <v>1</v>
      </c>
      <c r="D1984">
        <v>1</v>
      </c>
      <c r="E1984">
        <v>411</v>
      </c>
      <c r="F1984" t="s">
        <v>1233</v>
      </c>
    </row>
    <row r="1985" spans="1:6" x14ac:dyDescent="0.55000000000000004">
      <c r="A1985" s="6">
        <v>1.732494372109797E+19</v>
      </c>
      <c r="B1985">
        <v>3</v>
      </c>
      <c r="C1985">
        <v>1</v>
      </c>
      <c r="D1985">
        <v>1</v>
      </c>
      <c r="E1985">
        <v>311</v>
      </c>
      <c r="F1985" t="s">
        <v>1233</v>
      </c>
    </row>
    <row r="1986" spans="1:6" x14ac:dyDescent="0.55000000000000004">
      <c r="A1986" s="6">
        <v>1.733656592255062E+19</v>
      </c>
      <c r="B1986">
        <v>3</v>
      </c>
      <c r="C1986">
        <v>2</v>
      </c>
      <c r="D1986">
        <v>1</v>
      </c>
      <c r="E1986">
        <v>321</v>
      </c>
      <c r="F1986" t="s">
        <v>1233</v>
      </c>
    </row>
    <row r="1987" spans="1:6" x14ac:dyDescent="0.55000000000000004">
      <c r="A1987" s="6">
        <v>1.733921156462797E+19</v>
      </c>
      <c r="B1987">
        <v>3</v>
      </c>
      <c r="C1987">
        <v>1</v>
      </c>
      <c r="D1987">
        <v>1</v>
      </c>
      <c r="E1987">
        <v>311</v>
      </c>
      <c r="F1987" t="s">
        <v>1233</v>
      </c>
    </row>
    <row r="1988" spans="1:6" x14ac:dyDescent="0.55000000000000004">
      <c r="A1988" s="6">
        <v>1.73458171227591E+19</v>
      </c>
      <c r="B1988">
        <v>5</v>
      </c>
      <c r="C1988">
        <v>2</v>
      </c>
      <c r="D1988">
        <v>3</v>
      </c>
      <c r="E1988">
        <v>523</v>
      </c>
      <c r="F1988" t="s">
        <v>1229</v>
      </c>
    </row>
    <row r="1989" spans="1:6" x14ac:dyDescent="0.55000000000000004">
      <c r="A1989" s="6">
        <v>1.735436323830385E+19</v>
      </c>
      <c r="B1989">
        <v>2</v>
      </c>
      <c r="C1989">
        <v>1</v>
      </c>
      <c r="D1989">
        <v>1</v>
      </c>
      <c r="E1989">
        <v>211</v>
      </c>
      <c r="F1989" t="s">
        <v>1234</v>
      </c>
    </row>
    <row r="1990" spans="1:6" x14ac:dyDescent="0.55000000000000004">
      <c r="A1990" s="6">
        <v>1.736292643533686E+19</v>
      </c>
      <c r="B1990">
        <v>5</v>
      </c>
      <c r="C1990">
        <v>1</v>
      </c>
      <c r="D1990">
        <v>2</v>
      </c>
      <c r="E1990">
        <v>512</v>
      </c>
      <c r="F1990" t="s">
        <v>1228</v>
      </c>
    </row>
    <row r="1991" spans="1:6" x14ac:dyDescent="0.55000000000000004">
      <c r="A1991" s="6">
        <v>1.736830604946673E+19</v>
      </c>
      <c r="B1991">
        <v>5</v>
      </c>
      <c r="C1991">
        <v>1</v>
      </c>
      <c r="D1991">
        <v>1</v>
      </c>
      <c r="E1991">
        <v>511</v>
      </c>
      <c r="F1991" t="s">
        <v>1228</v>
      </c>
    </row>
    <row r="1992" spans="1:6" x14ac:dyDescent="0.55000000000000004">
      <c r="A1992" s="6">
        <v>1.740634595632409E+19</v>
      </c>
      <c r="B1992">
        <v>5</v>
      </c>
      <c r="C1992">
        <v>1</v>
      </c>
      <c r="D1992">
        <v>1</v>
      </c>
      <c r="E1992">
        <v>511</v>
      </c>
      <c r="F1992" t="s">
        <v>1228</v>
      </c>
    </row>
    <row r="1993" spans="1:6" x14ac:dyDescent="0.55000000000000004">
      <c r="A1993" s="6">
        <v>1.740972210083438E+19</v>
      </c>
      <c r="B1993">
        <v>1</v>
      </c>
      <c r="C1993">
        <v>1</v>
      </c>
      <c r="D1993">
        <v>1</v>
      </c>
      <c r="E1993">
        <v>111</v>
      </c>
      <c r="F1993" t="s">
        <v>1234</v>
      </c>
    </row>
    <row r="1994" spans="1:6" x14ac:dyDescent="0.55000000000000004">
      <c r="A1994" s="6">
        <v>1.7412463055458251E+19</v>
      </c>
      <c r="B1994">
        <v>5</v>
      </c>
      <c r="C1994">
        <v>1</v>
      </c>
      <c r="D1994">
        <v>1</v>
      </c>
      <c r="E1994">
        <v>511</v>
      </c>
      <c r="F1994" t="s">
        <v>1228</v>
      </c>
    </row>
    <row r="1995" spans="1:6" x14ac:dyDescent="0.55000000000000004">
      <c r="A1995" s="6">
        <v>1.7418151020740131E+19</v>
      </c>
      <c r="B1995">
        <v>4</v>
      </c>
      <c r="C1995">
        <v>2</v>
      </c>
      <c r="D1995">
        <v>3</v>
      </c>
      <c r="E1995">
        <v>423</v>
      </c>
      <c r="F1995" t="s">
        <v>1229</v>
      </c>
    </row>
    <row r="1996" spans="1:6" x14ac:dyDescent="0.55000000000000004">
      <c r="A1996" s="6">
        <v>1.742464998586878E+19</v>
      </c>
      <c r="B1996">
        <v>3</v>
      </c>
      <c r="C1996">
        <v>2</v>
      </c>
      <c r="D1996">
        <v>1</v>
      </c>
      <c r="E1996">
        <v>321</v>
      </c>
      <c r="F1996" t="s">
        <v>1233</v>
      </c>
    </row>
    <row r="1997" spans="1:6" x14ac:dyDescent="0.55000000000000004">
      <c r="A1997" s="6">
        <v>1.742902964721654E+19</v>
      </c>
      <c r="B1997">
        <v>4</v>
      </c>
      <c r="C1997">
        <v>2</v>
      </c>
      <c r="D1997">
        <v>1</v>
      </c>
      <c r="E1997">
        <v>421</v>
      </c>
      <c r="F1997" t="s">
        <v>1229</v>
      </c>
    </row>
    <row r="1998" spans="1:6" x14ac:dyDescent="0.55000000000000004">
      <c r="A1998" s="6">
        <v>1.7433041954975681E+19</v>
      </c>
      <c r="B1998">
        <v>4</v>
      </c>
      <c r="C1998">
        <v>1</v>
      </c>
      <c r="D1998">
        <v>3</v>
      </c>
      <c r="E1998">
        <v>413</v>
      </c>
      <c r="F1998" t="s">
        <v>1233</v>
      </c>
    </row>
    <row r="1999" spans="1:6" x14ac:dyDescent="0.55000000000000004">
      <c r="A1999" s="6">
        <v>1.743565250362839E+19</v>
      </c>
      <c r="B1999">
        <v>4</v>
      </c>
      <c r="C1999">
        <v>1</v>
      </c>
      <c r="D1999">
        <v>1</v>
      </c>
      <c r="E1999">
        <v>411</v>
      </c>
      <c r="F1999" t="s">
        <v>1233</v>
      </c>
    </row>
    <row r="2000" spans="1:6" x14ac:dyDescent="0.55000000000000004">
      <c r="A2000" s="6">
        <v>1.7450883086238751E+19</v>
      </c>
      <c r="B2000">
        <v>2</v>
      </c>
      <c r="C2000">
        <v>1</v>
      </c>
      <c r="D2000">
        <v>1</v>
      </c>
      <c r="E2000">
        <v>211</v>
      </c>
      <c r="F2000" t="s">
        <v>1234</v>
      </c>
    </row>
    <row r="2001" spans="1:6" x14ac:dyDescent="0.55000000000000004">
      <c r="A2001" s="6">
        <v>1.7451978901407271E+19</v>
      </c>
      <c r="B2001">
        <v>5</v>
      </c>
      <c r="C2001">
        <v>1</v>
      </c>
      <c r="D2001">
        <v>3</v>
      </c>
      <c r="E2001">
        <v>513</v>
      </c>
      <c r="F2001" t="s">
        <v>1228</v>
      </c>
    </row>
    <row r="2002" spans="1:6" x14ac:dyDescent="0.55000000000000004">
      <c r="A2002" s="6">
        <v>1.746727121862911E+19</v>
      </c>
      <c r="B2002">
        <v>3</v>
      </c>
      <c r="C2002">
        <v>1</v>
      </c>
      <c r="D2002">
        <v>3</v>
      </c>
      <c r="E2002">
        <v>313</v>
      </c>
      <c r="F2002" t="s">
        <v>1233</v>
      </c>
    </row>
    <row r="2003" spans="1:6" x14ac:dyDescent="0.55000000000000004">
      <c r="A2003" s="6">
        <v>1.7470780820454431E+19</v>
      </c>
      <c r="B2003">
        <v>4</v>
      </c>
      <c r="C2003">
        <v>1</v>
      </c>
      <c r="D2003">
        <v>2</v>
      </c>
      <c r="E2003">
        <v>412</v>
      </c>
      <c r="F2003" t="s">
        <v>1233</v>
      </c>
    </row>
    <row r="2004" spans="1:6" x14ac:dyDescent="0.55000000000000004">
      <c r="A2004" s="6">
        <v>1.747375696233046E+19</v>
      </c>
      <c r="B2004">
        <v>5</v>
      </c>
      <c r="C2004">
        <v>2</v>
      </c>
      <c r="D2004">
        <v>3</v>
      </c>
      <c r="E2004">
        <v>523</v>
      </c>
      <c r="F2004" t="s">
        <v>1229</v>
      </c>
    </row>
    <row r="2005" spans="1:6" x14ac:dyDescent="0.55000000000000004">
      <c r="A2005" s="6">
        <v>1.748010131203328E+19</v>
      </c>
      <c r="B2005">
        <v>5</v>
      </c>
      <c r="C2005">
        <v>2</v>
      </c>
      <c r="D2005">
        <v>3</v>
      </c>
      <c r="E2005">
        <v>523</v>
      </c>
      <c r="F2005" t="s">
        <v>1229</v>
      </c>
    </row>
    <row r="2006" spans="1:6" x14ac:dyDescent="0.55000000000000004">
      <c r="A2006" s="6">
        <v>1.7493471554403781E+19</v>
      </c>
      <c r="B2006">
        <v>4</v>
      </c>
      <c r="C2006">
        <v>1</v>
      </c>
      <c r="D2006">
        <v>3</v>
      </c>
      <c r="E2006">
        <v>413</v>
      </c>
      <c r="F2006" t="s">
        <v>1233</v>
      </c>
    </row>
    <row r="2007" spans="1:6" x14ac:dyDescent="0.55000000000000004">
      <c r="A2007" s="6">
        <v>1.7496776803139271E+19</v>
      </c>
      <c r="B2007">
        <v>4</v>
      </c>
      <c r="C2007">
        <v>1</v>
      </c>
      <c r="D2007">
        <v>1</v>
      </c>
      <c r="E2007">
        <v>411</v>
      </c>
      <c r="F2007" t="s">
        <v>1233</v>
      </c>
    </row>
    <row r="2008" spans="1:6" x14ac:dyDescent="0.55000000000000004">
      <c r="A2008" s="6">
        <v>1.750162701425094E+19</v>
      </c>
      <c r="B2008">
        <v>3</v>
      </c>
      <c r="C2008">
        <v>2</v>
      </c>
      <c r="D2008">
        <v>3</v>
      </c>
      <c r="E2008">
        <v>323</v>
      </c>
      <c r="F2008" t="s">
        <v>1233</v>
      </c>
    </row>
    <row r="2009" spans="1:6" x14ac:dyDescent="0.55000000000000004">
      <c r="A2009" s="6">
        <v>1.75160168514449E+19</v>
      </c>
      <c r="B2009">
        <v>3</v>
      </c>
      <c r="C2009">
        <v>1</v>
      </c>
      <c r="D2009">
        <v>2</v>
      </c>
      <c r="E2009">
        <v>312</v>
      </c>
      <c r="F2009" t="s">
        <v>1233</v>
      </c>
    </row>
    <row r="2010" spans="1:6" x14ac:dyDescent="0.55000000000000004">
      <c r="A2010" s="6">
        <v>1.751723558495684E+19</v>
      </c>
      <c r="B2010">
        <v>5</v>
      </c>
      <c r="C2010">
        <v>1</v>
      </c>
      <c r="D2010">
        <v>2</v>
      </c>
      <c r="E2010">
        <v>512</v>
      </c>
      <c r="F2010" t="s">
        <v>1228</v>
      </c>
    </row>
    <row r="2011" spans="1:6" x14ac:dyDescent="0.55000000000000004">
      <c r="A2011" s="6">
        <v>1.7526643656921291E+19</v>
      </c>
      <c r="B2011">
        <v>4</v>
      </c>
      <c r="C2011">
        <v>1</v>
      </c>
      <c r="D2011">
        <v>3</v>
      </c>
      <c r="E2011">
        <v>413</v>
      </c>
      <c r="F2011" t="s">
        <v>1233</v>
      </c>
    </row>
    <row r="2012" spans="1:6" x14ac:dyDescent="0.55000000000000004">
      <c r="A2012" s="6">
        <v>1.753170147042397E+19</v>
      </c>
      <c r="B2012">
        <v>3</v>
      </c>
      <c r="C2012">
        <v>1</v>
      </c>
      <c r="D2012">
        <v>1</v>
      </c>
      <c r="E2012">
        <v>311</v>
      </c>
      <c r="F2012" t="s">
        <v>1233</v>
      </c>
    </row>
    <row r="2013" spans="1:6" x14ac:dyDescent="0.55000000000000004">
      <c r="A2013" s="6">
        <v>1.7534096007983391E+19</v>
      </c>
      <c r="B2013">
        <v>4</v>
      </c>
      <c r="C2013">
        <v>1</v>
      </c>
      <c r="D2013">
        <v>1</v>
      </c>
      <c r="E2013">
        <v>411</v>
      </c>
      <c r="F2013" t="s">
        <v>1233</v>
      </c>
    </row>
    <row r="2014" spans="1:6" x14ac:dyDescent="0.55000000000000004">
      <c r="A2014" s="6">
        <v>1.753490343112645E+19</v>
      </c>
      <c r="B2014">
        <v>4</v>
      </c>
      <c r="C2014">
        <v>2</v>
      </c>
      <c r="D2014">
        <v>2</v>
      </c>
      <c r="E2014">
        <v>422</v>
      </c>
      <c r="F2014" t="s">
        <v>1229</v>
      </c>
    </row>
    <row r="2015" spans="1:6" x14ac:dyDescent="0.55000000000000004">
      <c r="A2015" s="6">
        <v>1.753867985580528E+19</v>
      </c>
      <c r="B2015">
        <v>4</v>
      </c>
      <c r="C2015">
        <v>2</v>
      </c>
      <c r="D2015">
        <v>2</v>
      </c>
      <c r="E2015">
        <v>422</v>
      </c>
      <c r="F2015" t="s">
        <v>1229</v>
      </c>
    </row>
    <row r="2016" spans="1:6" x14ac:dyDescent="0.55000000000000004">
      <c r="A2016" s="6">
        <v>1.755281943127748E+19</v>
      </c>
      <c r="B2016">
        <v>3</v>
      </c>
      <c r="C2016">
        <v>1</v>
      </c>
      <c r="D2016">
        <v>3</v>
      </c>
      <c r="E2016">
        <v>313</v>
      </c>
      <c r="F2016" t="s">
        <v>1233</v>
      </c>
    </row>
    <row r="2017" spans="1:6" x14ac:dyDescent="0.55000000000000004">
      <c r="A2017" s="6">
        <v>1.7553228398623441E+19</v>
      </c>
      <c r="B2017">
        <v>5</v>
      </c>
      <c r="C2017">
        <v>1</v>
      </c>
      <c r="D2017">
        <v>2</v>
      </c>
      <c r="E2017">
        <v>512</v>
      </c>
      <c r="F2017" t="s">
        <v>1228</v>
      </c>
    </row>
    <row r="2018" spans="1:6" x14ac:dyDescent="0.55000000000000004">
      <c r="A2018" s="6">
        <v>1.755766016541449E+19</v>
      </c>
      <c r="B2018">
        <v>4</v>
      </c>
      <c r="C2018">
        <v>1</v>
      </c>
      <c r="D2018">
        <v>1</v>
      </c>
      <c r="E2018">
        <v>411</v>
      </c>
      <c r="F2018" t="s">
        <v>1233</v>
      </c>
    </row>
    <row r="2019" spans="1:6" x14ac:dyDescent="0.55000000000000004">
      <c r="A2019" s="6">
        <v>1.7563684205649531E+19</v>
      </c>
      <c r="B2019">
        <v>4</v>
      </c>
      <c r="C2019">
        <v>1</v>
      </c>
      <c r="D2019">
        <v>1</v>
      </c>
      <c r="E2019">
        <v>411</v>
      </c>
      <c r="F2019" t="s">
        <v>1233</v>
      </c>
    </row>
    <row r="2020" spans="1:6" x14ac:dyDescent="0.55000000000000004">
      <c r="A2020" s="6">
        <v>1.756406149997612E+19</v>
      </c>
      <c r="B2020">
        <v>5</v>
      </c>
      <c r="C2020">
        <v>1</v>
      </c>
      <c r="D2020">
        <v>2</v>
      </c>
      <c r="E2020">
        <v>512</v>
      </c>
      <c r="F2020" t="s">
        <v>1228</v>
      </c>
    </row>
    <row r="2021" spans="1:6" x14ac:dyDescent="0.55000000000000004">
      <c r="A2021" s="6">
        <v>1.757283772298506E+19</v>
      </c>
      <c r="B2021">
        <v>3</v>
      </c>
      <c r="C2021">
        <v>2</v>
      </c>
      <c r="D2021">
        <v>2</v>
      </c>
      <c r="E2021">
        <v>322</v>
      </c>
      <c r="F2021" t="s">
        <v>1233</v>
      </c>
    </row>
    <row r="2022" spans="1:6" x14ac:dyDescent="0.55000000000000004">
      <c r="A2022" s="6">
        <v>1.757412242164845E+19</v>
      </c>
      <c r="B2022">
        <v>4</v>
      </c>
      <c r="C2022">
        <v>1</v>
      </c>
      <c r="D2022">
        <v>1</v>
      </c>
      <c r="E2022">
        <v>411</v>
      </c>
      <c r="F2022" t="s">
        <v>1233</v>
      </c>
    </row>
    <row r="2023" spans="1:6" x14ac:dyDescent="0.55000000000000004">
      <c r="A2023" s="6">
        <v>1.7578254558691111E+19</v>
      </c>
      <c r="B2023">
        <v>5</v>
      </c>
      <c r="C2023">
        <v>1</v>
      </c>
      <c r="D2023">
        <v>3</v>
      </c>
      <c r="E2023">
        <v>513</v>
      </c>
      <c r="F2023" t="s">
        <v>1228</v>
      </c>
    </row>
    <row r="2024" spans="1:6" x14ac:dyDescent="0.55000000000000004">
      <c r="A2024" s="6">
        <v>1.758266025071504E+19</v>
      </c>
      <c r="B2024">
        <v>5</v>
      </c>
      <c r="C2024">
        <v>1</v>
      </c>
      <c r="D2024">
        <v>2</v>
      </c>
      <c r="E2024">
        <v>512</v>
      </c>
      <c r="F2024" t="s">
        <v>1228</v>
      </c>
    </row>
    <row r="2025" spans="1:6" x14ac:dyDescent="0.55000000000000004">
      <c r="A2025" s="6">
        <v>1.7584192800198799E+19</v>
      </c>
      <c r="B2025">
        <v>3</v>
      </c>
      <c r="C2025">
        <v>2</v>
      </c>
      <c r="D2025">
        <v>1</v>
      </c>
      <c r="E2025">
        <v>321</v>
      </c>
      <c r="F2025" t="s">
        <v>1233</v>
      </c>
    </row>
    <row r="2026" spans="1:6" x14ac:dyDescent="0.55000000000000004">
      <c r="A2026" s="6">
        <v>1.758784029319852E+19</v>
      </c>
      <c r="B2026">
        <v>2</v>
      </c>
      <c r="C2026">
        <v>1</v>
      </c>
      <c r="D2026">
        <v>2</v>
      </c>
      <c r="E2026">
        <v>212</v>
      </c>
      <c r="F2026" t="s">
        <v>1234</v>
      </c>
    </row>
    <row r="2027" spans="1:6" x14ac:dyDescent="0.55000000000000004">
      <c r="A2027" s="6">
        <v>1.76099964690646E+19</v>
      </c>
      <c r="B2027">
        <v>4</v>
      </c>
      <c r="C2027">
        <v>1</v>
      </c>
      <c r="D2027">
        <v>1</v>
      </c>
      <c r="E2027">
        <v>411</v>
      </c>
      <c r="F2027" t="s">
        <v>1233</v>
      </c>
    </row>
    <row r="2028" spans="1:6" x14ac:dyDescent="0.55000000000000004">
      <c r="A2028" s="6">
        <v>1.7614093725734171E+19</v>
      </c>
      <c r="B2028">
        <v>2</v>
      </c>
      <c r="C2028">
        <v>1</v>
      </c>
      <c r="D2028">
        <v>3</v>
      </c>
      <c r="E2028">
        <v>213</v>
      </c>
      <c r="F2028" t="s">
        <v>1234</v>
      </c>
    </row>
    <row r="2029" spans="1:6" x14ac:dyDescent="0.55000000000000004">
      <c r="A2029" s="6">
        <v>1.761906681546685E+19</v>
      </c>
      <c r="B2029">
        <v>5</v>
      </c>
      <c r="C2029">
        <v>3</v>
      </c>
      <c r="D2029">
        <v>3</v>
      </c>
      <c r="E2029">
        <v>533</v>
      </c>
      <c r="F2029" t="s">
        <v>1230</v>
      </c>
    </row>
    <row r="2030" spans="1:6" x14ac:dyDescent="0.55000000000000004">
      <c r="A2030" s="6">
        <v>1.763360733464313E+19</v>
      </c>
      <c r="B2030">
        <v>4</v>
      </c>
      <c r="C2030">
        <v>1</v>
      </c>
      <c r="D2030">
        <v>2</v>
      </c>
      <c r="E2030">
        <v>412</v>
      </c>
      <c r="F2030" t="s">
        <v>1233</v>
      </c>
    </row>
    <row r="2031" spans="1:6" x14ac:dyDescent="0.55000000000000004">
      <c r="A2031" s="6">
        <v>1.764911761322428E+19</v>
      </c>
      <c r="B2031">
        <v>5</v>
      </c>
      <c r="C2031">
        <v>3</v>
      </c>
      <c r="D2031">
        <v>3</v>
      </c>
      <c r="E2031">
        <v>533</v>
      </c>
      <c r="F2031" t="s">
        <v>1230</v>
      </c>
    </row>
    <row r="2032" spans="1:6" x14ac:dyDescent="0.55000000000000004">
      <c r="A2032" s="6">
        <v>1.765545775684148E+19</v>
      </c>
      <c r="B2032">
        <v>2</v>
      </c>
      <c r="C2032">
        <v>1</v>
      </c>
      <c r="D2032">
        <v>2</v>
      </c>
      <c r="E2032">
        <v>212</v>
      </c>
      <c r="F2032" t="s">
        <v>1234</v>
      </c>
    </row>
    <row r="2033" spans="1:6" x14ac:dyDescent="0.55000000000000004">
      <c r="A2033" s="6">
        <v>1.765569553264256E+19</v>
      </c>
      <c r="B2033">
        <v>5</v>
      </c>
      <c r="C2033">
        <v>1</v>
      </c>
      <c r="D2033">
        <v>2</v>
      </c>
      <c r="E2033">
        <v>512</v>
      </c>
      <c r="F2033" t="s">
        <v>1228</v>
      </c>
    </row>
    <row r="2034" spans="1:6" x14ac:dyDescent="0.55000000000000004">
      <c r="A2034" s="6">
        <v>1.765727192276854E+19</v>
      </c>
      <c r="B2034">
        <v>4</v>
      </c>
      <c r="C2034">
        <v>2</v>
      </c>
      <c r="D2034">
        <v>3</v>
      </c>
      <c r="E2034">
        <v>423</v>
      </c>
      <c r="F2034" t="s">
        <v>1229</v>
      </c>
    </row>
    <row r="2035" spans="1:6" x14ac:dyDescent="0.55000000000000004">
      <c r="A2035" s="6">
        <v>1.765796912698626E+19</v>
      </c>
      <c r="B2035">
        <v>3</v>
      </c>
      <c r="C2035">
        <v>1</v>
      </c>
      <c r="D2035">
        <v>2</v>
      </c>
      <c r="E2035">
        <v>312</v>
      </c>
      <c r="F2035" t="s">
        <v>1233</v>
      </c>
    </row>
    <row r="2036" spans="1:6" x14ac:dyDescent="0.55000000000000004">
      <c r="A2036" s="6">
        <v>1.766031630693997E+19</v>
      </c>
      <c r="B2036">
        <v>4</v>
      </c>
      <c r="C2036">
        <v>2</v>
      </c>
      <c r="D2036">
        <v>2</v>
      </c>
      <c r="E2036">
        <v>422</v>
      </c>
      <c r="F2036" t="s">
        <v>1229</v>
      </c>
    </row>
    <row r="2037" spans="1:6" x14ac:dyDescent="0.55000000000000004">
      <c r="A2037" s="6">
        <v>1.7685824260975499E+19</v>
      </c>
      <c r="B2037">
        <v>5</v>
      </c>
      <c r="C2037">
        <v>1</v>
      </c>
      <c r="D2037">
        <v>1</v>
      </c>
      <c r="E2037">
        <v>511</v>
      </c>
      <c r="F2037" t="s">
        <v>1228</v>
      </c>
    </row>
    <row r="2038" spans="1:6" x14ac:dyDescent="0.55000000000000004">
      <c r="A2038" s="6">
        <v>1.76949978522245E+19</v>
      </c>
      <c r="B2038">
        <v>5</v>
      </c>
      <c r="C2038">
        <v>3</v>
      </c>
      <c r="D2038">
        <v>1</v>
      </c>
      <c r="E2038">
        <v>531</v>
      </c>
      <c r="F2038" t="s">
        <v>1230</v>
      </c>
    </row>
    <row r="2039" spans="1:6" x14ac:dyDescent="0.55000000000000004">
      <c r="A2039" s="6">
        <v>1.769683217212792E+19</v>
      </c>
      <c r="B2039">
        <v>4</v>
      </c>
      <c r="C2039">
        <v>2</v>
      </c>
      <c r="D2039">
        <v>3</v>
      </c>
      <c r="E2039">
        <v>423</v>
      </c>
      <c r="F2039" t="s">
        <v>1229</v>
      </c>
    </row>
    <row r="2040" spans="1:6" x14ac:dyDescent="0.55000000000000004">
      <c r="A2040" s="6">
        <v>1.76979563705582E+19</v>
      </c>
      <c r="B2040">
        <v>4</v>
      </c>
      <c r="C2040">
        <v>1</v>
      </c>
      <c r="D2040">
        <v>3</v>
      </c>
      <c r="E2040">
        <v>413</v>
      </c>
      <c r="F2040" t="s">
        <v>1233</v>
      </c>
    </row>
    <row r="2041" spans="1:6" x14ac:dyDescent="0.55000000000000004">
      <c r="A2041" s="6">
        <v>1.7701496478709729E+19</v>
      </c>
      <c r="B2041">
        <v>5</v>
      </c>
      <c r="C2041">
        <v>1</v>
      </c>
      <c r="D2041">
        <v>1</v>
      </c>
      <c r="E2041">
        <v>511</v>
      </c>
      <c r="F2041" t="s">
        <v>1228</v>
      </c>
    </row>
    <row r="2042" spans="1:6" x14ac:dyDescent="0.55000000000000004">
      <c r="A2042" s="6">
        <v>1.7714807636284101E+19</v>
      </c>
      <c r="B2042">
        <v>5</v>
      </c>
      <c r="C2042">
        <v>3</v>
      </c>
      <c r="D2042">
        <v>3</v>
      </c>
      <c r="E2042">
        <v>533</v>
      </c>
      <c r="F2042" t="s">
        <v>1230</v>
      </c>
    </row>
    <row r="2043" spans="1:6" x14ac:dyDescent="0.55000000000000004">
      <c r="A2043" s="6">
        <v>1.7718341296387379E+19</v>
      </c>
      <c r="B2043">
        <v>2</v>
      </c>
      <c r="C2043">
        <v>2</v>
      </c>
      <c r="D2043">
        <v>2</v>
      </c>
      <c r="E2043">
        <v>222</v>
      </c>
      <c r="F2043" t="s">
        <v>1234</v>
      </c>
    </row>
    <row r="2044" spans="1:6" x14ac:dyDescent="0.55000000000000004">
      <c r="A2044" s="6">
        <v>1.7729421144758659E+19</v>
      </c>
      <c r="B2044">
        <v>4</v>
      </c>
      <c r="C2044">
        <v>1</v>
      </c>
      <c r="D2044">
        <v>1</v>
      </c>
      <c r="E2044">
        <v>411</v>
      </c>
      <c r="F2044" t="s">
        <v>1233</v>
      </c>
    </row>
    <row r="2045" spans="1:6" x14ac:dyDescent="0.55000000000000004">
      <c r="A2045" s="6">
        <v>1.7735722794972459E+19</v>
      </c>
      <c r="B2045">
        <v>2</v>
      </c>
      <c r="C2045">
        <v>1</v>
      </c>
      <c r="D2045">
        <v>2</v>
      </c>
      <c r="E2045">
        <v>212</v>
      </c>
      <c r="F2045" t="s">
        <v>1234</v>
      </c>
    </row>
    <row r="2046" spans="1:6" x14ac:dyDescent="0.55000000000000004">
      <c r="A2046" s="6">
        <v>1.7742685391402451E+19</v>
      </c>
      <c r="B2046">
        <v>2</v>
      </c>
      <c r="C2046">
        <v>1</v>
      </c>
      <c r="D2046">
        <v>1</v>
      </c>
      <c r="E2046">
        <v>211</v>
      </c>
      <c r="F2046" t="s">
        <v>1234</v>
      </c>
    </row>
    <row r="2047" spans="1:6" x14ac:dyDescent="0.55000000000000004">
      <c r="A2047" s="6">
        <v>1.7751398782340669E+19</v>
      </c>
      <c r="B2047">
        <v>3</v>
      </c>
      <c r="C2047">
        <v>1</v>
      </c>
      <c r="D2047">
        <v>1</v>
      </c>
      <c r="E2047">
        <v>311</v>
      </c>
      <c r="F2047" t="s">
        <v>1233</v>
      </c>
    </row>
    <row r="2048" spans="1:6" x14ac:dyDescent="0.55000000000000004">
      <c r="A2048" s="6">
        <v>1.775150302071936E+19</v>
      </c>
      <c r="B2048">
        <v>5</v>
      </c>
      <c r="C2048">
        <v>1</v>
      </c>
      <c r="D2048">
        <v>1</v>
      </c>
      <c r="E2048">
        <v>511</v>
      </c>
      <c r="F2048" t="s">
        <v>1228</v>
      </c>
    </row>
    <row r="2049" spans="1:6" x14ac:dyDescent="0.55000000000000004">
      <c r="A2049" s="6">
        <v>1.7777396627559979E+19</v>
      </c>
      <c r="B2049">
        <v>5</v>
      </c>
      <c r="C2049">
        <v>1</v>
      </c>
      <c r="D2049">
        <v>2</v>
      </c>
      <c r="E2049">
        <v>512</v>
      </c>
      <c r="F2049" t="s">
        <v>1228</v>
      </c>
    </row>
    <row r="2050" spans="1:6" x14ac:dyDescent="0.55000000000000004">
      <c r="A2050" s="6">
        <v>1.7784724407515521E+19</v>
      </c>
      <c r="B2050">
        <v>5</v>
      </c>
      <c r="C2050">
        <v>2</v>
      </c>
      <c r="D2050">
        <v>2</v>
      </c>
      <c r="E2050">
        <v>522</v>
      </c>
      <c r="F2050" t="s">
        <v>1229</v>
      </c>
    </row>
    <row r="2051" spans="1:6" x14ac:dyDescent="0.55000000000000004">
      <c r="A2051" s="6">
        <v>1.7799815536532591E+19</v>
      </c>
      <c r="B2051">
        <v>5</v>
      </c>
      <c r="C2051">
        <v>2</v>
      </c>
      <c r="D2051">
        <v>2</v>
      </c>
      <c r="E2051">
        <v>522</v>
      </c>
      <c r="F2051" t="s">
        <v>1229</v>
      </c>
    </row>
    <row r="2052" spans="1:6" x14ac:dyDescent="0.55000000000000004">
      <c r="A2052" s="6">
        <v>1.780933424292872E+19</v>
      </c>
      <c r="B2052">
        <v>5</v>
      </c>
      <c r="C2052">
        <v>2</v>
      </c>
      <c r="D2052">
        <v>2</v>
      </c>
      <c r="E2052">
        <v>522</v>
      </c>
      <c r="F2052" t="s">
        <v>1229</v>
      </c>
    </row>
    <row r="2053" spans="1:6" x14ac:dyDescent="0.55000000000000004">
      <c r="A2053" s="6">
        <v>1.7830572075161309E+19</v>
      </c>
      <c r="B2053">
        <v>3</v>
      </c>
      <c r="C2053">
        <v>2</v>
      </c>
      <c r="D2053">
        <v>2</v>
      </c>
      <c r="E2053">
        <v>322</v>
      </c>
      <c r="F2053" t="s">
        <v>1233</v>
      </c>
    </row>
    <row r="2054" spans="1:6" x14ac:dyDescent="0.55000000000000004">
      <c r="A2054" s="6">
        <v>1.783469102070373E+19</v>
      </c>
      <c r="B2054">
        <v>1</v>
      </c>
      <c r="C2054">
        <v>1</v>
      </c>
      <c r="D2054">
        <v>1</v>
      </c>
      <c r="E2054">
        <v>111</v>
      </c>
      <c r="F2054" t="s">
        <v>1234</v>
      </c>
    </row>
    <row r="2055" spans="1:6" x14ac:dyDescent="0.55000000000000004">
      <c r="A2055" s="6">
        <v>1.784571887939184E+19</v>
      </c>
      <c r="B2055">
        <v>4</v>
      </c>
      <c r="C2055">
        <v>2</v>
      </c>
      <c r="D2055">
        <v>1</v>
      </c>
      <c r="E2055">
        <v>421</v>
      </c>
      <c r="F2055" t="s">
        <v>1229</v>
      </c>
    </row>
    <row r="2056" spans="1:6" x14ac:dyDescent="0.55000000000000004">
      <c r="A2056" s="6">
        <v>1.7849563115073061E+19</v>
      </c>
      <c r="B2056">
        <v>3</v>
      </c>
      <c r="C2056">
        <v>3</v>
      </c>
      <c r="D2056">
        <v>3</v>
      </c>
      <c r="E2056">
        <v>333</v>
      </c>
      <c r="F2056" t="s">
        <v>1231</v>
      </c>
    </row>
    <row r="2057" spans="1:6" x14ac:dyDescent="0.55000000000000004">
      <c r="A2057" s="6">
        <v>1.7855228102245231E+19</v>
      </c>
      <c r="B2057">
        <v>3</v>
      </c>
      <c r="C2057">
        <v>1</v>
      </c>
      <c r="D2057">
        <v>2</v>
      </c>
      <c r="E2057">
        <v>312</v>
      </c>
      <c r="F2057" t="s">
        <v>1233</v>
      </c>
    </row>
    <row r="2058" spans="1:6" x14ac:dyDescent="0.55000000000000004">
      <c r="A2058" s="6">
        <v>1.786116080626841E+19</v>
      </c>
      <c r="B2058">
        <v>5</v>
      </c>
      <c r="C2058">
        <v>2</v>
      </c>
      <c r="D2058">
        <v>3</v>
      </c>
      <c r="E2058">
        <v>523</v>
      </c>
      <c r="F2058" t="s">
        <v>1229</v>
      </c>
    </row>
    <row r="2059" spans="1:6" x14ac:dyDescent="0.55000000000000004">
      <c r="A2059" s="6">
        <v>1.78681892567855E+19</v>
      </c>
      <c r="B2059">
        <v>5</v>
      </c>
      <c r="C2059">
        <v>2</v>
      </c>
      <c r="D2059">
        <v>2</v>
      </c>
      <c r="E2059">
        <v>522</v>
      </c>
      <c r="F2059" t="s">
        <v>1229</v>
      </c>
    </row>
    <row r="2060" spans="1:6" x14ac:dyDescent="0.55000000000000004">
      <c r="A2060" s="6">
        <v>1.787517190708941E+19</v>
      </c>
      <c r="B2060">
        <v>4</v>
      </c>
      <c r="C2060">
        <v>1</v>
      </c>
      <c r="D2060">
        <v>1</v>
      </c>
      <c r="E2060">
        <v>411</v>
      </c>
      <c r="F2060" t="s">
        <v>1233</v>
      </c>
    </row>
    <row r="2061" spans="1:6" x14ac:dyDescent="0.55000000000000004">
      <c r="A2061" s="6">
        <v>1.7876883666677039E+19</v>
      </c>
      <c r="B2061">
        <v>4</v>
      </c>
      <c r="C2061">
        <v>3</v>
      </c>
      <c r="D2061">
        <v>3</v>
      </c>
      <c r="E2061">
        <v>433</v>
      </c>
      <c r="F2061" t="s">
        <v>1230</v>
      </c>
    </row>
    <row r="2062" spans="1:6" x14ac:dyDescent="0.55000000000000004">
      <c r="A2062" s="6">
        <v>1.790383277032789E+19</v>
      </c>
      <c r="B2062">
        <v>4</v>
      </c>
      <c r="C2062">
        <v>1</v>
      </c>
      <c r="D2062">
        <v>1</v>
      </c>
      <c r="E2062">
        <v>411</v>
      </c>
      <c r="F2062" t="s">
        <v>1233</v>
      </c>
    </row>
    <row r="2063" spans="1:6" x14ac:dyDescent="0.55000000000000004">
      <c r="A2063" s="6">
        <v>1.7935006761815679E+19</v>
      </c>
      <c r="B2063">
        <v>3</v>
      </c>
      <c r="C2063">
        <v>1</v>
      </c>
      <c r="D2063">
        <v>3</v>
      </c>
      <c r="E2063">
        <v>313</v>
      </c>
      <c r="F2063" t="s">
        <v>1233</v>
      </c>
    </row>
    <row r="2064" spans="1:6" x14ac:dyDescent="0.55000000000000004">
      <c r="A2064" s="6">
        <v>1.793701719582576E+19</v>
      </c>
      <c r="B2064">
        <v>4</v>
      </c>
      <c r="C2064">
        <v>1</v>
      </c>
      <c r="D2064">
        <v>3</v>
      </c>
      <c r="E2064">
        <v>413</v>
      </c>
      <c r="F2064" t="s">
        <v>1233</v>
      </c>
    </row>
    <row r="2065" spans="1:6" x14ac:dyDescent="0.55000000000000004">
      <c r="A2065" s="6">
        <v>1.795121824473095E+19</v>
      </c>
      <c r="B2065">
        <v>4</v>
      </c>
      <c r="C2065">
        <v>1</v>
      </c>
      <c r="D2065">
        <v>1</v>
      </c>
      <c r="E2065">
        <v>411</v>
      </c>
      <c r="F2065" t="s">
        <v>1233</v>
      </c>
    </row>
    <row r="2066" spans="1:6" x14ac:dyDescent="0.55000000000000004">
      <c r="A2066" s="6">
        <v>1.7951873441832131E+19</v>
      </c>
      <c r="B2066">
        <v>2</v>
      </c>
      <c r="C2066">
        <v>1</v>
      </c>
      <c r="D2066">
        <v>1</v>
      </c>
      <c r="E2066">
        <v>211</v>
      </c>
      <c r="F2066" t="s">
        <v>1234</v>
      </c>
    </row>
    <row r="2067" spans="1:6" x14ac:dyDescent="0.55000000000000004">
      <c r="A2067" s="6">
        <v>1.7953314412259219E+19</v>
      </c>
      <c r="B2067">
        <v>4</v>
      </c>
      <c r="C2067">
        <v>1</v>
      </c>
      <c r="D2067">
        <v>3</v>
      </c>
      <c r="E2067">
        <v>413</v>
      </c>
      <c r="F2067" t="s">
        <v>1233</v>
      </c>
    </row>
    <row r="2068" spans="1:6" x14ac:dyDescent="0.55000000000000004">
      <c r="A2068" s="6">
        <v>1.7955982481916549E+19</v>
      </c>
      <c r="B2068">
        <v>2</v>
      </c>
      <c r="C2068">
        <v>2</v>
      </c>
      <c r="D2068">
        <v>2</v>
      </c>
      <c r="E2068">
        <v>222</v>
      </c>
      <c r="F2068" t="s">
        <v>1234</v>
      </c>
    </row>
    <row r="2069" spans="1:6" x14ac:dyDescent="0.55000000000000004">
      <c r="A2069" s="6">
        <v>1.7961524696104471E+19</v>
      </c>
      <c r="B2069">
        <v>4</v>
      </c>
      <c r="C2069">
        <v>1</v>
      </c>
      <c r="D2069">
        <v>1</v>
      </c>
      <c r="E2069">
        <v>411</v>
      </c>
      <c r="F2069" t="s">
        <v>1233</v>
      </c>
    </row>
    <row r="2070" spans="1:6" x14ac:dyDescent="0.55000000000000004">
      <c r="A2070" s="6">
        <v>1.7968689873967131E+19</v>
      </c>
      <c r="B2070">
        <v>5</v>
      </c>
      <c r="C2070">
        <v>1</v>
      </c>
      <c r="D2070">
        <v>3</v>
      </c>
      <c r="E2070">
        <v>513</v>
      </c>
      <c r="F2070" t="s">
        <v>1228</v>
      </c>
    </row>
    <row r="2071" spans="1:6" x14ac:dyDescent="0.55000000000000004">
      <c r="A2071" s="6">
        <v>1.7972254181524779E+19</v>
      </c>
      <c r="B2071">
        <v>1</v>
      </c>
      <c r="C2071">
        <v>1</v>
      </c>
      <c r="D2071">
        <v>3</v>
      </c>
      <c r="E2071">
        <v>113</v>
      </c>
      <c r="F2071" t="s">
        <v>1234</v>
      </c>
    </row>
    <row r="2072" spans="1:6" x14ac:dyDescent="0.55000000000000004">
      <c r="A2072" s="6">
        <v>1.7976821978033129E+19</v>
      </c>
      <c r="B2072">
        <v>2</v>
      </c>
      <c r="C2072">
        <v>1</v>
      </c>
      <c r="D2072">
        <v>2</v>
      </c>
      <c r="E2072">
        <v>212</v>
      </c>
      <c r="F2072" t="s">
        <v>1234</v>
      </c>
    </row>
    <row r="2073" spans="1:6" x14ac:dyDescent="0.55000000000000004">
      <c r="A2073" s="6">
        <v>1.7989877110360539E+19</v>
      </c>
      <c r="B2073">
        <v>4</v>
      </c>
      <c r="C2073">
        <v>1</v>
      </c>
      <c r="D2073">
        <v>2</v>
      </c>
      <c r="E2073">
        <v>412</v>
      </c>
      <c r="F2073" t="s">
        <v>1233</v>
      </c>
    </row>
    <row r="2074" spans="1:6" x14ac:dyDescent="0.55000000000000004">
      <c r="A2074" s="6">
        <v>1.799160600154973E+19</v>
      </c>
      <c r="B2074">
        <v>4</v>
      </c>
      <c r="C2074">
        <v>2</v>
      </c>
      <c r="D2074">
        <v>1</v>
      </c>
      <c r="E2074">
        <v>421</v>
      </c>
      <c r="F2074" t="s">
        <v>1229</v>
      </c>
    </row>
    <row r="2075" spans="1:6" x14ac:dyDescent="0.55000000000000004">
      <c r="A2075" s="6">
        <v>1.8004859116404771E+19</v>
      </c>
      <c r="B2075">
        <v>4</v>
      </c>
      <c r="C2075">
        <v>1</v>
      </c>
      <c r="D2075">
        <v>1</v>
      </c>
      <c r="E2075">
        <v>411</v>
      </c>
      <c r="F2075" t="s">
        <v>1233</v>
      </c>
    </row>
    <row r="2076" spans="1:6" x14ac:dyDescent="0.55000000000000004">
      <c r="A2076" s="6">
        <v>1.8017309185027719E+19</v>
      </c>
      <c r="B2076">
        <v>5</v>
      </c>
      <c r="C2076">
        <v>2</v>
      </c>
      <c r="D2076">
        <v>2</v>
      </c>
      <c r="E2076">
        <v>522</v>
      </c>
      <c r="F2076" t="s">
        <v>1229</v>
      </c>
    </row>
    <row r="2077" spans="1:6" x14ac:dyDescent="0.55000000000000004">
      <c r="A2077" s="6">
        <v>1.802287598892639E+19</v>
      </c>
      <c r="B2077">
        <v>3</v>
      </c>
      <c r="C2077">
        <v>2</v>
      </c>
      <c r="D2077">
        <v>2</v>
      </c>
      <c r="E2077">
        <v>322</v>
      </c>
      <c r="F2077" t="s">
        <v>1233</v>
      </c>
    </row>
    <row r="2078" spans="1:6" x14ac:dyDescent="0.55000000000000004">
      <c r="A2078" s="6">
        <v>1.802481165492719E+19</v>
      </c>
      <c r="B2078">
        <v>4</v>
      </c>
      <c r="C2078">
        <v>1</v>
      </c>
      <c r="D2078">
        <v>3</v>
      </c>
      <c r="E2078">
        <v>413</v>
      </c>
      <c r="F2078" t="s">
        <v>1233</v>
      </c>
    </row>
    <row r="2079" spans="1:6" x14ac:dyDescent="0.55000000000000004">
      <c r="A2079" s="6">
        <v>1.8030433549853759E+19</v>
      </c>
      <c r="B2079">
        <v>3</v>
      </c>
      <c r="C2079">
        <v>3</v>
      </c>
      <c r="D2079">
        <v>3</v>
      </c>
      <c r="E2079">
        <v>333</v>
      </c>
      <c r="F2079" t="s">
        <v>1231</v>
      </c>
    </row>
    <row r="2080" spans="1:6" x14ac:dyDescent="0.55000000000000004">
      <c r="A2080" s="6">
        <v>1.80353009413986E+19</v>
      </c>
      <c r="B2080">
        <v>4</v>
      </c>
      <c r="C2080">
        <v>1</v>
      </c>
      <c r="D2080">
        <v>3</v>
      </c>
      <c r="E2080">
        <v>413</v>
      </c>
      <c r="F2080" t="s">
        <v>1233</v>
      </c>
    </row>
    <row r="2081" spans="1:6" x14ac:dyDescent="0.55000000000000004">
      <c r="A2081" s="6">
        <v>1.8064953439810699E+19</v>
      </c>
      <c r="B2081">
        <v>3</v>
      </c>
      <c r="C2081">
        <v>2</v>
      </c>
      <c r="D2081">
        <v>3</v>
      </c>
      <c r="E2081">
        <v>323</v>
      </c>
      <c r="F2081" t="s">
        <v>1233</v>
      </c>
    </row>
    <row r="2082" spans="1:6" x14ac:dyDescent="0.55000000000000004">
      <c r="A2082" s="6">
        <v>1.8069216572077091E+19</v>
      </c>
      <c r="B2082">
        <v>5</v>
      </c>
      <c r="C2082">
        <v>1</v>
      </c>
      <c r="D2082">
        <v>2</v>
      </c>
      <c r="E2082">
        <v>512</v>
      </c>
      <c r="F2082" t="s">
        <v>1228</v>
      </c>
    </row>
    <row r="2083" spans="1:6" x14ac:dyDescent="0.55000000000000004">
      <c r="A2083" s="6">
        <v>1.8075727275591049E+19</v>
      </c>
      <c r="B2083">
        <v>5</v>
      </c>
      <c r="C2083">
        <v>1</v>
      </c>
      <c r="D2083">
        <v>1</v>
      </c>
      <c r="E2083">
        <v>511</v>
      </c>
      <c r="F2083" t="s">
        <v>1228</v>
      </c>
    </row>
    <row r="2084" spans="1:6" x14ac:dyDescent="0.55000000000000004">
      <c r="A2084" s="6">
        <v>1.808540139662284E+19</v>
      </c>
      <c r="B2084">
        <v>5</v>
      </c>
      <c r="C2084">
        <v>1</v>
      </c>
      <c r="D2084">
        <v>2</v>
      </c>
      <c r="E2084">
        <v>512</v>
      </c>
      <c r="F2084" t="s">
        <v>1228</v>
      </c>
    </row>
    <row r="2085" spans="1:6" x14ac:dyDescent="0.55000000000000004">
      <c r="A2085" s="6">
        <v>1.8095816446598441E+19</v>
      </c>
      <c r="B2085">
        <v>3</v>
      </c>
      <c r="C2085">
        <v>2</v>
      </c>
      <c r="D2085">
        <v>2</v>
      </c>
      <c r="E2085">
        <v>322</v>
      </c>
      <c r="F2085" t="s">
        <v>1233</v>
      </c>
    </row>
    <row r="2086" spans="1:6" x14ac:dyDescent="0.55000000000000004">
      <c r="A2086" s="6">
        <v>1.8105990993554E+19</v>
      </c>
      <c r="B2086">
        <v>5</v>
      </c>
      <c r="C2086">
        <v>2</v>
      </c>
      <c r="D2086">
        <v>2</v>
      </c>
      <c r="E2086">
        <v>522</v>
      </c>
      <c r="F2086" t="s">
        <v>1229</v>
      </c>
    </row>
    <row r="2087" spans="1:6" x14ac:dyDescent="0.55000000000000004">
      <c r="A2087" s="6">
        <v>1.811954021724073E+19</v>
      </c>
      <c r="B2087">
        <v>1</v>
      </c>
      <c r="C2087">
        <v>1</v>
      </c>
      <c r="D2087">
        <v>3</v>
      </c>
      <c r="E2087">
        <v>113</v>
      </c>
      <c r="F2087" t="s">
        <v>1234</v>
      </c>
    </row>
    <row r="2088" spans="1:6" x14ac:dyDescent="0.55000000000000004">
      <c r="A2088" s="6">
        <v>1.8137111385135651E+19</v>
      </c>
      <c r="B2088">
        <v>2</v>
      </c>
      <c r="C2088">
        <v>3</v>
      </c>
      <c r="D2088">
        <v>1</v>
      </c>
      <c r="E2088">
        <v>231</v>
      </c>
      <c r="F2088" t="s">
        <v>1231</v>
      </c>
    </row>
    <row r="2089" spans="1:6" x14ac:dyDescent="0.55000000000000004">
      <c r="A2089" s="6">
        <v>1.81502859460929E+19</v>
      </c>
      <c r="B2089">
        <v>5</v>
      </c>
      <c r="C2089">
        <v>1</v>
      </c>
      <c r="D2089">
        <v>2</v>
      </c>
      <c r="E2089">
        <v>512</v>
      </c>
      <c r="F2089" t="s">
        <v>1228</v>
      </c>
    </row>
    <row r="2090" spans="1:6" x14ac:dyDescent="0.55000000000000004">
      <c r="A2090" s="6">
        <v>1.8150622644532199E+19</v>
      </c>
      <c r="B2090">
        <v>4</v>
      </c>
      <c r="C2090">
        <v>2</v>
      </c>
      <c r="D2090">
        <v>3</v>
      </c>
      <c r="E2090">
        <v>423</v>
      </c>
      <c r="F2090" t="s">
        <v>1229</v>
      </c>
    </row>
    <row r="2091" spans="1:6" x14ac:dyDescent="0.55000000000000004">
      <c r="A2091" s="6">
        <v>1.815082326075271E+19</v>
      </c>
      <c r="B2091">
        <v>2</v>
      </c>
      <c r="C2091">
        <v>2</v>
      </c>
      <c r="D2091">
        <v>2</v>
      </c>
      <c r="E2091">
        <v>222</v>
      </c>
      <c r="F2091" t="s">
        <v>1234</v>
      </c>
    </row>
    <row r="2092" spans="1:6" x14ac:dyDescent="0.55000000000000004">
      <c r="A2092" s="6">
        <v>1.815269932860136E+19</v>
      </c>
      <c r="B2092">
        <v>5</v>
      </c>
      <c r="C2092">
        <v>2</v>
      </c>
      <c r="D2092">
        <v>3</v>
      </c>
      <c r="E2092">
        <v>523</v>
      </c>
      <c r="F2092" t="s">
        <v>1229</v>
      </c>
    </row>
    <row r="2093" spans="1:6" x14ac:dyDescent="0.55000000000000004">
      <c r="A2093" s="6">
        <v>1.815677024883312E+19</v>
      </c>
      <c r="B2093">
        <v>5</v>
      </c>
      <c r="C2093">
        <v>1</v>
      </c>
      <c r="D2093">
        <v>1</v>
      </c>
      <c r="E2093">
        <v>511</v>
      </c>
      <c r="F2093" t="s">
        <v>1228</v>
      </c>
    </row>
    <row r="2094" spans="1:6" x14ac:dyDescent="0.55000000000000004">
      <c r="A2094" s="6">
        <v>1.816587074405564E+19</v>
      </c>
      <c r="B2094">
        <v>1</v>
      </c>
      <c r="C2094">
        <v>1</v>
      </c>
      <c r="D2094">
        <v>3</v>
      </c>
      <c r="E2094">
        <v>113</v>
      </c>
      <c r="F2094" t="s">
        <v>1234</v>
      </c>
    </row>
    <row r="2095" spans="1:6" x14ac:dyDescent="0.55000000000000004">
      <c r="A2095" s="6">
        <v>1.8182398520451611E+19</v>
      </c>
      <c r="B2095">
        <v>4</v>
      </c>
      <c r="C2095">
        <v>1</v>
      </c>
      <c r="D2095">
        <v>1</v>
      </c>
      <c r="E2095">
        <v>411</v>
      </c>
      <c r="F2095" t="s">
        <v>1233</v>
      </c>
    </row>
    <row r="2096" spans="1:6" x14ac:dyDescent="0.55000000000000004">
      <c r="A2096" s="6">
        <v>1.820327599306591E+19</v>
      </c>
      <c r="B2096">
        <v>5</v>
      </c>
      <c r="C2096">
        <v>1</v>
      </c>
      <c r="D2096">
        <v>3</v>
      </c>
      <c r="E2096">
        <v>513</v>
      </c>
      <c r="F2096" t="s">
        <v>1228</v>
      </c>
    </row>
    <row r="2097" spans="1:6" x14ac:dyDescent="0.55000000000000004">
      <c r="A2097" s="6">
        <v>1.822140064359714E+19</v>
      </c>
      <c r="B2097">
        <v>4</v>
      </c>
      <c r="C2097">
        <v>1</v>
      </c>
      <c r="D2097">
        <v>1</v>
      </c>
      <c r="E2097">
        <v>411</v>
      </c>
      <c r="F2097" t="s">
        <v>1233</v>
      </c>
    </row>
    <row r="2098" spans="1:6" x14ac:dyDescent="0.55000000000000004">
      <c r="A2098" s="6">
        <v>1.82282442793025E+19</v>
      </c>
      <c r="B2098">
        <v>5</v>
      </c>
      <c r="C2098">
        <v>1</v>
      </c>
      <c r="D2098">
        <v>2</v>
      </c>
      <c r="E2098">
        <v>512</v>
      </c>
      <c r="F2098" t="s">
        <v>1228</v>
      </c>
    </row>
    <row r="2099" spans="1:6" x14ac:dyDescent="0.55000000000000004">
      <c r="A2099" s="6">
        <v>1.824794439040693E+19</v>
      </c>
      <c r="B2099">
        <v>3</v>
      </c>
      <c r="C2099">
        <v>1</v>
      </c>
      <c r="D2099">
        <v>1</v>
      </c>
      <c r="E2099">
        <v>311</v>
      </c>
      <c r="F2099" t="s">
        <v>1233</v>
      </c>
    </row>
    <row r="2100" spans="1:6" x14ac:dyDescent="0.55000000000000004">
      <c r="A2100" s="6">
        <v>1.825626145972831E+19</v>
      </c>
      <c r="B2100">
        <v>4</v>
      </c>
      <c r="C2100">
        <v>2</v>
      </c>
      <c r="D2100">
        <v>3</v>
      </c>
      <c r="E2100">
        <v>423</v>
      </c>
      <c r="F2100" t="s">
        <v>1229</v>
      </c>
    </row>
    <row r="2101" spans="1:6" x14ac:dyDescent="0.55000000000000004">
      <c r="A2101" s="6">
        <v>1.825832144440671E+19</v>
      </c>
      <c r="B2101">
        <v>5</v>
      </c>
      <c r="C2101">
        <v>1</v>
      </c>
      <c r="D2101">
        <v>1</v>
      </c>
      <c r="E2101">
        <v>511</v>
      </c>
      <c r="F2101" t="s">
        <v>1228</v>
      </c>
    </row>
    <row r="2102" spans="1:6" x14ac:dyDescent="0.55000000000000004">
      <c r="A2102" s="6">
        <v>1.827375784926251E+19</v>
      </c>
      <c r="B2102">
        <v>1</v>
      </c>
      <c r="C2102">
        <v>1</v>
      </c>
      <c r="D2102">
        <v>1</v>
      </c>
      <c r="E2102">
        <v>111</v>
      </c>
      <c r="F2102" t="s">
        <v>1234</v>
      </c>
    </row>
    <row r="2103" spans="1:6" x14ac:dyDescent="0.55000000000000004">
      <c r="A2103" s="6">
        <v>1.828978405457094E+19</v>
      </c>
      <c r="B2103">
        <v>5</v>
      </c>
      <c r="C2103">
        <v>2</v>
      </c>
      <c r="D2103">
        <v>3</v>
      </c>
      <c r="E2103">
        <v>523</v>
      </c>
      <c r="F2103" t="s">
        <v>1229</v>
      </c>
    </row>
    <row r="2104" spans="1:6" x14ac:dyDescent="0.55000000000000004">
      <c r="A2104" s="6">
        <v>1.8290896633043259E+19</v>
      </c>
      <c r="B2104">
        <v>3</v>
      </c>
      <c r="C2104">
        <v>2</v>
      </c>
      <c r="D2104">
        <v>3</v>
      </c>
      <c r="E2104">
        <v>323</v>
      </c>
      <c r="F2104" t="s">
        <v>1233</v>
      </c>
    </row>
    <row r="2105" spans="1:6" x14ac:dyDescent="0.55000000000000004">
      <c r="A2105" s="6">
        <v>1.8296913374114109E+19</v>
      </c>
      <c r="B2105">
        <v>3</v>
      </c>
      <c r="C2105">
        <v>1</v>
      </c>
      <c r="D2105">
        <v>1</v>
      </c>
      <c r="E2105">
        <v>311</v>
      </c>
      <c r="F2105" t="s">
        <v>1233</v>
      </c>
    </row>
    <row r="2106" spans="1:6" x14ac:dyDescent="0.55000000000000004">
      <c r="A2106" s="6">
        <v>1.830235197192389E+19</v>
      </c>
      <c r="B2106">
        <v>4</v>
      </c>
      <c r="C2106">
        <v>3</v>
      </c>
      <c r="D2106">
        <v>3</v>
      </c>
      <c r="E2106">
        <v>433</v>
      </c>
      <c r="F2106" t="s">
        <v>1230</v>
      </c>
    </row>
    <row r="2107" spans="1:6" x14ac:dyDescent="0.55000000000000004">
      <c r="A2107" s="6">
        <v>1.83139076252951E+19</v>
      </c>
      <c r="B2107">
        <v>4</v>
      </c>
      <c r="C2107">
        <v>3</v>
      </c>
      <c r="D2107">
        <v>3</v>
      </c>
      <c r="E2107">
        <v>433</v>
      </c>
      <c r="F2107" t="s">
        <v>1230</v>
      </c>
    </row>
    <row r="2108" spans="1:6" x14ac:dyDescent="0.55000000000000004">
      <c r="A2108" s="6">
        <v>1.832646097835544E+19</v>
      </c>
      <c r="B2108">
        <v>5</v>
      </c>
      <c r="C2108">
        <v>2</v>
      </c>
      <c r="D2108">
        <v>3</v>
      </c>
      <c r="E2108">
        <v>523</v>
      </c>
      <c r="F2108" t="s">
        <v>1229</v>
      </c>
    </row>
    <row r="2109" spans="1:6" x14ac:dyDescent="0.55000000000000004">
      <c r="A2109" s="6">
        <v>1.837888610150903E+19</v>
      </c>
      <c r="B2109">
        <v>4</v>
      </c>
      <c r="C2109">
        <v>1</v>
      </c>
      <c r="D2109">
        <v>2</v>
      </c>
      <c r="E2109">
        <v>412</v>
      </c>
      <c r="F2109" t="s">
        <v>1233</v>
      </c>
    </row>
    <row r="2110" spans="1:6" x14ac:dyDescent="0.55000000000000004">
      <c r="A2110" s="6">
        <v>1.8380950668525359E+19</v>
      </c>
      <c r="B2110">
        <v>5</v>
      </c>
      <c r="C2110">
        <v>1</v>
      </c>
      <c r="D2110">
        <v>2</v>
      </c>
      <c r="E2110">
        <v>512</v>
      </c>
      <c r="F2110" t="s">
        <v>1228</v>
      </c>
    </row>
    <row r="2111" spans="1:6" x14ac:dyDescent="0.55000000000000004">
      <c r="A2111" s="6">
        <v>1.8389639499405119E+19</v>
      </c>
      <c r="B2111">
        <v>2</v>
      </c>
      <c r="C2111">
        <v>1</v>
      </c>
      <c r="D2111">
        <v>1</v>
      </c>
      <c r="E2111">
        <v>211</v>
      </c>
      <c r="F2111" t="s">
        <v>1234</v>
      </c>
    </row>
    <row r="2112" spans="1:6" x14ac:dyDescent="0.55000000000000004">
      <c r="A2112" s="6">
        <v>1.8411369914734201E+19</v>
      </c>
      <c r="B2112">
        <v>5</v>
      </c>
      <c r="C2112">
        <v>1</v>
      </c>
      <c r="D2112">
        <v>2</v>
      </c>
      <c r="E2112">
        <v>512</v>
      </c>
      <c r="F2112" t="s">
        <v>1228</v>
      </c>
    </row>
    <row r="2113" spans="1:6" x14ac:dyDescent="0.55000000000000004">
      <c r="A2113" s="6">
        <v>1.842367595461267E+19</v>
      </c>
      <c r="B2113">
        <v>1</v>
      </c>
      <c r="C2113">
        <v>1</v>
      </c>
      <c r="D2113">
        <v>1</v>
      </c>
      <c r="E2113">
        <v>111</v>
      </c>
      <c r="F2113" t="s">
        <v>1234</v>
      </c>
    </row>
    <row r="2114" spans="1:6" x14ac:dyDescent="0.55000000000000004">
      <c r="A2114" s="6">
        <v>1.843320053906817E+19</v>
      </c>
      <c r="B2114">
        <v>2</v>
      </c>
      <c r="C2114">
        <v>1</v>
      </c>
      <c r="D2114">
        <v>3</v>
      </c>
      <c r="E2114">
        <v>213</v>
      </c>
      <c r="F2114" t="s">
        <v>1234</v>
      </c>
    </row>
    <row r="2115" spans="1:6" x14ac:dyDescent="0.55000000000000004">
      <c r="A2115" s="6">
        <v>1.8435387853663261E+19</v>
      </c>
      <c r="B2115">
        <v>5</v>
      </c>
      <c r="C2115">
        <v>1</v>
      </c>
      <c r="D2115">
        <v>3</v>
      </c>
      <c r="E2115">
        <v>513</v>
      </c>
      <c r="F2115" t="s">
        <v>1228</v>
      </c>
    </row>
    <row r="2116" spans="1:6" x14ac:dyDescent="0.55000000000000004">
      <c r="A2116" s="6">
        <v>1.8440167898002801E+19</v>
      </c>
      <c r="B2116">
        <v>4</v>
      </c>
      <c r="C2116">
        <v>1</v>
      </c>
      <c r="D2116">
        <v>1</v>
      </c>
      <c r="E2116">
        <v>411</v>
      </c>
      <c r="F2116" t="s">
        <v>1233</v>
      </c>
    </row>
    <row r="2117" spans="1:6" x14ac:dyDescent="0.55000000000000004">
      <c r="A2117" s="6">
        <v>1.8443997980654549E+19</v>
      </c>
      <c r="B2117">
        <v>4</v>
      </c>
      <c r="C2117">
        <v>1</v>
      </c>
      <c r="D2117">
        <v>3</v>
      </c>
      <c r="E2117">
        <v>413</v>
      </c>
      <c r="F2117" t="s">
        <v>1233</v>
      </c>
    </row>
  </sheetData>
  <conditionalFormatting sqref="L3:N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15BC9EEB-D386-4E22-89CC-006E0E4627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Лист3!L3:N3</xm:f>
              <xm:sqref>K3</xm:sqref>
            </x14:sparkline>
            <x14:sparkline>
              <xm:f>Лист3!L4:N4</xm:f>
              <xm:sqref>K4</xm:sqref>
            </x14:sparkline>
            <x14:sparkline>
              <xm:f>Лист3!L5:N5</xm:f>
              <xm:sqref>K5</xm:sqref>
            </x14:sparkline>
            <x14:sparkline>
              <xm:f>Лист3!L6:N6</xm:f>
              <xm:sqref>K6</xm:sqref>
            </x14:sparkline>
            <x14:sparkline>
              <xm:f>Лист3!L7:N7</xm:f>
              <xm:sqref>K7</xm:sqref>
            </x14:sparkline>
            <x14:sparkline>
              <xm:f>Лист3!L8:N8</xm:f>
              <xm:sqref>K8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frattin didi</cp:lastModifiedBy>
  <dcterms:created xsi:type="dcterms:W3CDTF">2025-10-26T14:44:38Z</dcterms:created>
  <dcterms:modified xsi:type="dcterms:W3CDTF">2026-01-14T11:17:33Z</dcterms:modified>
</cp:coreProperties>
</file>