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Telegram Desktop\"/>
    </mc:Choice>
  </mc:AlternateContent>
  <xr:revisionPtr revIDLastSave="0" documentId="13_ncr:1_{4307458A-39DA-4FE9-8288-4C6814AFFAF3}" xr6:coauthVersionLast="47" xr6:coauthVersionMax="47" xr10:uidLastSave="{00000000-0000-0000-0000-000000000000}"/>
  <bookViews>
    <workbookView xWindow="-96" yWindow="-96" windowWidth="18192" windowHeight="11472" activeTab="4" xr2:uid="{00000000-000D-0000-FFFF-FFFF00000000}"/>
  </bookViews>
  <sheets>
    <sheet name="Опт.План" sheetId="2" r:id="rId1"/>
    <sheet name="Шт.Расписание" sheetId="3" r:id="rId2"/>
    <sheet name="Тр.Задача" sheetId="4" r:id="rId3"/>
    <sheet name="Инвестиции" sheetId="5" r:id="rId4"/>
    <sheet name="Назначения" sheetId="6" r:id="rId5"/>
  </sheets>
  <definedNames>
    <definedName name="solver_adj" localSheetId="3" hidden="1">Инвестиции!$G$6:$G$13</definedName>
    <definedName name="solver_adj" localSheetId="4" hidden="1">Назначения!$C$16:$F$19</definedName>
    <definedName name="solver_adj" localSheetId="0" hidden="1">Опт.План!$B$19:$D$20</definedName>
    <definedName name="solver_adj" localSheetId="2" hidden="1">Тр.Задача!$C$15:$G$18</definedName>
    <definedName name="solver_adj" localSheetId="1" hidden="1">Шт.Расписание!$F$5:$F$11</definedName>
    <definedName name="solver_cvg" localSheetId="3" hidden="1">0.0001</definedName>
    <definedName name="solver_cvg" localSheetId="4" hidden="1">0.0001</definedName>
    <definedName name="solver_cvg" localSheetId="0" hidden="1">0.0001</definedName>
    <definedName name="solver_cvg" localSheetId="2" hidden="1">0.0001</definedName>
    <definedName name="solver_cvg" localSheetId="1" hidden="1">0.0001</definedName>
    <definedName name="solver_drv" localSheetId="3" hidden="1">1</definedName>
    <definedName name="solver_drv" localSheetId="4" hidden="1">1</definedName>
    <definedName name="solver_drv" localSheetId="0" hidden="1">2</definedName>
    <definedName name="solver_drv" localSheetId="2" hidden="1">1</definedName>
    <definedName name="solver_drv" localSheetId="1" hidden="1">1</definedName>
    <definedName name="solver_eng" localSheetId="3" hidden="1">1</definedName>
    <definedName name="solver_eng" localSheetId="4" hidden="1">1</definedName>
    <definedName name="solver_eng" localSheetId="0" hidden="1">1</definedName>
    <definedName name="solver_eng" localSheetId="2" hidden="1">1</definedName>
    <definedName name="solver_eng" localSheetId="1" hidden="1">1</definedName>
    <definedName name="solver_est" localSheetId="3" hidden="1">1</definedName>
    <definedName name="solver_est" localSheetId="4" hidden="1">1</definedName>
    <definedName name="solver_est" localSheetId="0" hidden="1">1</definedName>
    <definedName name="solver_est" localSheetId="2" hidden="1">1</definedName>
    <definedName name="solver_est" localSheetId="1" hidden="1">1</definedName>
    <definedName name="solver_itr" localSheetId="3" hidden="1">2147483647</definedName>
    <definedName name="solver_itr" localSheetId="4" hidden="1">2147483647</definedName>
    <definedName name="solver_itr" localSheetId="0" hidden="1">2147483647</definedName>
    <definedName name="solver_itr" localSheetId="2" hidden="1">2147483647</definedName>
    <definedName name="solver_itr" localSheetId="1" hidden="1">2147483647</definedName>
    <definedName name="solver_lhs1" localSheetId="3" hidden="1">Инвестиции!$G$6:$G$13</definedName>
    <definedName name="solver_lhs1" localSheetId="4" hidden="1">Назначения!$C$16:$F$19</definedName>
    <definedName name="solver_lhs1" localSheetId="0" hidden="1">Опт.План!$B$19:$D$20</definedName>
    <definedName name="solver_lhs1" localSheetId="2" hidden="1">Тр.Задача!$C$15:$G$18</definedName>
    <definedName name="solver_lhs1" localSheetId="1" hidden="1">Шт.Расписание!$E$5:$E$11</definedName>
    <definedName name="solver_lhs2" localSheetId="3" hidden="1">Инвестиции!$J$8</definedName>
    <definedName name="solver_lhs2" localSheetId="4" hidden="1">Назначения!$C$20:$F$20</definedName>
    <definedName name="solver_lhs2" localSheetId="0" hidden="1">Опт.План!$B$21:$D$21</definedName>
    <definedName name="solver_lhs2" localSheetId="2" hidden="1">Тр.Задача!$C$19:$G$19</definedName>
    <definedName name="solver_lhs2" localSheetId="1" hidden="1">Шт.Расписание!$F$5:$F$11</definedName>
    <definedName name="solver_lhs3" localSheetId="4" hidden="1">Назначения!$G$16:$G$19</definedName>
    <definedName name="solver_lhs3" localSheetId="2" hidden="1">Тр.Задача!$H$15:$H$18</definedName>
    <definedName name="solver_mip" localSheetId="3" hidden="1">2147483647</definedName>
    <definedName name="solver_mip" localSheetId="4" hidden="1">2147483647</definedName>
    <definedName name="solver_mip" localSheetId="0" hidden="1">2147483647</definedName>
    <definedName name="solver_mip" localSheetId="2" hidden="1">2147483647</definedName>
    <definedName name="solver_mip" localSheetId="1" hidden="1">2147483647</definedName>
    <definedName name="solver_mni" localSheetId="3" hidden="1">30</definedName>
    <definedName name="solver_mni" localSheetId="4" hidden="1">30</definedName>
    <definedName name="solver_mni" localSheetId="0" hidden="1">30</definedName>
    <definedName name="solver_mni" localSheetId="2" hidden="1">30</definedName>
    <definedName name="solver_mni" localSheetId="1" hidden="1">30</definedName>
    <definedName name="solver_mrt" localSheetId="3" hidden="1">0.075</definedName>
    <definedName name="solver_mrt" localSheetId="4" hidden="1">0.075</definedName>
    <definedName name="solver_mrt" localSheetId="0" hidden="1">0.075</definedName>
    <definedName name="solver_mrt" localSheetId="2" hidden="1">0.075</definedName>
    <definedName name="solver_mrt" localSheetId="1" hidden="1">0.075</definedName>
    <definedName name="solver_msl" localSheetId="3" hidden="1">2</definedName>
    <definedName name="solver_msl" localSheetId="4" hidden="1">2</definedName>
    <definedName name="solver_msl" localSheetId="0" hidden="1">2</definedName>
    <definedName name="solver_msl" localSheetId="2" hidden="1">2</definedName>
    <definedName name="solver_msl" localSheetId="1" hidden="1">2</definedName>
    <definedName name="solver_neg" localSheetId="3" hidden="1">1</definedName>
    <definedName name="solver_neg" localSheetId="4" hidden="1">1</definedName>
    <definedName name="solver_neg" localSheetId="0" hidden="1">1</definedName>
    <definedName name="solver_neg" localSheetId="2" hidden="1">1</definedName>
    <definedName name="solver_neg" localSheetId="1" hidden="1">1</definedName>
    <definedName name="solver_nod" localSheetId="3" hidden="1">2147483647</definedName>
    <definedName name="solver_nod" localSheetId="4" hidden="1">2147483647</definedName>
    <definedName name="solver_nod" localSheetId="0" hidden="1">2147483647</definedName>
    <definedName name="solver_nod" localSheetId="2" hidden="1">2147483647</definedName>
    <definedName name="solver_nod" localSheetId="1" hidden="1">2147483647</definedName>
    <definedName name="solver_num" localSheetId="3" hidden="1">2</definedName>
    <definedName name="solver_num" localSheetId="4" hidden="1">3</definedName>
    <definedName name="solver_num" localSheetId="0" hidden="1">2</definedName>
    <definedName name="solver_num" localSheetId="2" hidden="1">3</definedName>
    <definedName name="solver_num" localSheetId="1" hidden="1">2</definedName>
    <definedName name="solver_nwt" localSheetId="3" hidden="1">1</definedName>
    <definedName name="solver_nwt" localSheetId="4" hidden="1">1</definedName>
    <definedName name="solver_nwt" localSheetId="0" hidden="1">1</definedName>
    <definedName name="solver_nwt" localSheetId="2" hidden="1">1</definedName>
    <definedName name="solver_nwt" localSheetId="1" hidden="1">1</definedName>
    <definedName name="solver_opt" localSheetId="3" hidden="1">Инвестиции!$J$9</definedName>
    <definedName name="solver_opt" localSheetId="4" hidden="1">Назначения!$J$16</definedName>
    <definedName name="solver_opt" localSheetId="0" hidden="1">Опт.План!$G$20</definedName>
    <definedName name="solver_opt" localSheetId="2" hidden="1">Тр.Задача!$J$21</definedName>
    <definedName name="solver_opt" localSheetId="1" hidden="1">Шт.Расписание!$H$16</definedName>
    <definedName name="solver_pre" localSheetId="3" hidden="1">0.000001</definedName>
    <definedName name="solver_pre" localSheetId="4" hidden="1">0.000001</definedName>
    <definedName name="solver_pre" localSheetId="0" hidden="1">0.000001</definedName>
    <definedName name="solver_pre" localSheetId="2" hidden="1">0.000001</definedName>
    <definedName name="solver_pre" localSheetId="1" hidden="1">0.000001</definedName>
    <definedName name="solver_rbv" localSheetId="3" hidden="1">1</definedName>
    <definedName name="solver_rbv" localSheetId="4" hidden="1">1</definedName>
    <definedName name="solver_rbv" localSheetId="0" hidden="1">2</definedName>
    <definedName name="solver_rbv" localSheetId="2" hidden="1">1</definedName>
    <definedName name="solver_rbv" localSheetId="1" hidden="1">1</definedName>
    <definedName name="solver_rel1" localSheetId="3" hidden="1">5</definedName>
    <definedName name="solver_rel1" localSheetId="4" hidden="1">5</definedName>
    <definedName name="solver_rel1" localSheetId="0" hidden="1">4</definedName>
    <definedName name="solver_rel1" localSheetId="2" hidden="1">4</definedName>
    <definedName name="solver_rel1" localSheetId="1" hidden="1">3</definedName>
    <definedName name="solver_rel2" localSheetId="3" hidden="1">1</definedName>
    <definedName name="solver_rel2" localSheetId="4" hidden="1">2</definedName>
    <definedName name="solver_rel2" localSheetId="0" hidden="1">1</definedName>
    <definedName name="solver_rel2" localSheetId="2" hidden="1">3</definedName>
    <definedName name="solver_rel2" localSheetId="1" hidden="1">4</definedName>
    <definedName name="solver_rel3" localSheetId="4" hidden="1">2</definedName>
    <definedName name="solver_rel3" localSheetId="2" hidden="1">1</definedName>
    <definedName name="solver_rhs1" localSheetId="3" hidden="1">"бинарное"</definedName>
    <definedName name="solver_rhs1" localSheetId="4" hidden="1">"бинарное"</definedName>
    <definedName name="solver_rhs1" localSheetId="0" hidden="1">"целое"</definedName>
    <definedName name="solver_rhs1" localSheetId="2" hidden="1">"целое"</definedName>
    <definedName name="solver_rhs1" localSheetId="1" hidden="1">Шт.Расписание!$C$5:$C$11</definedName>
    <definedName name="solver_rhs2" localSheetId="3" hidden="1">Инвестиции!$E$6</definedName>
    <definedName name="solver_rhs2" localSheetId="4" hidden="1">1</definedName>
    <definedName name="solver_rhs2" localSheetId="0" hidden="1">Опт.План!$B$8:$D$8</definedName>
    <definedName name="solver_rhs2" localSheetId="2" hidden="1">Тр.Задача!$C$11:$G$11</definedName>
    <definedName name="solver_rhs2" localSheetId="1" hidden="1">"целое"</definedName>
    <definedName name="solver_rhs3" localSheetId="4" hidden="1">1</definedName>
    <definedName name="solver_rhs3" localSheetId="2" hidden="1">Тр.Задача!$H$7:$H$10</definedName>
    <definedName name="solver_rlx" localSheetId="3" hidden="1">2</definedName>
    <definedName name="solver_rlx" localSheetId="4" hidden="1">2</definedName>
    <definedName name="solver_rlx" localSheetId="0" hidden="1">2</definedName>
    <definedName name="solver_rlx" localSheetId="2" hidden="1">2</definedName>
    <definedName name="solver_rlx" localSheetId="1" hidden="1">2</definedName>
    <definedName name="solver_rsd" localSheetId="3" hidden="1">0</definedName>
    <definedName name="solver_rsd" localSheetId="4" hidden="1">0</definedName>
    <definedName name="solver_rsd" localSheetId="0" hidden="1">0</definedName>
    <definedName name="solver_rsd" localSheetId="2" hidden="1">0</definedName>
    <definedName name="solver_rsd" localSheetId="1" hidden="1">0</definedName>
    <definedName name="solver_scl" localSheetId="3" hidden="1">1</definedName>
    <definedName name="solver_scl" localSheetId="4" hidden="1">1</definedName>
    <definedName name="solver_scl" localSheetId="0" hidden="1">2</definedName>
    <definedName name="solver_scl" localSheetId="2" hidden="1">1</definedName>
    <definedName name="solver_scl" localSheetId="1" hidden="1">1</definedName>
    <definedName name="solver_sho" localSheetId="3" hidden="1">2</definedName>
    <definedName name="solver_sho" localSheetId="4" hidden="1">2</definedName>
    <definedName name="solver_sho" localSheetId="0" hidden="1">2</definedName>
    <definedName name="solver_sho" localSheetId="2" hidden="1">2</definedName>
    <definedName name="solver_sho" localSheetId="1" hidden="1">2</definedName>
    <definedName name="solver_ssz" localSheetId="3" hidden="1">100</definedName>
    <definedName name="solver_ssz" localSheetId="4" hidden="1">100</definedName>
    <definedName name="solver_ssz" localSheetId="0" hidden="1">100</definedName>
    <definedName name="solver_ssz" localSheetId="2" hidden="1">100</definedName>
    <definedName name="solver_ssz" localSheetId="1" hidden="1">100</definedName>
    <definedName name="solver_tim" localSheetId="3" hidden="1">2147483647</definedName>
    <definedName name="solver_tim" localSheetId="4" hidden="1">2147483647</definedName>
    <definedName name="solver_tim" localSheetId="0" hidden="1">2147483647</definedName>
    <definedName name="solver_tim" localSheetId="2" hidden="1">2147483647</definedName>
    <definedName name="solver_tim" localSheetId="1" hidden="1">2147483647</definedName>
    <definedName name="solver_tol" localSheetId="3" hidden="1">0.01</definedName>
    <definedName name="solver_tol" localSheetId="4" hidden="1">0.01</definedName>
    <definedName name="solver_tol" localSheetId="0" hidden="1">0.01</definedName>
    <definedName name="solver_tol" localSheetId="2" hidden="1">0.01</definedName>
    <definedName name="solver_tol" localSheetId="1" hidden="1">0.01</definedName>
    <definedName name="solver_typ" localSheetId="3" hidden="1">1</definedName>
    <definedName name="solver_typ" localSheetId="4" hidden="1">2</definedName>
    <definedName name="solver_typ" localSheetId="0" hidden="1">1</definedName>
    <definedName name="solver_typ" localSheetId="2" hidden="1">2</definedName>
    <definedName name="solver_typ" localSheetId="1" hidden="1">2</definedName>
    <definedName name="solver_val" localSheetId="3" hidden="1">0</definedName>
    <definedName name="solver_val" localSheetId="4" hidden="1">0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er" localSheetId="3" hidden="1">3</definedName>
    <definedName name="solver_ver" localSheetId="4" hidden="1">3</definedName>
    <definedName name="solver_ver" localSheetId="0" hidden="1">3</definedName>
    <definedName name="solver_ver" localSheetId="2" hidden="1">3</definedName>
    <definedName name="solver_ver" localSheetId="1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" i="6" l="1"/>
  <c r="G17" i="6"/>
  <c r="G18" i="6"/>
  <c r="G19" i="6"/>
  <c r="G16" i="6"/>
  <c r="D20" i="6"/>
  <c r="E20" i="6"/>
  <c r="F20" i="6"/>
  <c r="C20" i="6"/>
  <c r="J9" i="5"/>
  <c r="J8" i="5"/>
  <c r="J21" i="4"/>
  <c r="H16" i="4"/>
  <c r="H17" i="4"/>
  <c r="H18" i="4"/>
  <c r="H15" i="4"/>
  <c r="D19" i="4"/>
  <c r="E19" i="4"/>
  <c r="F19" i="4"/>
  <c r="G19" i="4"/>
  <c r="C19" i="4"/>
  <c r="H16" i="3"/>
  <c r="E11" i="3"/>
  <c r="E10" i="3"/>
  <c r="E9" i="3"/>
  <c r="E8" i="3"/>
  <c r="E7" i="3"/>
  <c r="E6" i="3"/>
  <c r="E5" i="3"/>
  <c r="E20" i="2"/>
  <c r="E19" i="2"/>
  <c r="C21" i="2"/>
  <c r="D21" i="2"/>
  <c r="B21" i="2"/>
  <c r="G20" i="2" l="1"/>
</calcChain>
</file>

<file path=xl/sharedStrings.xml><?xml version="1.0" encoding="utf-8"?>
<sst xmlns="http://schemas.openxmlformats.org/spreadsheetml/2006/main" count="106" uniqueCount="62">
  <si>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</si>
  <si>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</si>
  <si>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</si>
  <si>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</si>
  <si>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</si>
  <si>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</si>
  <si>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</si>
  <si>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</si>
  <si>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</si>
  <si>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</si>
  <si>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</si>
  <si>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</si>
  <si>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</si>
  <si>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</si>
  <si>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</si>
  <si>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</si>
  <si>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</si>
  <si>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</si>
  <si>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</si>
  <si>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</si>
  <si>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</si>
  <si>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</si>
  <si>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</si>
  <si>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</si>
  <si>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Требуются</t>
  </si>
  <si>
    <t>День недели</t>
  </si>
  <si>
    <t>Кол-во служащих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</si>
  <si>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</si>
  <si>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</si>
  <si>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</si>
  <si>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</si>
  <si>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</si>
  <si>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</si>
  <si>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</si>
  <si>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</si>
  <si>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Таблица Б</t>
  </si>
  <si>
    <t>Проект</t>
  </si>
  <si>
    <t>Затраты (I)</t>
  </si>
  <si>
    <t>Прибыль (P)</t>
  </si>
  <si>
    <t>S</t>
  </si>
  <si>
    <t>Виды работ</t>
  </si>
  <si>
    <t>A</t>
  </si>
  <si>
    <t>B</t>
  </si>
  <si>
    <t>C</t>
  </si>
  <si>
    <t>D</t>
  </si>
  <si>
    <t>Рабочие</t>
  </si>
  <si>
    <t>Целевая функция</t>
  </si>
  <si>
    <t>Факт</t>
  </si>
  <si>
    <t>Кол-во</t>
  </si>
  <si>
    <t>Бригада</t>
  </si>
  <si>
    <t>Выходные</t>
  </si>
  <si>
    <t>понедельник,вторник</t>
  </si>
  <si>
    <t>вторник,среда</t>
  </si>
  <si>
    <t>среда,четверг</t>
  </si>
  <si>
    <t>четверг,пятница</t>
  </si>
  <si>
    <t>Суббота</t>
  </si>
  <si>
    <t>пятница,Суббота</t>
  </si>
  <si>
    <t>Суббота,воскресенье</t>
  </si>
  <si>
    <t>воскресенье,понедельник</t>
  </si>
  <si>
    <t>Участие</t>
  </si>
  <si>
    <t>Затраты</t>
  </si>
  <si>
    <t>прибыль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</si>
</sst>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6377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50">
    <xf numFmtId="0" fontId="0" fillId="0" borderId="0" xfId="0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9" xfId="0" applyBorder="1"/>
    <xf numFmtId="0" fontId="3" fillId="0" borderId="10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9" fontId="3" fillId="2" borderId="1" xfId="2" applyFont="1" applyFill="1" applyBorder="1" applyAlignment="1">
      <alignment vertical="center" wrapText="1"/>
    </xf>
    <xf numFmtId="0" fontId="0" fillId="5" borderId="0" xfId="0" applyFill="1"/>
    <xf numFmtId="0" fontId="2" fillId="7" borderId="0" xfId="0" applyFont="1" applyFill="1" applyAlignment="1">
      <alignment vertical="center" wrapText="1"/>
    </xf>
    <xf numFmtId="0" fontId="0" fillId="8" borderId="0" xfId="0" applyFill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5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9" borderId="0" xfId="0" applyFill="1"/>
    <xf numFmtId="0" fontId="0" fillId="10" borderId="0" xfId="0" applyFill="1"/>
    <xf numFmtId="0" fontId="3" fillId="11" borderId="1" xfId="0" applyFont="1" applyFill="1" applyBorder="1" applyAlignment="1">
      <alignment horizontal="center" vertical="center" wrapText="1"/>
    </xf>
    <xf numFmtId="0" fontId="0" fillId="12" borderId="0" xfId="0" applyFill="1"/>
    <xf numFmtId="0" fontId="0" fillId="13" borderId="0" xfId="0" applyFill="1"/>
    <xf numFmtId="0" fontId="3" fillId="13" borderId="1" xfId="0" applyFont="1" applyFill="1" applyBorder="1" applyAlignment="1">
      <alignment horizontal="center" vertical="center" wrapText="1"/>
    </xf>
    <xf numFmtId="0" fontId="0" fillId="14" borderId="0" xfId="0" applyFill="1"/>
    <xf numFmtId="0" fontId="0" fillId="11" borderId="0" xfId="0" applyFill="1"/>
    <xf numFmtId="0" fontId="0" fillId="15" borderId="0" xfId="0" applyFill="1"/>
  </cellXfs>
  <cellStyles count="3">
    <cellStyle name="Гиперссылка" xfId="1" builtinId="8"/>
    <cellStyle name="Обычный" xfId="0" builtinId="0"/>
    <cellStyle name="Процентный" xfId="2" builtinId="5"/>
  </cellStyles>
  <dxfs count="3">
    <dxf>
      <fill>
        <patternFill>
          <bgColor theme="9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</dxfs>
  <tableStyles count="0" defaultTableStyle="TableStyleMedium2" defaultPivotStyle="PivotStyleLight16"/>
  <colors>
    <mruColors>
      <color rgb="FFA6377C"/>
      <color rgb="FFD13A7E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713302</xdr:colOff>
      <xdr:row>1</xdr:row>
      <xdr:rowOff>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72390</xdr:colOff>
      <xdr:row>0</xdr:row>
      <xdr:rowOff>15240</xdr:rowOff>
    </xdr:from>
    <xdr:to>
      <xdr:col>14</xdr:col>
      <xdr:colOff>0</xdr:colOff>
      <xdr:row>10</xdr:row>
      <xdr:rowOff>60960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0001250" y="15240"/>
          <a:ext cx="2487930" cy="24765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80010</xdr:colOff>
      <xdr:row>0</xdr:row>
      <xdr:rowOff>0</xdr:rowOff>
    </xdr:from>
    <xdr:to>
      <xdr:col>5</xdr:col>
      <xdr:colOff>115132</xdr:colOff>
      <xdr:row>1</xdr:row>
      <xdr:rowOff>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" y="0"/>
          <a:ext cx="6260662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12</xdr:col>
      <xdr:colOff>339090</xdr:colOff>
      <xdr:row>0</xdr:row>
      <xdr:rowOff>0</xdr:rowOff>
    </xdr:from>
    <xdr:to>
      <xdr:col>15</xdr:col>
      <xdr:colOff>0</xdr:colOff>
      <xdr:row>5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0386060" y="0"/>
          <a:ext cx="1581150" cy="150876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14</xdr:col>
      <xdr:colOff>350520</xdr:colOff>
      <xdr:row>0</xdr:row>
      <xdr:rowOff>0</xdr:rowOff>
    </xdr:from>
    <xdr:to>
      <xdr:col>15</xdr:col>
      <xdr:colOff>0</xdr:colOff>
      <xdr:row>4</xdr:row>
      <xdr:rowOff>15240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0447020" y="0"/>
          <a:ext cx="289560" cy="11734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477082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13</xdr:col>
      <xdr:colOff>621030</xdr:colOff>
      <xdr:row>0</xdr:row>
      <xdr:rowOff>0</xdr:rowOff>
    </xdr:from>
    <xdr:to>
      <xdr:col>16</xdr:col>
      <xdr:colOff>0</xdr:colOff>
      <xdr:row>5</xdr:row>
      <xdr:rowOff>49530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8942070" y="0"/>
          <a:ext cx="1299210" cy="139065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workbookViewId="0">
      <selection activeCell="E7" sqref="E7"/>
    </sheetView>
  </sheetViews>
  <sheetFormatPr defaultRowHeight="14.4" x14ac:dyDescent="0.55000000000000004"/>
  <cols>
    <col min="1" max="1" width="27.7890625" customWidth="1"/>
    <col min="5" max="5" width="14.20703125" customWidth="1"/>
    <col min="6" max="6" width="7.89453125" customWidth="1"/>
    <col min="7" max="7" width="25.5234375" customWidth="1"/>
  </cols>
  <sheetData>
    <row r="1" spans="1:15" ht="48" customHeight="1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55000000000000004">
      <c r="A2" s="9" t="s">
        <v>12</v>
      </c>
    </row>
    <row r="3" spans="1:15" x14ac:dyDescent="0.55000000000000004">
      <c r="E3" s="6" t="s">
        <v>9</v>
      </c>
    </row>
    <row r="4" spans="1:15" x14ac:dyDescent="0.55000000000000004">
      <c r="A4" s="29" t="s">
        <v>0</v>
      </c>
      <c r="B4" s="30" t="s">
        <v>1</v>
      </c>
      <c r="C4" s="30"/>
      <c r="D4" s="30"/>
      <c r="E4" s="30" t="s">
        <v>2</v>
      </c>
    </row>
    <row r="5" spans="1:15" x14ac:dyDescent="0.55000000000000004">
      <c r="A5" s="29"/>
      <c r="B5" s="2" t="s">
        <v>3</v>
      </c>
      <c r="C5" s="2" t="s">
        <v>4</v>
      </c>
      <c r="D5" s="2" t="s">
        <v>5</v>
      </c>
      <c r="E5" s="30"/>
    </row>
    <row r="6" spans="1:15" x14ac:dyDescent="0.55000000000000004">
      <c r="A6" s="2" t="s">
        <v>6</v>
      </c>
      <c r="B6" s="3">
        <v>0.05</v>
      </c>
      <c r="C6" s="7">
        <v>1.6E-2</v>
      </c>
      <c r="D6" s="7">
        <v>2.9000000000000001E-2</v>
      </c>
      <c r="E6" s="2">
        <v>80</v>
      </c>
    </row>
    <row r="7" spans="1:15" x14ac:dyDescent="0.55000000000000004">
      <c r="A7" s="2" t="s">
        <v>7</v>
      </c>
      <c r="B7" s="3">
        <v>0.03</v>
      </c>
      <c r="C7" s="7">
        <v>6.6000000000000003E-2</v>
      </c>
      <c r="D7" s="7">
        <v>6.0000000000000005E-2</v>
      </c>
      <c r="E7" s="2">
        <v>350</v>
      </c>
    </row>
    <row r="8" spans="1:15" x14ac:dyDescent="0.55000000000000004">
      <c r="A8" s="2" t="s">
        <v>8</v>
      </c>
      <c r="B8" s="4">
        <v>0.99</v>
      </c>
      <c r="C8" s="4">
        <v>0.9</v>
      </c>
      <c r="D8" s="4">
        <v>0.81</v>
      </c>
      <c r="E8" s="5"/>
    </row>
    <row r="11" spans="1:15" x14ac:dyDescent="0.55000000000000004">
      <c r="E11" s="6" t="s">
        <v>10</v>
      </c>
    </row>
    <row r="12" spans="1:15" ht="16.8" x14ac:dyDescent="0.55000000000000004">
      <c r="A12" s="31" t="s">
        <v>2</v>
      </c>
      <c r="B12" s="2" t="s">
        <v>11</v>
      </c>
      <c r="C12" s="2" t="s">
        <v>11</v>
      </c>
      <c r="D12" s="2" t="s">
        <v>11</v>
      </c>
      <c r="E12" s="2" t="s">
        <v>11</v>
      </c>
    </row>
    <row r="13" spans="1:15" x14ac:dyDescent="0.55000000000000004">
      <c r="A13" s="32"/>
      <c r="B13" s="2">
        <v>90</v>
      </c>
      <c r="C13" s="2">
        <v>160</v>
      </c>
      <c r="D13" s="2">
        <v>340</v>
      </c>
      <c r="E13" s="2">
        <v>620</v>
      </c>
    </row>
    <row r="17" spans="1:7" x14ac:dyDescent="0.55000000000000004">
      <c r="A17" s="29" t="s">
        <v>0</v>
      </c>
      <c r="B17" s="30" t="s">
        <v>1</v>
      </c>
      <c r="C17" s="30"/>
      <c r="D17" s="30"/>
    </row>
    <row r="18" spans="1:7" x14ac:dyDescent="0.55000000000000004">
      <c r="A18" s="29"/>
      <c r="B18" s="2" t="s">
        <v>3</v>
      </c>
      <c r="C18" s="2" t="s">
        <v>4</v>
      </c>
      <c r="D18" s="2" t="s">
        <v>5</v>
      </c>
    </row>
    <row r="19" spans="1:7" x14ac:dyDescent="0.55000000000000004">
      <c r="A19" s="2" t="s">
        <v>6</v>
      </c>
      <c r="B19" s="24">
        <v>0</v>
      </c>
      <c r="C19" s="24">
        <v>6</v>
      </c>
      <c r="D19" s="24">
        <v>1</v>
      </c>
      <c r="E19">
        <f>SUM(B19+C19+D19)</f>
        <v>7</v>
      </c>
      <c r="G19" t="s">
        <v>46</v>
      </c>
    </row>
    <row r="20" spans="1:7" x14ac:dyDescent="0.55000000000000004">
      <c r="A20" s="2" t="s">
        <v>7</v>
      </c>
      <c r="B20" s="24">
        <v>33</v>
      </c>
      <c r="C20" s="24">
        <v>12</v>
      </c>
      <c r="D20" s="24">
        <v>13</v>
      </c>
      <c r="E20">
        <f>SUM(B20+C20+D20)</f>
        <v>58</v>
      </c>
      <c r="G20" s="26">
        <f>SUMPRODUCT(E19:E20,E6:E7)</f>
        <v>20860</v>
      </c>
    </row>
    <row r="21" spans="1:7" x14ac:dyDescent="0.55000000000000004">
      <c r="A21" s="2" t="s">
        <v>8</v>
      </c>
      <c r="B21" s="25">
        <f>SUMPRODUCT(B19:B20,B6:B7)</f>
        <v>0.99</v>
      </c>
      <c r="C21" s="25">
        <f t="shared" ref="C21:D21" si="0">SUMPRODUCT(C19:C20,C6:C7)</f>
        <v>0.88800000000000001</v>
      </c>
      <c r="D21" s="25">
        <f t="shared" si="0"/>
        <v>0.80900000000000005</v>
      </c>
    </row>
  </sheetData>
  <mergeCells count="6">
    <mergeCell ref="A4:A5"/>
    <mergeCell ref="B4:D4"/>
    <mergeCell ref="E4:E5"/>
    <mergeCell ref="A12:A13"/>
    <mergeCell ref="A17:A18"/>
    <mergeCell ref="B17:D17"/>
  </mergeCells>
  <hyperlinks>
    <hyperlink ref="A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workbookViewId="0">
      <selection activeCell="H17" sqref="H17"/>
    </sheetView>
  </sheetViews>
  <sheetFormatPr defaultRowHeight="14.4" x14ac:dyDescent="0.55000000000000004"/>
  <cols>
    <col min="1" max="1" width="17.1015625" customWidth="1"/>
    <col min="2" max="2" width="35.89453125" customWidth="1"/>
    <col min="3" max="3" width="16.89453125" customWidth="1"/>
    <col min="4" max="4" width="3.5234375" customWidth="1"/>
    <col min="5" max="5" width="12.578125" customWidth="1"/>
    <col min="6" max="6" width="11.3125" customWidth="1"/>
    <col min="7" max="7" width="12.578125" customWidth="1"/>
    <col min="8" max="8" width="22.68359375" customWidth="1"/>
  </cols>
  <sheetData>
    <row r="1" spans="1:14" ht="48" customHeight="1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55000000000000004">
      <c r="A2" s="9" t="s">
        <v>12</v>
      </c>
    </row>
    <row r="3" spans="1:14" x14ac:dyDescent="0.55000000000000004">
      <c r="A3" s="6" t="s">
        <v>9</v>
      </c>
    </row>
    <row r="4" spans="1:14" ht="28.2" x14ac:dyDescent="0.55000000000000004">
      <c r="A4" s="12" t="s">
        <v>24</v>
      </c>
      <c r="B4" s="10" t="s">
        <v>25</v>
      </c>
      <c r="C4" s="10" t="s">
        <v>26</v>
      </c>
      <c r="D4" s="11"/>
      <c r="E4" s="6" t="s">
        <v>47</v>
      </c>
      <c r="F4" s="6" t="s">
        <v>48</v>
      </c>
      <c r="G4" s="6" t="s">
        <v>49</v>
      </c>
      <c r="H4" s="6" t="s">
        <v>50</v>
      </c>
    </row>
    <row r="5" spans="1:14" x14ac:dyDescent="0.55000000000000004">
      <c r="A5" s="12"/>
      <c r="B5" s="12" t="s">
        <v>17</v>
      </c>
      <c r="C5" s="2">
        <v>14</v>
      </c>
      <c r="D5" s="11"/>
      <c r="E5" s="27">
        <f>F6+F7+F8+F9+F10</f>
        <v>19</v>
      </c>
      <c r="F5" s="28">
        <v>2</v>
      </c>
      <c r="G5">
        <v>1</v>
      </c>
      <c r="H5" t="s">
        <v>51</v>
      </c>
    </row>
    <row r="6" spans="1:14" x14ac:dyDescent="0.55000000000000004">
      <c r="A6" s="12"/>
      <c r="B6" s="12" t="s">
        <v>18</v>
      </c>
      <c r="C6" s="2">
        <v>10</v>
      </c>
      <c r="D6" s="11"/>
      <c r="E6" s="27">
        <f>F7+F8+F10+F9+F11</f>
        <v>19</v>
      </c>
      <c r="F6" s="28">
        <v>5</v>
      </c>
      <c r="G6">
        <v>2</v>
      </c>
      <c r="H6" t="s">
        <v>52</v>
      </c>
    </row>
    <row r="7" spans="1:14" x14ac:dyDescent="0.55000000000000004">
      <c r="A7" s="12"/>
      <c r="B7" s="12" t="s">
        <v>19</v>
      </c>
      <c r="C7" s="2">
        <v>15</v>
      </c>
      <c r="D7" s="11"/>
      <c r="E7" s="27">
        <f>F8+F9+F10+F11+F5</f>
        <v>18</v>
      </c>
      <c r="F7" s="28">
        <v>3</v>
      </c>
      <c r="G7">
        <v>3</v>
      </c>
      <c r="H7" t="s">
        <v>53</v>
      </c>
    </row>
    <row r="8" spans="1:14" x14ac:dyDescent="0.55000000000000004">
      <c r="A8" s="12"/>
      <c r="B8" s="12" t="s">
        <v>20</v>
      </c>
      <c r="C8" s="2">
        <v>12</v>
      </c>
      <c r="D8" s="11"/>
      <c r="E8" s="27">
        <f>F9+F10+F11+F5+F6</f>
        <v>12</v>
      </c>
      <c r="F8" s="28">
        <v>11</v>
      </c>
      <c r="G8">
        <v>4</v>
      </c>
      <c r="H8" t="s">
        <v>54</v>
      </c>
    </row>
    <row r="9" spans="1:14" x14ac:dyDescent="0.55000000000000004">
      <c r="A9" s="12"/>
      <c r="B9" s="12" t="s">
        <v>21</v>
      </c>
      <c r="C9" s="2">
        <v>15</v>
      </c>
      <c r="D9" s="11"/>
      <c r="E9" s="27">
        <f>F10+F11+F5+F6+F7</f>
        <v>15</v>
      </c>
      <c r="F9" s="28">
        <v>0</v>
      </c>
      <c r="G9">
        <v>5</v>
      </c>
      <c r="H9" t="s">
        <v>56</v>
      </c>
    </row>
    <row r="10" spans="1:14" x14ac:dyDescent="0.55000000000000004">
      <c r="A10" s="12"/>
      <c r="B10" s="12" t="s">
        <v>55</v>
      </c>
      <c r="C10" s="2">
        <v>26</v>
      </c>
      <c r="D10" s="11"/>
      <c r="E10" s="27">
        <f>F11+F5+F6+F7+F8</f>
        <v>26</v>
      </c>
      <c r="F10" s="28">
        <v>0</v>
      </c>
      <c r="G10">
        <v>6</v>
      </c>
      <c r="H10" t="s">
        <v>57</v>
      </c>
    </row>
    <row r="11" spans="1:14" x14ac:dyDescent="0.55000000000000004">
      <c r="A11" s="12"/>
      <c r="B11" s="12" t="s">
        <v>23</v>
      </c>
      <c r="C11" s="2">
        <v>21</v>
      </c>
      <c r="D11" s="11"/>
      <c r="E11" s="27">
        <f>F5+F6+F7+F8+F9</f>
        <v>21</v>
      </c>
      <c r="F11" s="28">
        <v>5</v>
      </c>
      <c r="G11">
        <v>7</v>
      </c>
      <c r="H11" t="s">
        <v>58</v>
      </c>
    </row>
    <row r="12" spans="1:14" x14ac:dyDescent="0.55000000000000004">
      <c r="A12" s="11"/>
      <c r="B12" s="11"/>
      <c r="C12" s="11"/>
      <c r="D12" s="11"/>
      <c r="E12" s="11"/>
    </row>
    <row r="13" spans="1:14" x14ac:dyDescent="0.55000000000000004">
      <c r="A13" s="6" t="s">
        <v>13</v>
      </c>
      <c r="B13" s="11"/>
      <c r="C13" s="11"/>
      <c r="D13" s="11"/>
      <c r="E13" s="11"/>
    </row>
    <row r="14" spans="1:14" x14ac:dyDescent="0.55000000000000004">
      <c r="A14" s="10" t="s">
        <v>14</v>
      </c>
      <c r="B14" s="10" t="s">
        <v>15</v>
      </c>
      <c r="C14" s="8" t="s">
        <v>16</v>
      </c>
    </row>
    <row r="15" spans="1:14" x14ac:dyDescent="0.55000000000000004">
      <c r="A15" s="13"/>
      <c r="B15" s="12" t="s">
        <v>17</v>
      </c>
      <c r="C15" s="2">
        <v>1900</v>
      </c>
      <c r="H15" t="s">
        <v>46</v>
      </c>
    </row>
    <row r="16" spans="1:14" x14ac:dyDescent="0.55000000000000004">
      <c r="A16" s="13"/>
      <c r="B16" s="12" t="s">
        <v>18</v>
      </c>
      <c r="C16" s="2">
        <v>2100</v>
      </c>
      <c r="H16" s="26">
        <f>SUM(F5:F11)</f>
        <v>26</v>
      </c>
    </row>
    <row r="17" spans="1:3" x14ac:dyDescent="0.55000000000000004">
      <c r="A17" s="13"/>
      <c r="B17" s="12" t="s">
        <v>19</v>
      </c>
      <c r="C17" s="2">
        <v>1900</v>
      </c>
    </row>
    <row r="18" spans="1:3" x14ac:dyDescent="0.55000000000000004">
      <c r="A18" s="13"/>
      <c r="B18" s="12" t="s">
        <v>20</v>
      </c>
      <c r="C18" s="2">
        <v>2300</v>
      </c>
    </row>
    <row r="19" spans="1:3" x14ac:dyDescent="0.55000000000000004">
      <c r="A19" s="13"/>
      <c r="B19" s="12" t="s">
        <v>21</v>
      </c>
      <c r="C19" s="2">
        <v>2200</v>
      </c>
    </row>
    <row r="20" spans="1:3" x14ac:dyDescent="0.55000000000000004">
      <c r="A20" s="13"/>
      <c r="B20" s="12" t="s">
        <v>22</v>
      </c>
      <c r="C20" s="2">
        <v>2400</v>
      </c>
    </row>
    <row r="21" spans="1:3" x14ac:dyDescent="0.55000000000000004">
      <c r="A21" s="13"/>
      <c r="B21" s="12" t="s">
        <v>23</v>
      </c>
      <c r="C21" s="2">
        <v>2400</v>
      </c>
    </row>
  </sheetData>
  <hyperlinks>
    <hyperlink ref="A2" r:id="rId1" xr:uid="{00000000-0004-0000-01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topLeftCell="A4" workbookViewId="0">
      <selection activeCell="J22" sqref="J22"/>
    </sheetView>
  </sheetViews>
  <sheetFormatPr defaultRowHeight="14.4" x14ac:dyDescent="0.55000000000000004"/>
  <cols>
    <col min="1" max="1" width="6.3125" customWidth="1"/>
    <col min="2" max="2" width="17.20703125" customWidth="1"/>
    <col min="3" max="7" width="14.3125" customWidth="1"/>
    <col min="8" max="8" width="8.3125" customWidth="1"/>
    <col min="9" max="9" width="4" customWidth="1"/>
    <col min="10" max="10" width="16.3671875" customWidth="1"/>
  </cols>
  <sheetData>
    <row r="1" spans="1:14" ht="48" customHeight="1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55000000000000004">
      <c r="A2" s="9" t="s">
        <v>12</v>
      </c>
    </row>
    <row r="3" spans="1:14" x14ac:dyDescent="0.55000000000000004">
      <c r="A3" s="6"/>
    </row>
    <row r="5" spans="1:14" x14ac:dyDescent="0.55000000000000004">
      <c r="A5" s="14"/>
      <c r="B5" s="15"/>
      <c r="C5" s="2">
        <v>1</v>
      </c>
      <c r="D5" s="2">
        <v>2</v>
      </c>
      <c r="E5" s="2">
        <v>3</v>
      </c>
      <c r="F5" s="2">
        <v>4</v>
      </c>
      <c r="G5" s="2">
        <v>5</v>
      </c>
      <c r="H5" s="2"/>
    </row>
    <row r="6" spans="1:14" x14ac:dyDescent="0.55000000000000004">
      <c r="A6" s="14"/>
      <c r="B6" s="14"/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/>
    </row>
    <row r="7" spans="1:14" x14ac:dyDescent="0.55000000000000004">
      <c r="A7" s="12">
        <v>1</v>
      </c>
      <c r="B7" s="12" t="s">
        <v>32</v>
      </c>
      <c r="C7" s="2">
        <v>1.25</v>
      </c>
      <c r="D7" s="2">
        <v>1.75</v>
      </c>
      <c r="E7" s="2">
        <v>1.25</v>
      </c>
      <c r="F7" s="2">
        <v>1.75</v>
      </c>
      <c r="G7" s="2">
        <v>1.75</v>
      </c>
      <c r="H7" s="43">
        <v>200</v>
      </c>
    </row>
    <row r="8" spans="1:14" x14ac:dyDescent="0.55000000000000004">
      <c r="A8" s="12">
        <v>2</v>
      </c>
      <c r="B8" s="12" t="s">
        <v>33</v>
      </c>
      <c r="C8" s="2">
        <v>2</v>
      </c>
      <c r="D8" s="2">
        <v>1.75</v>
      </c>
      <c r="E8" s="2">
        <v>1.25</v>
      </c>
      <c r="F8" s="2">
        <v>0.75</v>
      </c>
      <c r="G8" s="2">
        <v>2</v>
      </c>
      <c r="H8" s="43">
        <v>120</v>
      </c>
    </row>
    <row r="9" spans="1:14" x14ac:dyDescent="0.55000000000000004">
      <c r="A9" s="12">
        <v>3</v>
      </c>
      <c r="B9" s="12" t="s">
        <v>34</v>
      </c>
      <c r="C9" s="2">
        <v>1.75</v>
      </c>
      <c r="D9" s="2">
        <v>2</v>
      </c>
      <c r="E9" s="2">
        <v>1</v>
      </c>
      <c r="F9" s="2">
        <v>1.75</v>
      </c>
      <c r="G9" s="2">
        <v>2</v>
      </c>
      <c r="H9" s="43">
        <v>195</v>
      </c>
    </row>
    <row r="10" spans="1:14" x14ac:dyDescent="0.55000000000000004">
      <c r="A10" s="12">
        <v>4</v>
      </c>
      <c r="B10" s="12" t="s">
        <v>28</v>
      </c>
      <c r="C10" s="2">
        <v>2.5</v>
      </c>
      <c r="D10" s="2">
        <v>1</v>
      </c>
      <c r="E10" s="2">
        <v>2</v>
      </c>
      <c r="F10" s="2">
        <v>2</v>
      </c>
      <c r="G10" s="2">
        <v>1.25</v>
      </c>
      <c r="H10" s="43">
        <v>205</v>
      </c>
    </row>
    <row r="11" spans="1:14" x14ac:dyDescent="0.55000000000000004">
      <c r="A11" s="12"/>
      <c r="B11" s="12"/>
      <c r="C11" s="39">
        <v>80</v>
      </c>
      <c r="D11" s="39">
        <v>240</v>
      </c>
      <c r="E11" s="39">
        <v>20</v>
      </c>
      <c r="F11" s="39">
        <v>230</v>
      </c>
      <c r="G11" s="39">
        <v>150</v>
      </c>
      <c r="H11" s="2"/>
    </row>
    <row r="13" spans="1:14" x14ac:dyDescent="0.55000000000000004">
      <c r="B13" s="6" t="s">
        <v>9</v>
      </c>
    </row>
    <row r="14" spans="1:14" x14ac:dyDescent="0.55000000000000004">
      <c r="B14" s="12"/>
      <c r="C14" s="2" t="s">
        <v>27</v>
      </c>
      <c r="D14" s="2" t="s">
        <v>28</v>
      </c>
      <c r="E14" s="2" t="s">
        <v>29</v>
      </c>
      <c r="F14" s="2" t="s">
        <v>30</v>
      </c>
      <c r="G14" s="2" t="s">
        <v>31</v>
      </c>
    </row>
    <row r="15" spans="1:14" x14ac:dyDescent="0.55000000000000004">
      <c r="B15" s="12" t="s">
        <v>32</v>
      </c>
      <c r="C15" s="40">
        <v>80</v>
      </c>
      <c r="D15" s="40">
        <v>2</v>
      </c>
      <c r="E15" s="40">
        <v>0</v>
      </c>
      <c r="F15" s="40">
        <v>0</v>
      </c>
      <c r="G15" s="40">
        <v>118</v>
      </c>
      <c r="H15" s="42">
        <f>SUM(C15+D15+E15+F15+G15)</f>
        <v>200</v>
      </c>
    </row>
    <row r="16" spans="1:14" x14ac:dyDescent="0.55000000000000004">
      <c r="B16" s="12" t="s">
        <v>33</v>
      </c>
      <c r="C16" s="40">
        <v>0</v>
      </c>
      <c r="D16" s="40">
        <v>0</v>
      </c>
      <c r="E16" s="40">
        <v>0</v>
      </c>
      <c r="F16" s="40">
        <v>120</v>
      </c>
      <c r="G16" s="40">
        <v>0</v>
      </c>
      <c r="H16" s="42">
        <f t="shared" ref="H16:H18" si="0">SUM(C16+D16+E16+F16+G16)</f>
        <v>120</v>
      </c>
    </row>
    <row r="17" spans="2:10" x14ac:dyDescent="0.55000000000000004">
      <c r="B17" s="12" t="s">
        <v>34</v>
      </c>
      <c r="C17" s="40">
        <v>0</v>
      </c>
      <c r="D17" s="40">
        <v>34</v>
      </c>
      <c r="E17" s="40">
        <v>20</v>
      </c>
      <c r="F17" s="40">
        <v>110</v>
      </c>
      <c r="G17" s="40">
        <v>31</v>
      </c>
      <c r="H17" s="42">
        <f t="shared" si="0"/>
        <v>195</v>
      </c>
    </row>
    <row r="18" spans="2:10" x14ac:dyDescent="0.55000000000000004">
      <c r="B18" s="12" t="s">
        <v>28</v>
      </c>
      <c r="C18" s="40">
        <v>0</v>
      </c>
      <c r="D18" s="40">
        <v>204</v>
      </c>
      <c r="E18" s="40">
        <v>0</v>
      </c>
      <c r="F18" s="40">
        <v>0</v>
      </c>
      <c r="G18" s="40">
        <v>1</v>
      </c>
      <c r="H18" s="42">
        <f t="shared" si="0"/>
        <v>205</v>
      </c>
    </row>
    <row r="19" spans="2:10" x14ac:dyDescent="0.55000000000000004">
      <c r="C19" s="41">
        <f>SUM(C15+C16+C17+C18)</f>
        <v>80</v>
      </c>
      <c r="D19" s="41">
        <f t="shared" ref="D19:G19" si="1">SUM(D15+D16+D17+D18)</f>
        <v>240</v>
      </c>
      <c r="E19" s="41">
        <f t="shared" si="1"/>
        <v>20</v>
      </c>
      <c r="F19" s="41">
        <f t="shared" si="1"/>
        <v>230</v>
      </c>
      <c r="G19" s="41">
        <f t="shared" si="1"/>
        <v>150</v>
      </c>
    </row>
    <row r="20" spans="2:10" x14ac:dyDescent="0.55000000000000004">
      <c r="J20" t="s">
        <v>46</v>
      </c>
    </row>
    <row r="21" spans="2:10" x14ac:dyDescent="0.55000000000000004">
      <c r="J21" s="26">
        <f>SUMPRODUCT(C15:G18,C7:G10)</f>
        <v>947.75</v>
      </c>
    </row>
  </sheetData>
  <hyperlinks>
    <hyperlink ref="A2" r:id="rId1" xr:uid="{00000000-0004-0000-0200-00000000000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activeCell="J10" sqref="J10"/>
    </sheetView>
  </sheetViews>
  <sheetFormatPr defaultRowHeight="14.4" x14ac:dyDescent="0.55000000000000004"/>
  <cols>
    <col min="2" max="3" width="16.68359375" customWidth="1"/>
    <col min="9" max="9" width="9.83984375" customWidth="1"/>
    <col min="10" max="10" width="11.47265625" customWidth="1"/>
  </cols>
  <sheetData>
    <row r="1" spans="1:10" ht="48" customHeight="1" x14ac:dyDescent="0.55000000000000004">
      <c r="A1" s="1"/>
      <c r="B1" s="1"/>
      <c r="C1" s="1"/>
      <c r="D1" s="1"/>
      <c r="E1" s="1"/>
      <c r="F1" s="1"/>
      <c r="G1" s="1"/>
      <c r="H1" s="1"/>
    </row>
    <row r="2" spans="1:10" x14ac:dyDescent="0.55000000000000004">
      <c r="A2" s="9" t="s">
        <v>12</v>
      </c>
    </row>
    <row r="4" spans="1:10" x14ac:dyDescent="0.55000000000000004">
      <c r="A4" s="6" t="s">
        <v>9</v>
      </c>
      <c r="E4" s="6" t="s">
        <v>35</v>
      </c>
    </row>
    <row r="5" spans="1:10" x14ac:dyDescent="0.55000000000000004">
      <c r="A5" s="12" t="s">
        <v>36</v>
      </c>
      <c r="B5" s="12" t="s">
        <v>37</v>
      </c>
      <c r="C5" s="12" t="s">
        <v>38</v>
      </c>
      <c r="E5" s="16" t="s">
        <v>39</v>
      </c>
      <c r="G5" t="s">
        <v>59</v>
      </c>
    </row>
    <row r="6" spans="1:10" x14ac:dyDescent="0.55000000000000004">
      <c r="A6" s="12">
        <v>1</v>
      </c>
      <c r="B6" s="12">
        <v>23000</v>
      </c>
      <c r="C6" s="12">
        <v>8900</v>
      </c>
      <c r="E6" s="2">
        <v>41000</v>
      </c>
      <c r="G6" s="44">
        <v>1</v>
      </c>
    </row>
    <row r="7" spans="1:10" x14ac:dyDescent="0.55000000000000004">
      <c r="A7" s="12">
        <v>2</v>
      </c>
      <c r="B7" s="12">
        <v>17000</v>
      </c>
      <c r="C7" s="12">
        <v>6200</v>
      </c>
      <c r="E7" s="2">
        <v>90000</v>
      </c>
      <c r="G7" s="44">
        <v>0</v>
      </c>
    </row>
    <row r="8" spans="1:10" x14ac:dyDescent="0.55000000000000004">
      <c r="A8" s="12">
        <v>3</v>
      </c>
      <c r="B8" s="12">
        <v>12700</v>
      </c>
      <c r="C8" s="12">
        <v>5700</v>
      </c>
      <c r="G8" s="44">
        <v>0</v>
      </c>
      <c r="I8" t="s">
        <v>60</v>
      </c>
      <c r="J8" s="45">
        <f>SUMPRODUCT(G6:G13,B6:B13)</f>
        <v>40200</v>
      </c>
    </row>
    <row r="9" spans="1:10" x14ac:dyDescent="0.55000000000000004">
      <c r="A9" s="12">
        <v>4</v>
      </c>
      <c r="B9" s="12">
        <v>10000</v>
      </c>
      <c r="C9" s="12">
        <v>5600</v>
      </c>
      <c r="G9" s="44">
        <v>1</v>
      </c>
      <c r="I9" t="s">
        <v>61</v>
      </c>
      <c r="J9" s="26">
        <f>SUMPRODUCT(G6:G13,C6:C13)</f>
        <v>18400</v>
      </c>
    </row>
    <row r="10" spans="1:10" x14ac:dyDescent="0.55000000000000004">
      <c r="A10" s="12">
        <v>5</v>
      </c>
      <c r="B10" s="12">
        <v>7200</v>
      </c>
      <c r="C10" s="12">
        <v>3900</v>
      </c>
      <c r="G10" s="44">
        <v>1</v>
      </c>
    </row>
    <row r="11" spans="1:10" x14ac:dyDescent="0.55000000000000004">
      <c r="A11" s="12">
        <v>6</v>
      </c>
      <c r="B11" s="12">
        <v>8400</v>
      </c>
      <c r="C11" s="12">
        <v>2900</v>
      </c>
      <c r="G11" s="44">
        <v>0</v>
      </c>
    </row>
    <row r="12" spans="1:10" x14ac:dyDescent="0.55000000000000004">
      <c r="A12" s="12">
        <v>7</v>
      </c>
      <c r="B12" s="12">
        <v>7100</v>
      </c>
      <c r="C12" s="12">
        <v>2900</v>
      </c>
      <c r="G12" s="44">
        <v>0</v>
      </c>
    </row>
    <row r="13" spans="1:10" x14ac:dyDescent="0.55000000000000004">
      <c r="A13" s="12">
        <v>8</v>
      </c>
      <c r="B13" s="12">
        <v>4500</v>
      </c>
      <c r="C13" s="12">
        <v>1600</v>
      </c>
      <c r="G13" s="44">
        <v>0</v>
      </c>
    </row>
  </sheetData>
  <hyperlinks>
    <hyperlink ref="A2" r:id="rId1" xr:uid="{00000000-0004-0000-0300-000000000000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tabSelected="1" workbookViewId="0">
      <selection activeCell="C16" sqref="C16:F19"/>
    </sheetView>
  </sheetViews>
  <sheetFormatPr defaultRowHeight="14.4" x14ac:dyDescent="0.55000000000000004"/>
  <cols>
    <col min="10" max="10" width="14.47265625" customWidth="1"/>
  </cols>
  <sheetData>
    <row r="1" spans="1:10" ht="48" customHeight="1" x14ac:dyDescent="0.55000000000000004">
      <c r="A1" s="1"/>
      <c r="B1" s="1"/>
      <c r="C1" s="1"/>
      <c r="D1" s="1"/>
      <c r="E1" s="1"/>
      <c r="F1" s="1"/>
      <c r="G1" s="1"/>
      <c r="H1" s="1"/>
    </row>
    <row r="2" spans="1:10" x14ac:dyDescent="0.55000000000000004">
      <c r="A2" s="9" t="s">
        <v>12</v>
      </c>
    </row>
    <row r="5" spans="1:10" x14ac:dyDescent="0.55000000000000004">
      <c r="A5" s="17"/>
      <c r="B5" s="18"/>
      <c r="C5" s="33" t="s">
        <v>40</v>
      </c>
      <c r="D5" s="34"/>
      <c r="E5" s="34"/>
      <c r="F5" s="35"/>
    </row>
    <row r="6" spans="1:10" ht="14.4" customHeight="1" x14ac:dyDescent="0.55000000000000004">
      <c r="A6" s="19"/>
      <c r="B6" s="20"/>
      <c r="C6" s="21" t="s">
        <v>41</v>
      </c>
      <c r="D6" s="22" t="s">
        <v>42</v>
      </c>
      <c r="E6" s="22" t="s">
        <v>43</v>
      </c>
      <c r="F6" s="22" t="s">
        <v>44</v>
      </c>
    </row>
    <row r="7" spans="1:10" x14ac:dyDescent="0.55000000000000004">
      <c r="A7" s="36" t="s">
        <v>45</v>
      </c>
      <c r="B7" s="23">
        <v>1</v>
      </c>
      <c r="C7" s="2">
        <v>8</v>
      </c>
      <c r="D7" s="2">
        <v>10</v>
      </c>
      <c r="E7" s="2">
        <v>5</v>
      </c>
      <c r="F7" s="2">
        <v>8</v>
      </c>
    </row>
    <row r="8" spans="1:10" x14ac:dyDescent="0.55000000000000004">
      <c r="A8" s="37"/>
      <c r="B8" s="22">
        <v>2</v>
      </c>
      <c r="C8" s="2">
        <v>7</v>
      </c>
      <c r="D8" s="2">
        <v>8</v>
      </c>
      <c r="E8" s="2">
        <v>6</v>
      </c>
      <c r="F8" s="2">
        <v>16</v>
      </c>
    </row>
    <row r="9" spans="1:10" x14ac:dyDescent="0.55000000000000004">
      <c r="A9" s="37"/>
      <c r="B9" s="22">
        <v>3</v>
      </c>
      <c r="C9" s="2">
        <v>13</v>
      </c>
      <c r="D9" s="2">
        <v>14</v>
      </c>
      <c r="E9" s="2">
        <v>19</v>
      </c>
      <c r="F9" s="2">
        <v>10</v>
      </c>
    </row>
    <row r="10" spans="1:10" x14ac:dyDescent="0.55000000000000004">
      <c r="A10" s="38"/>
      <c r="B10" s="22">
        <v>4</v>
      </c>
      <c r="C10" s="2">
        <v>2</v>
      </c>
      <c r="D10" s="2">
        <v>12</v>
      </c>
      <c r="E10" s="2">
        <v>5</v>
      </c>
      <c r="F10" s="2">
        <v>18</v>
      </c>
    </row>
    <row r="14" spans="1:10" x14ac:dyDescent="0.55000000000000004">
      <c r="A14" s="17"/>
      <c r="B14" s="18"/>
      <c r="C14" s="33" t="s">
        <v>40</v>
      </c>
      <c r="D14" s="34"/>
      <c r="E14" s="34"/>
      <c r="F14" s="35"/>
    </row>
    <row r="15" spans="1:10" x14ac:dyDescent="0.55000000000000004">
      <c r="A15" s="19"/>
      <c r="B15" s="20"/>
      <c r="C15" s="21" t="s">
        <v>41</v>
      </c>
      <c r="D15" s="22" t="s">
        <v>42</v>
      </c>
      <c r="E15" s="22" t="s">
        <v>43</v>
      </c>
      <c r="F15" s="22" t="s">
        <v>44</v>
      </c>
      <c r="J15" t="s">
        <v>46</v>
      </c>
    </row>
    <row r="16" spans="1:10" x14ac:dyDescent="0.55000000000000004">
      <c r="A16" s="36" t="s">
        <v>45</v>
      </c>
      <c r="B16" s="23">
        <v>1</v>
      </c>
      <c r="C16" s="46">
        <v>1</v>
      </c>
      <c r="D16" s="46">
        <v>0</v>
      </c>
      <c r="E16" s="46">
        <v>0</v>
      </c>
      <c r="F16" s="46">
        <v>0</v>
      </c>
      <c r="G16" s="48">
        <f>SUM(C16+D16+E16+F16)</f>
        <v>1</v>
      </c>
      <c r="J16" s="49">
        <f>SUMPRODUCT(C7:F10,C16:F19)</f>
        <v>31</v>
      </c>
    </row>
    <row r="17" spans="1:7" x14ac:dyDescent="0.55000000000000004">
      <c r="A17" s="37"/>
      <c r="B17" s="22">
        <v>2</v>
      </c>
      <c r="C17" s="46">
        <v>0</v>
      </c>
      <c r="D17" s="46">
        <v>1</v>
      </c>
      <c r="E17" s="46">
        <v>0</v>
      </c>
      <c r="F17" s="46">
        <v>0</v>
      </c>
      <c r="G17" s="48">
        <f t="shared" ref="G17:G19" si="0">SUM(C17+D17+E17+F17)</f>
        <v>1</v>
      </c>
    </row>
    <row r="18" spans="1:7" x14ac:dyDescent="0.55000000000000004">
      <c r="A18" s="37"/>
      <c r="B18" s="22">
        <v>3</v>
      </c>
      <c r="C18" s="46">
        <v>0</v>
      </c>
      <c r="D18" s="46">
        <v>0</v>
      </c>
      <c r="E18" s="46">
        <v>0</v>
      </c>
      <c r="F18" s="46">
        <v>1</v>
      </c>
      <c r="G18" s="48">
        <f t="shared" si="0"/>
        <v>1</v>
      </c>
    </row>
    <row r="19" spans="1:7" x14ac:dyDescent="0.55000000000000004">
      <c r="A19" s="38"/>
      <c r="B19" s="22">
        <v>4</v>
      </c>
      <c r="C19" s="46">
        <v>0</v>
      </c>
      <c r="D19" s="46">
        <v>0</v>
      </c>
      <c r="E19" s="46">
        <v>1</v>
      </c>
      <c r="F19" s="46">
        <v>0</v>
      </c>
      <c r="G19" s="48">
        <f t="shared" si="0"/>
        <v>1</v>
      </c>
    </row>
    <row r="20" spans="1:7" x14ac:dyDescent="0.55000000000000004">
      <c r="C20" s="47">
        <f>SUM(C16+C17+C18+C19)</f>
        <v>1</v>
      </c>
      <c r="D20" s="47">
        <f t="shared" ref="D20:F20" si="1">SUM(D16+D17+D18+D19)</f>
        <v>1</v>
      </c>
      <c r="E20" s="47">
        <f t="shared" si="1"/>
        <v>1</v>
      </c>
      <c r="F20" s="47">
        <f t="shared" si="1"/>
        <v>1</v>
      </c>
    </row>
  </sheetData>
  <mergeCells count="4">
    <mergeCell ref="C5:F5"/>
    <mergeCell ref="A7:A10"/>
    <mergeCell ref="C14:F14"/>
    <mergeCell ref="A16:A19"/>
  </mergeCells>
  <conditionalFormatting sqref="J16">
    <cfRule type="cellIs" dxfId="2" priority="2" operator="equal">
      <formula>1</formula>
    </cfRule>
  </conditionalFormatting>
  <conditionalFormatting sqref="C16:F19">
    <cfRule type="cellIs" dxfId="0" priority="1" operator="equal">
      <formula>1</formula>
    </cfRule>
  </conditionalFormatting>
  <hyperlinks>
    <hyperlink ref="A2" r:id="rId1" xr:uid="{00000000-0004-0000-04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frattin didi</cp:lastModifiedBy>
  <dcterms:created xsi:type="dcterms:W3CDTF">2025-11-28T21:09:32Z</dcterms:created>
  <dcterms:modified xsi:type="dcterms:W3CDTF">2026-01-12T13:48:55Z</dcterms:modified>
</cp:coreProperties>
</file>